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46074</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46074</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46074</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46074</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46074</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46074</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46074</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46074</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46074</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46074</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46074</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46074</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46074</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46074</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46074</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46074</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46074</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46074</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46074</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46074</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46074</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46074</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46074</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46074</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31951-2025</t>
        </is>
      </c>
      <c r="B39" s="1" t="n">
        <v>45835.33481481481</v>
      </c>
      <c r="C39" s="1" t="n">
        <v>46074</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55633-2024</t>
        </is>
      </c>
      <c r="B40" s="1" t="n">
        <v>45621</v>
      </c>
      <c r="C40" s="1" t="n">
        <v>46074</v>
      </c>
      <c r="D40" t="inlineStr">
        <is>
          <t>DALARNAS LÄN</t>
        </is>
      </c>
      <c r="E40" t="inlineStr">
        <is>
          <t>LEKSAND</t>
        </is>
      </c>
      <c r="G40" t="n">
        <v>7.8</v>
      </c>
      <c r="H40" t="n">
        <v>0</v>
      </c>
      <c r="I40" t="n">
        <v>0</v>
      </c>
      <c r="J40" t="n">
        <v>1</v>
      </c>
      <c r="K40" t="n">
        <v>0</v>
      </c>
      <c r="L40" t="n">
        <v>0</v>
      </c>
      <c r="M40" t="n">
        <v>0</v>
      </c>
      <c r="N40" t="n">
        <v>0</v>
      </c>
      <c r="O40" t="n">
        <v>1</v>
      </c>
      <c r="P40" t="n">
        <v>0</v>
      </c>
      <c r="Q40" t="n">
        <v>1</v>
      </c>
      <c r="R40" s="2" t="inlineStr">
        <is>
          <t>Ullticka</t>
        </is>
      </c>
      <c r="S40">
        <f>HYPERLINK("https://klasma.github.io/Logging_2029/artfynd/A 55633-2024 artfynd.xlsx", "A 55633-2024")</f>
        <v/>
      </c>
      <c r="T40">
        <f>HYPERLINK("https://klasma.github.io/Logging_2029/kartor/A 55633-2024 karta.png", "A 55633-2024")</f>
        <v/>
      </c>
      <c r="V40">
        <f>HYPERLINK("https://klasma.github.io/Logging_2029/klagomål/A 55633-2024 FSC-klagomål.docx", "A 55633-2024")</f>
        <v/>
      </c>
      <c r="W40">
        <f>HYPERLINK("https://klasma.github.io/Logging_2029/klagomålsmail/A 55633-2024 FSC-klagomål mail.docx", "A 55633-2024")</f>
        <v/>
      </c>
      <c r="X40">
        <f>HYPERLINK("https://klasma.github.io/Logging_2029/tillsyn/A 55633-2024 tillsynsbegäran.docx", "A 55633-2024")</f>
        <v/>
      </c>
      <c r="Y40">
        <f>HYPERLINK("https://klasma.github.io/Logging_2029/tillsynsmail/A 55633-2024 tillsynsbegäran mail.docx", "A 55633-2024")</f>
        <v/>
      </c>
    </row>
    <row r="41" ht="15" customHeight="1">
      <c r="A41" t="inlineStr">
        <is>
          <t>A 34993-2025</t>
        </is>
      </c>
      <c r="B41" s="1" t="n">
        <v>45849.82383101852</v>
      </c>
      <c r="C41" s="1" t="n">
        <v>46074</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46074</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45375-2025</t>
        </is>
      </c>
      <c r="B43" s="1" t="n">
        <v>45922.39347222223</v>
      </c>
      <c r="C43" s="1" t="n">
        <v>46074</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47601-2025</t>
        </is>
      </c>
      <c r="B44" s="1" t="n">
        <v>45931.46008101852</v>
      </c>
      <c r="C44" s="1" t="n">
        <v>46074</v>
      </c>
      <c r="D44" t="inlineStr">
        <is>
          <t>DALARNAS LÄN</t>
        </is>
      </c>
      <c r="E44" t="inlineStr">
        <is>
          <t>LEKSAND</t>
        </is>
      </c>
      <c r="G44" t="n">
        <v>1.9</v>
      </c>
      <c r="H44" t="n">
        <v>0</v>
      </c>
      <c r="I44" t="n">
        <v>1</v>
      </c>
      <c r="J44" t="n">
        <v>0</v>
      </c>
      <c r="K44" t="n">
        <v>0</v>
      </c>
      <c r="L44" t="n">
        <v>0</v>
      </c>
      <c r="M44" t="n">
        <v>0</v>
      </c>
      <c r="N44" t="n">
        <v>0</v>
      </c>
      <c r="O44" t="n">
        <v>0</v>
      </c>
      <c r="P44" t="n">
        <v>0</v>
      </c>
      <c r="Q44" t="n">
        <v>1</v>
      </c>
      <c r="R44" s="2" t="inlineStr">
        <is>
          <t>Vågbandad barkbock</t>
        </is>
      </c>
      <c r="S44">
        <f>HYPERLINK("https://klasma.github.io/Logging_2029/artfynd/A 47601-2025 artfynd.xlsx", "A 47601-2025")</f>
        <v/>
      </c>
      <c r="T44">
        <f>HYPERLINK("https://klasma.github.io/Logging_2029/kartor/A 47601-2025 karta.png", "A 47601-2025")</f>
        <v/>
      </c>
      <c r="V44">
        <f>HYPERLINK("https://klasma.github.io/Logging_2029/klagomål/A 47601-2025 FSC-klagomål.docx", "A 47601-2025")</f>
        <v/>
      </c>
      <c r="W44">
        <f>HYPERLINK("https://klasma.github.io/Logging_2029/klagomålsmail/A 47601-2025 FSC-klagomål mail.docx", "A 47601-2025")</f>
        <v/>
      </c>
      <c r="X44">
        <f>HYPERLINK("https://klasma.github.io/Logging_2029/tillsyn/A 47601-2025 tillsynsbegäran.docx", "A 47601-2025")</f>
        <v/>
      </c>
      <c r="Y44">
        <f>HYPERLINK("https://klasma.github.io/Logging_2029/tillsynsmail/A 47601-2025 tillsynsbegäran mail.docx", "A 47601-2025")</f>
        <v/>
      </c>
    </row>
    <row r="45" ht="15" customHeight="1">
      <c r="A45" t="inlineStr">
        <is>
          <t>A 164-2024</t>
        </is>
      </c>
      <c r="B45" s="1" t="n">
        <v>45294.49954861111</v>
      </c>
      <c r="C45" s="1" t="n">
        <v>46074</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6029-2025</t>
        </is>
      </c>
      <c r="B46" s="1" t="n">
        <v>45695</v>
      </c>
      <c r="C46" s="1" t="n">
        <v>46074</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16735-2025</t>
        </is>
      </c>
      <c r="B47" s="1" t="n">
        <v>45754.54314814815</v>
      </c>
      <c r="C47" s="1" t="n">
        <v>46074</v>
      </c>
      <c r="D47" t="inlineStr">
        <is>
          <t>DALARNAS LÄN</t>
        </is>
      </c>
      <c r="E47" t="inlineStr">
        <is>
          <t>LEKSAND</t>
        </is>
      </c>
      <c r="G47" t="n">
        <v>1.8</v>
      </c>
      <c r="H47" t="n">
        <v>1</v>
      </c>
      <c r="I47" t="n">
        <v>0</v>
      </c>
      <c r="J47" t="n">
        <v>0</v>
      </c>
      <c r="K47" t="n">
        <v>0</v>
      </c>
      <c r="L47" t="n">
        <v>0</v>
      </c>
      <c r="M47" t="n">
        <v>0</v>
      </c>
      <c r="N47" t="n">
        <v>0</v>
      </c>
      <c r="O47" t="n">
        <v>0</v>
      </c>
      <c r="P47" t="n">
        <v>0</v>
      </c>
      <c r="Q47" t="n">
        <v>1</v>
      </c>
      <c r="R47" s="2" t="inlineStr">
        <is>
          <t>Gröngöling</t>
        </is>
      </c>
      <c r="S47">
        <f>HYPERLINK("https://klasma.github.io/Logging_2029/artfynd/A 16735-2025 artfynd.xlsx", "A 16735-2025")</f>
        <v/>
      </c>
      <c r="T47">
        <f>HYPERLINK("https://klasma.github.io/Logging_2029/kartor/A 16735-2025 karta.png", "A 16735-2025")</f>
        <v/>
      </c>
      <c r="V47">
        <f>HYPERLINK("https://klasma.github.io/Logging_2029/klagomål/A 16735-2025 FSC-klagomål.docx", "A 16735-2025")</f>
        <v/>
      </c>
      <c r="W47">
        <f>HYPERLINK("https://klasma.github.io/Logging_2029/klagomålsmail/A 16735-2025 FSC-klagomål mail.docx", "A 16735-2025")</f>
        <v/>
      </c>
      <c r="X47">
        <f>HYPERLINK("https://klasma.github.io/Logging_2029/tillsyn/A 16735-2025 tillsynsbegäran.docx", "A 16735-2025")</f>
        <v/>
      </c>
      <c r="Y47">
        <f>HYPERLINK("https://klasma.github.io/Logging_2029/tillsynsmail/A 16735-2025 tillsynsbegäran mail.docx", "A 16735-2025")</f>
        <v/>
      </c>
      <c r="Z47">
        <f>HYPERLINK("https://klasma.github.io/Logging_2029/fåglar/A 16735-2025 prioriterade fågelarter.docx", "A 16735-2025")</f>
        <v/>
      </c>
    </row>
    <row r="48" ht="15" customHeight="1">
      <c r="A48" t="inlineStr">
        <is>
          <t>A 16333-2023</t>
        </is>
      </c>
      <c r="B48" s="1" t="n">
        <v>45028</v>
      </c>
      <c r="C48" s="1" t="n">
        <v>46074</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36778-2025</t>
        </is>
      </c>
      <c r="B49" s="1" t="n">
        <v>45873</v>
      </c>
      <c r="C49" s="1" t="n">
        <v>46074</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53633-2024</t>
        </is>
      </c>
      <c r="B50" s="1" t="n">
        <v>45614.83726851852</v>
      </c>
      <c r="C50" s="1" t="n">
        <v>46074</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57760-2025</t>
        </is>
      </c>
      <c r="B51" s="1" t="n">
        <v>45981</v>
      </c>
      <c r="C51" s="1" t="n">
        <v>46074</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3061-2026</t>
        </is>
      </c>
      <c r="B52" s="1" t="n">
        <v>46039.95699074074</v>
      </c>
      <c r="C52" s="1" t="n">
        <v>46074</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46074</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46074</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366-2026</t>
        </is>
      </c>
      <c r="B55" s="1" t="n">
        <v>46027</v>
      </c>
      <c r="C55" s="1" t="n">
        <v>46074</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11218-2023</t>
        </is>
      </c>
      <c r="B56" s="1" t="n">
        <v>44992.62401620371</v>
      </c>
      <c r="C56" s="1" t="n">
        <v>46074</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26287-2023</t>
        </is>
      </c>
      <c r="B57" s="1" t="n">
        <v>45091</v>
      </c>
      <c r="C57" s="1" t="n">
        <v>46074</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59205-2023</t>
        </is>
      </c>
      <c r="B58" s="1" t="n">
        <v>45251</v>
      </c>
      <c r="C58" s="1" t="n">
        <v>46074</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52600-2024</t>
        </is>
      </c>
      <c r="B59" s="1" t="n">
        <v>45609</v>
      </c>
      <c r="C59" s="1" t="n">
        <v>46074</v>
      </c>
      <c r="D59" t="inlineStr">
        <is>
          <t>DALARNAS LÄN</t>
        </is>
      </c>
      <c r="E59" t="inlineStr">
        <is>
          <t>LEKSAND</t>
        </is>
      </c>
      <c r="G59" t="n">
        <v>3.4</v>
      </c>
      <c r="H59" t="n">
        <v>1</v>
      </c>
      <c r="I59" t="n">
        <v>0</v>
      </c>
      <c r="J59" t="n">
        <v>0</v>
      </c>
      <c r="K59" t="n">
        <v>0</v>
      </c>
      <c r="L59" t="n">
        <v>0</v>
      </c>
      <c r="M59" t="n">
        <v>0</v>
      </c>
      <c r="N59" t="n">
        <v>0</v>
      </c>
      <c r="O59" t="n">
        <v>0</v>
      </c>
      <c r="P59" t="n">
        <v>0</v>
      </c>
      <c r="Q59" t="n">
        <v>1</v>
      </c>
      <c r="R59" s="2" t="inlineStr">
        <is>
          <t>Fläcknycklar</t>
        </is>
      </c>
      <c r="S59">
        <f>HYPERLINK("https://klasma.github.io/Logging_2029/artfynd/A 52600-2024 artfynd.xlsx", "A 52600-2024")</f>
        <v/>
      </c>
      <c r="T59">
        <f>HYPERLINK("https://klasma.github.io/Logging_2029/kartor/A 52600-2024 karta.png", "A 52600-2024")</f>
        <v/>
      </c>
      <c r="V59">
        <f>HYPERLINK("https://klasma.github.io/Logging_2029/klagomål/A 52600-2024 FSC-klagomål.docx", "A 52600-2024")</f>
        <v/>
      </c>
      <c r="W59">
        <f>HYPERLINK("https://klasma.github.io/Logging_2029/klagomålsmail/A 52600-2024 FSC-klagomål mail.docx", "A 52600-2024")</f>
        <v/>
      </c>
      <c r="X59">
        <f>HYPERLINK("https://klasma.github.io/Logging_2029/tillsyn/A 52600-2024 tillsynsbegäran.docx", "A 52600-2024")</f>
        <v/>
      </c>
      <c r="Y59">
        <f>HYPERLINK("https://klasma.github.io/Logging_2029/tillsynsmail/A 52600-2024 tillsynsbegäran mail.docx", "A 52600-2024")</f>
        <v/>
      </c>
    </row>
    <row r="60" ht="15" customHeight="1">
      <c r="A60" t="inlineStr">
        <is>
          <t>A 31124-2024</t>
        </is>
      </c>
      <c r="B60" s="1" t="n">
        <v>45502.62886574074</v>
      </c>
      <c r="C60" s="1" t="n">
        <v>46074</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46074</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46074</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46074</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46074</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46074</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46074</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46074</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46074</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46074</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46074</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46074</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21132-2021</t>
        </is>
      </c>
      <c r="B72" s="1" t="n">
        <v>44319</v>
      </c>
      <c r="C72" s="1" t="n">
        <v>46074</v>
      </c>
      <c r="D72" t="inlineStr">
        <is>
          <t>DALARNAS LÄN</t>
        </is>
      </c>
      <c r="E72" t="inlineStr">
        <is>
          <t>LEKSAND</t>
        </is>
      </c>
      <c r="G72" t="n">
        <v>6.8</v>
      </c>
      <c r="H72" t="n">
        <v>0</v>
      </c>
      <c r="I72" t="n">
        <v>0</v>
      </c>
      <c r="J72" t="n">
        <v>0</v>
      </c>
      <c r="K72" t="n">
        <v>0</v>
      </c>
      <c r="L72" t="n">
        <v>0</v>
      </c>
      <c r="M72" t="n">
        <v>0</v>
      </c>
      <c r="N72" t="n">
        <v>0</v>
      </c>
      <c r="O72" t="n">
        <v>0</v>
      </c>
      <c r="P72" t="n">
        <v>0</v>
      </c>
      <c r="Q72" t="n">
        <v>0</v>
      </c>
      <c r="R72" s="2" t="inlineStr"/>
    </row>
    <row r="73" ht="15" customHeight="1">
      <c r="A73" t="inlineStr">
        <is>
          <t>A 64718-2021</t>
        </is>
      </c>
      <c r="B73" s="1" t="n">
        <v>44512.37575231482</v>
      </c>
      <c r="C73" s="1" t="n">
        <v>46074</v>
      </c>
      <c r="D73" t="inlineStr">
        <is>
          <t>DALARNAS LÄN</t>
        </is>
      </c>
      <c r="E73" t="inlineStr">
        <is>
          <t>LEKSAND</t>
        </is>
      </c>
      <c r="G73" t="n">
        <v>1</v>
      </c>
      <c r="H73" t="n">
        <v>0</v>
      </c>
      <c r="I73" t="n">
        <v>0</v>
      </c>
      <c r="J73" t="n">
        <v>0</v>
      </c>
      <c r="K73" t="n">
        <v>0</v>
      </c>
      <c r="L73" t="n">
        <v>0</v>
      </c>
      <c r="M73" t="n">
        <v>0</v>
      </c>
      <c r="N73" t="n">
        <v>0</v>
      </c>
      <c r="O73" t="n">
        <v>0</v>
      </c>
      <c r="P73" t="n">
        <v>0</v>
      </c>
      <c r="Q73" t="n">
        <v>0</v>
      </c>
      <c r="R73" s="2" t="inlineStr"/>
    </row>
    <row r="74" ht="15" customHeight="1">
      <c r="A74" t="inlineStr">
        <is>
          <t>A 16976-2022</t>
        </is>
      </c>
      <c r="B74" s="1" t="n">
        <v>44676</v>
      </c>
      <c r="C74" s="1" t="n">
        <v>46074</v>
      </c>
      <c r="D74" t="inlineStr">
        <is>
          <t>DALARNAS LÄN</t>
        </is>
      </c>
      <c r="E74" t="inlineStr">
        <is>
          <t>LEKSAND</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46074</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46074</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46074</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46074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46074</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46074</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46074</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46074</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46074</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46074</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46074</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46074</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46074</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46074</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46074</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46074</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46074</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46074</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46074</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46074</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46074</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46074</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46074</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46074</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46074</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46074</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46074</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46074</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46074</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46074</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46074</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46074</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46074</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46074</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46074</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46074</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46074</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46074</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46074</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46074</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46074</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46074</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46074</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46141-2022</t>
        </is>
      </c>
      <c r="B121" s="1" t="n">
        <v>44846</v>
      </c>
      <c r="C121" s="1" t="n">
        <v>46074</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46074</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46074</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18484-2024</t>
        </is>
      </c>
      <c r="B124" s="1" t="n">
        <v>45425.52559027778</v>
      </c>
      <c r="C124" s="1" t="n">
        <v>46074</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46074</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46074</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46074</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41840-2024</t>
        </is>
      </c>
      <c r="B128" s="1" t="n">
        <v>45561.42170138889</v>
      </c>
      <c r="C128" s="1" t="n">
        <v>46074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46074</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46074</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46074</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46074</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46074</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46074</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46074</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38117-2023</t>
        </is>
      </c>
      <c r="B136" s="1" t="n">
        <v>45161</v>
      </c>
      <c r="C136" s="1" t="n">
        <v>46074</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46074</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11617-2024</t>
        </is>
      </c>
      <c r="B138" s="1" t="n">
        <v>45373.42898148148</v>
      </c>
      <c r="C138" s="1" t="n">
        <v>46074</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59763-2023</t>
        </is>
      </c>
      <c r="B139" s="1" t="n">
        <v>45257</v>
      </c>
      <c r="C139" s="1" t="n">
        <v>46074</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46074</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33674-2023</t>
        </is>
      </c>
      <c r="B141" s="1" t="n">
        <v>45132</v>
      </c>
      <c r="C141" s="1" t="n">
        <v>46074</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22388-2024</t>
        </is>
      </c>
      <c r="B142" s="1" t="n">
        <v>45446</v>
      </c>
      <c r="C142" s="1" t="n">
        <v>46074</v>
      </c>
      <c r="D142" t="inlineStr">
        <is>
          <t>DALARNAS LÄN</t>
        </is>
      </c>
      <c r="E142" t="inlineStr">
        <is>
          <t>LEKSAND</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31728-2024</t>
        </is>
      </c>
      <c r="B143" s="1" t="n">
        <v>45509.34517361111</v>
      </c>
      <c r="C143" s="1" t="n">
        <v>46074</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46074</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325-2023</t>
        </is>
      </c>
      <c r="B145" s="1" t="n">
        <v>44929</v>
      </c>
      <c r="C145" s="1" t="n">
        <v>46074</v>
      </c>
      <c r="D145" t="inlineStr">
        <is>
          <t>DALARNAS LÄN</t>
        </is>
      </c>
      <c r="E145" t="inlineStr">
        <is>
          <t>LEKSAND</t>
        </is>
      </c>
      <c r="F145" t="inlineStr">
        <is>
          <t>Övriga Aktiebolag</t>
        </is>
      </c>
      <c r="G145" t="n">
        <v>7.1</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46074</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46074</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46074</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61055-2023</t>
        </is>
      </c>
      <c r="B149" s="1" t="n">
        <v>45261</v>
      </c>
      <c r="C149" s="1" t="n">
        <v>46074</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46074</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46074</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34041-2024</t>
        </is>
      </c>
      <c r="B152" s="1" t="n">
        <v>45523.59895833334</v>
      </c>
      <c r="C152" s="1" t="n">
        <v>46074</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46074</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46074</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46074</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46074</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60040-2023</t>
        </is>
      </c>
      <c r="B157" s="1" t="n">
        <v>45256</v>
      </c>
      <c r="C157" s="1" t="n">
        <v>46074</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61288-2022</t>
        </is>
      </c>
      <c r="B158" s="1" t="n">
        <v>44915</v>
      </c>
      <c r="C158" s="1" t="n">
        <v>46074</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1215-2024</t>
        </is>
      </c>
      <c r="B159" s="1" t="n">
        <v>45302</v>
      </c>
      <c r="C159" s="1" t="n">
        <v>46074</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52059-2024</t>
        </is>
      </c>
      <c r="B160" s="1" t="n">
        <v>45608.35609953704</v>
      </c>
      <c r="C160" s="1" t="n">
        <v>46074</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55268-2024</t>
        </is>
      </c>
      <c r="B161" s="1" t="n">
        <v>45621.61266203703</v>
      </c>
      <c r="C161" s="1" t="n">
        <v>46074</v>
      </c>
      <c r="D161" t="inlineStr">
        <is>
          <t>DALARNAS LÄN</t>
        </is>
      </c>
      <c r="E161" t="inlineStr">
        <is>
          <t>LEKSAND</t>
        </is>
      </c>
      <c r="G161" t="n">
        <v>4.2</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46074</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8743-2023</t>
        </is>
      </c>
      <c r="B163" s="1" t="n">
        <v>44978</v>
      </c>
      <c r="C163" s="1" t="n">
        <v>46074</v>
      </c>
      <c r="D163" t="inlineStr">
        <is>
          <t>DALARNAS LÄN</t>
        </is>
      </c>
      <c r="E163" t="inlineStr">
        <is>
          <t>LEKSAND</t>
        </is>
      </c>
      <c r="G163" t="n">
        <v>3</v>
      </c>
      <c r="H163" t="n">
        <v>0</v>
      </c>
      <c r="I163" t="n">
        <v>0</v>
      </c>
      <c r="J163" t="n">
        <v>0</v>
      </c>
      <c r="K163" t="n">
        <v>0</v>
      </c>
      <c r="L163" t="n">
        <v>0</v>
      </c>
      <c r="M163" t="n">
        <v>0</v>
      </c>
      <c r="N163" t="n">
        <v>0</v>
      </c>
      <c r="O163" t="n">
        <v>0</v>
      </c>
      <c r="P163" t="n">
        <v>0</v>
      </c>
      <c r="Q163" t="n">
        <v>0</v>
      </c>
      <c r="R163" s="2" t="inlineStr"/>
    </row>
    <row r="164" ht="15" customHeight="1">
      <c r="A164" t="inlineStr">
        <is>
          <t>A 15020-2023</t>
        </is>
      </c>
      <c r="B164" s="1" t="n">
        <v>45015.6196412037</v>
      </c>
      <c r="C164" s="1" t="n">
        <v>46074</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17759-2023</t>
        </is>
      </c>
      <c r="B165" s="1" t="n">
        <v>45037.48765046296</v>
      </c>
      <c r="C165" s="1" t="n">
        <v>46074</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402-2024</t>
        </is>
      </c>
      <c r="B166" s="1" t="n">
        <v>45296.45545138889</v>
      </c>
      <c r="C166" s="1" t="n">
        <v>46074</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46074</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46074</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46074</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53717-2023</t>
        </is>
      </c>
      <c r="B170" s="1" t="n">
        <v>45230</v>
      </c>
      <c r="C170" s="1" t="n">
        <v>46074</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57013-2023</t>
        </is>
      </c>
      <c r="B171" s="1" t="n">
        <v>45244</v>
      </c>
      <c r="C171" s="1" t="n">
        <v>46074</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2140-2024</t>
        </is>
      </c>
      <c r="B172" s="1" t="n">
        <v>45309</v>
      </c>
      <c r="C172" s="1" t="n">
        <v>46074</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46074</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46074</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46074</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22349-2024</t>
        </is>
      </c>
      <c r="B176" s="1" t="n">
        <v>45446</v>
      </c>
      <c r="C176" s="1" t="n">
        <v>46074</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11004-2023</t>
        </is>
      </c>
      <c r="B177" s="1" t="n">
        <v>44986</v>
      </c>
      <c r="C177" s="1" t="n">
        <v>46074</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32688-2024</t>
        </is>
      </c>
      <c r="B178" s="1" t="n">
        <v>45515.83091435185</v>
      </c>
      <c r="C178" s="1" t="n">
        <v>46074</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47854-2023</t>
        </is>
      </c>
      <c r="B179" s="1" t="n">
        <v>45198</v>
      </c>
      <c r="C179" s="1" t="n">
        <v>46074</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9459-2023</t>
        </is>
      </c>
      <c r="B180" s="1" t="n">
        <v>44977</v>
      </c>
      <c r="C180" s="1" t="n">
        <v>46074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30198-2024</t>
        </is>
      </c>
      <c r="B181" s="1" t="n">
        <v>45490.34765046297</v>
      </c>
      <c r="C181" s="1" t="n">
        <v>46074</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59718-2023</t>
        </is>
      </c>
      <c r="B182" s="1" t="n">
        <v>45257</v>
      </c>
      <c r="C182" s="1" t="n">
        <v>46074</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7395-2025</t>
        </is>
      </c>
      <c r="B183" s="1" t="n">
        <v>45705.34516203704</v>
      </c>
      <c r="C183" s="1" t="n">
        <v>46074</v>
      </c>
      <c r="D183" t="inlineStr">
        <is>
          <t>DALARNAS LÄN</t>
        </is>
      </c>
      <c r="E183" t="inlineStr">
        <is>
          <t>LEKSAND</t>
        </is>
      </c>
      <c r="G183" t="n">
        <v>1.8</v>
      </c>
      <c r="H183" t="n">
        <v>0</v>
      </c>
      <c r="I183" t="n">
        <v>0</v>
      </c>
      <c r="J183" t="n">
        <v>0</v>
      </c>
      <c r="K183" t="n">
        <v>0</v>
      </c>
      <c r="L183" t="n">
        <v>0</v>
      </c>
      <c r="M183" t="n">
        <v>0</v>
      </c>
      <c r="N183" t="n">
        <v>0</v>
      </c>
      <c r="O183" t="n">
        <v>0</v>
      </c>
      <c r="P183" t="n">
        <v>0</v>
      </c>
      <c r="Q183" t="n">
        <v>0</v>
      </c>
      <c r="R183" s="2" t="inlineStr"/>
    </row>
    <row r="184" ht="15" customHeight="1">
      <c r="A184" t="inlineStr">
        <is>
          <t>A 16744-2025</t>
        </is>
      </c>
      <c r="B184" s="1" t="n">
        <v>45754</v>
      </c>
      <c r="C184" s="1" t="n">
        <v>46074</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43419-2024</t>
        </is>
      </c>
      <c r="B185" s="1" t="n">
        <v>45568</v>
      </c>
      <c r="C185" s="1" t="n">
        <v>46074</v>
      </c>
      <c r="D185" t="inlineStr">
        <is>
          <t>DALARNAS LÄN</t>
        </is>
      </c>
      <c r="E185" t="inlineStr">
        <is>
          <t>LEKSAND</t>
        </is>
      </c>
      <c r="G185" t="n">
        <v>0.4</v>
      </c>
      <c r="H185" t="n">
        <v>0</v>
      </c>
      <c r="I185" t="n">
        <v>0</v>
      </c>
      <c r="J185" t="n">
        <v>0</v>
      </c>
      <c r="K185" t="n">
        <v>0</v>
      </c>
      <c r="L185" t="n">
        <v>0</v>
      </c>
      <c r="M185" t="n">
        <v>0</v>
      </c>
      <c r="N185" t="n">
        <v>0</v>
      </c>
      <c r="O185" t="n">
        <v>0</v>
      </c>
      <c r="P185" t="n">
        <v>0</v>
      </c>
      <c r="Q185" t="n">
        <v>0</v>
      </c>
      <c r="R185" s="2" t="inlineStr"/>
    </row>
    <row r="186" ht="15" customHeight="1">
      <c r="A186" t="inlineStr">
        <is>
          <t>A 28633-2023</t>
        </is>
      </c>
      <c r="B186" s="1" t="n">
        <v>45103.61575231481</v>
      </c>
      <c r="C186" s="1" t="n">
        <v>46074</v>
      </c>
      <c r="D186" t="inlineStr">
        <is>
          <t>DALARNAS LÄN</t>
        </is>
      </c>
      <c r="E186" t="inlineStr">
        <is>
          <t>LEKSAND</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11859-2024</t>
        </is>
      </c>
      <c r="B187" s="1" t="n">
        <v>45376.44569444445</v>
      </c>
      <c r="C187" s="1" t="n">
        <v>46074</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72575-2021</t>
        </is>
      </c>
      <c r="B188" s="1" t="n">
        <v>44546</v>
      </c>
      <c r="C188" s="1" t="n">
        <v>46074</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72581-2021</t>
        </is>
      </c>
      <c r="B189" s="1" t="n">
        <v>44546.46354166666</v>
      </c>
      <c r="C189" s="1" t="n">
        <v>46074</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33143-2024</t>
        </is>
      </c>
      <c r="B190" s="1" t="n">
        <v>45518</v>
      </c>
      <c r="C190" s="1" t="n">
        <v>46074</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46074</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46074</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51320-2023</t>
        </is>
      </c>
      <c r="B193" s="1" t="n">
        <v>45219.57456018519</v>
      </c>
      <c r="C193" s="1" t="n">
        <v>46074</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61252-2023</t>
        </is>
      </c>
      <c r="B194" s="1" t="n">
        <v>45261</v>
      </c>
      <c r="C194" s="1" t="n">
        <v>46074</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28630-2023</t>
        </is>
      </c>
      <c r="B195" s="1" t="n">
        <v>45103.61003472222</v>
      </c>
      <c r="C195" s="1" t="n">
        <v>46074</v>
      </c>
      <c r="D195" t="inlineStr">
        <is>
          <t>DALARNAS LÄN</t>
        </is>
      </c>
      <c r="E195" t="inlineStr">
        <is>
          <t>LEKSAND</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45512-2023</t>
        </is>
      </c>
      <c r="B196" s="1" t="n">
        <v>45194.49178240741</v>
      </c>
      <c r="C196" s="1" t="n">
        <v>46074</v>
      </c>
      <c r="D196" t="inlineStr">
        <is>
          <t>DALARNAS LÄN</t>
        </is>
      </c>
      <c r="E196" t="inlineStr">
        <is>
          <t>LEKSAND</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60024-2023</t>
        </is>
      </c>
      <c r="B197" s="1" t="n">
        <v>45258</v>
      </c>
      <c r="C197" s="1" t="n">
        <v>46074</v>
      </c>
      <c r="D197" t="inlineStr">
        <is>
          <t>DALARNAS LÄN</t>
        </is>
      </c>
      <c r="E197" t="inlineStr">
        <is>
          <t>LEKSAND</t>
        </is>
      </c>
      <c r="G197" t="n">
        <v>4.2</v>
      </c>
      <c r="H197" t="n">
        <v>0</v>
      </c>
      <c r="I197" t="n">
        <v>0</v>
      </c>
      <c r="J197" t="n">
        <v>0</v>
      </c>
      <c r="K197" t="n">
        <v>0</v>
      </c>
      <c r="L197" t="n">
        <v>0</v>
      </c>
      <c r="M197" t="n">
        <v>0</v>
      </c>
      <c r="N197" t="n">
        <v>0</v>
      </c>
      <c r="O197" t="n">
        <v>0</v>
      </c>
      <c r="P197" t="n">
        <v>0</v>
      </c>
      <c r="Q197" t="n">
        <v>0</v>
      </c>
      <c r="R197" s="2" t="inlineStr"/>
    </row>
    <row r="198" ht="15" customHeight="1">
      <c r="A198" t="inlineStr">
        <is>
          <t>A 19330-2025</t>
        </is>
      </c>
      <c r="B198" s="1" t="n">
        <v>45769</v>
      </c>
      <c r="C198" s="1" t="n">
        <v>46074</v>
      </c>
      <c r="D198" t="inlineStr">
        <is>
          <t>DALARNAS LÄN</t>
        </is>
      </c>
      <c r="E198" t="inlineStr">
        <is>
          <t>LEKSAND</t>
        </is>
      </c>
      <c r="G198" t="n">
        <v>1.6</v>
      </c>
      <c r="H198" t="n">
        <v>0</v>
      </c>
      <c r="I198" t="n">
        <v>0</v>
      </c>
      <c r="J198" t="n">
        <v>0</v>
      </c>
      <c r="K198" t="n">
        <v>0</v>
      </c>
      <c r="L198" t="n">
        <v>0</v>
      </c>
      <c r="M198" t="n">
        <v>0</v>
      </c>
      <c r="N198" t="n">
        <v>0</v>
      </c>
      <c r="O198" t="n">
        <v>0</v>
      </c>
      <c r="P198" t="n">
        <v>0</v>
      </c>
      <c r="Q198" t="n">
        <v>0</v>
      </c>
      <c r="R198" s="2" t="inlineStr"/>
    </row>
    <row r="199" ht="15" customHeight="1">
      <c r="A199" t="inlineStr">
        <is>
          <t>A 44491-2023</t>
        </is>
      </c>
      <c r="B199" s="1" t="n">
        <v>45183</v>
      </c>
      <c r="C199" s="1" t="n">
        <v>46074</v>
      </c>
      <c r="D199" t="inlineStr">
        <is>
          <t>DALARNAS LÄN</t>
        </is>
      </c>
      <c r="E199" t="inlineStr">
        <is>
          <t>LEKSAND</t>
        </is>
      </c>
      <c r="G199" t="n">
        <v>2.6</v>
      </c>
      <c r="H199" t="n">
        <v>0</v>
      </c>
      <c r="I199" t="n">
        <v>0</v>
      </c>
      <c r="J199" t="n">
        <v>0</v>
      </c>
      <c r="K199" t="n">
        <v>0</v>
      </c>
      <c r="L199" t="n">
        <v>0</v>
      </c>
      <c r="M199" t="n">
        <v>0</v>
      </c>
      <c r="N199" t="n">
        <v>0</v>
      </c>
      <c r="O199" t="n">
        <v>0</v>
      </c>
      <c r="P199" t="n">
        <v>0</v>
      </c>
      <c r="Q199" t="n">
        <v>0</v>
      </c>
      <c r="R199" s="2" t="inlineStr"/>
    </row>
    <row r="200" ht="15" customHeight="1">
      <c r="A200" t="inlineStr">
        <is>
          <t>A 59826-2023</t>
        </is>
      </c>
      <c r="B200" s="1" t="n">
        <v>45254</v>
      </c>
      <c r="C200" s="1" t="n">
        <v>46074</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28913-2024</t>
        </is>
      </c>
      <c r="B201" s="1" t="n">
        <v>45480.75318287037</v>
      </c>
      <c r="C201" s="1" t="n">
        <v>46074</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14617-2024</t>
        </is>
      </c>
      <c r="B202" s="1" t="n">
        <v>45397</v>
      </c>
      <c r="C202" s="1" t="n">
        <v>46074</v>
      </c>
      <c r="D202" t="inlineStr">
        <is>
          <t>DALARNAS LÄN</t>
        </is>
      </c>
      <c r="E202" t="inlineStr">
        <is>
          <t>LEKSAND</t>
        </is>
      </c>
      <c r="G202" t="n">
        <v>0.2</v>
      </c>
      <c r="H202" t="n">
        <v>0</v>
      </c>
      <c r="I202" t="n">
        <v>0</v>
      </c>
      <c r="J202" t="n">
        <v>0</v>
      </c>
      <c r="K202" t="n">
        <v>0</v>
      </c>
      <c r="L202" t="n">
        <v>0</v>
      </c>
      <c r="M202" t="n">
        <v>0</v>
      </c>
      <c r="N202" t="n">
        <v>0</v>
      </c>
      <c r="O202" t="n">
        <v>0</v>
      </c>
      <c r="P202" t="n">
        <v>0</v>
      </c>
      <c r="Q202" t="n">
        <v>0</v>
      </c>
      <c r="R202" s="2" t="inlineStr"/>
    </row>
    <row r="203" ht="15" customHeight="1">
      <c r="A203" t="inlineStr">
        <is>
          <t>A 60945-2024</t>
        </is>
      </c>
      <c r="B203" s="1" t="n">
        <v>45645.37893518519</v>
      </c>
      <c r="C203" s="1" t="n">
        <v>46074</v>
      </c>
      <c r="D203" t="inlineStr">
        <is>
          <t>DALARNAS LÄN</t>
        </is>
      </c>
      <c r="E203" t="inlineStr">
        <is>
          <t>LEKSAND</t>
        </is>
      </c>
      <c r="G203" t="n">
        <v>2.2</v>
      </c>
      <c r="H203" t="n">
        <v>0</v>
      </c>
      <c r="I203" t="n">
        <v>0</v>
      </c>
      <c r="J203" t="n">
        <v>0</v>
      </c>
      <c r="K203" t="n">
        <v>0</v>
      </c>
      <c r="L203" t="n">
        <v>0</v>
      </c>
      <c r="M203" t="n">
        <v>0</v>
      </c>
      <c r="N203" t="n">
        <v>0</v>
      </c>
      <c r="O203" t="n">
        <v>0</v>
      </c>
      <c r="P203" t="n">
        <v>0</v>
      </c>
      <c r="Q203" t="n">
        <v>0</v>
      </c>
      <c r="R203" s="2" t="inlineStr"/>
    </row>
    <row r="204" ht="15" customHeight="1">
      <c r="A204" t="inlineStr">
        <is>
          <t>A 60692-2023</t>
        </is>
      </c>
      <c r="B204" s="1" t="n">
        <v>45260.50008101852</v>
      </c>
      <c r="C204" s="1" t="n">
        <v>46074</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7467-2023</t>
        </is>
      </c>
      <c r="B205" s="1" t="n">
        <v>44966</v>
      </c>
      <c r="C205" s="1" t="n">
        <v>46074</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46074</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27984-2025</t>
        </is>
      </c>
      <c r="B207" s="1" t="n">
        <v>45817.57710648148</v>
      </c>
      <c r="C207" s="1" t="n">
        <v>46074</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1267-2025</t>
        </is>
      </c>
      <c r="B208" s="1" t="n">
        <v>45667</v>
      </c>
      <c r="C208" s="1" t="n">
        <v>46074</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19700-2025</t>
        </is>
      </c>
      <c r="B209" s="1" t="n">
        <v>45771.32445601852</v>
      </c>
      <c r="C209" s="1" t="n">
        <v>46074</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38721-2025</t>
        </is>
      </c>
      <c r="B210" s="1" t="n">
        <v>45886.83605324074</v>
      </c>
      <c r="C210" s="1" t="n">
        <v>46074</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51857-2022</t>
        </is>
      </c>
      <c r="B211" s="1" t="n">
        <v>44867</v>
      </c>
      <c r="C211" s="1" t="n">
        <v>46074</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47640-2024</t>
        </is>
      </c>
      <c r="B212" s="1" t="n">
        <v>45588.36508101852</v>
      </c>
      <c r="C212" s="1" t="n">
        <v>46074</v>
      </c>
      <c r="D212" t="inlineStr">
        <is>
          <t>DALARNAS LÄN</t>
        </is>
      </c>
      <c r="E212" t="inlineStr">
        <is>
          <t>LEKSAND</t>
        </is>
      </c>
      <c r="G212" t="n">
        <v>9.1</v>
      </c>
      <c r="H212" t="n">
        <v>0</v>
      </c>
      <c r="I212" t="n">
        <v>0</v>
      </c>
      <c r="J212" t="n">
        <v>0</v>
      </c>
      <c r="K212" t="n">
        <v>0</v>
      </c>
      <c r="L212" t="n">
        <v>0</v>
      </c>
      <c r="M212" t="n">
        <v>0</v>
      </c>
      <c r="N212" t="n">
        <v>0</v>
      </c>
      <c r="O212" t="n">
        <v>0</v>
      </c>
      <c r="P212" t="n">
        <v>0</v>
      </c>
      <c r="Q212" t="n">
        <v>0</v>
      </c>
      <c r="R212" s="2" t="inlineStr"/>
    </row>
    <row r="213" ht="15" customHeight="1">
      <c r="A213" t="inlineStr">
        <is>
          <t>A 12582-2025</t>
        </is>
      </c>
      <c r="B213" s="1" t="n">
        <v>45732.62988425926</v>
      </c>
      <c r="C213" s="1" t="n">
        <v>46074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62116-2024</t>
        </is>
      </c>
      <c r="B214" s="1" t="n">
        <v>45646</v>
      </c>
      <c r="C214" s="1" t="n">
        <v>46074</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30169-2023</t>
        </is>
      </c>
      <c r="B215" s="1" t="n">
        <v>45110</v>
      </c>
      <c r="C215" s="1" t="n">
        <v>46074</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28499-2025</t>
        </is>
      </c>
      <c r="B216" s="1" t="n">
        <v>45818</v>
      </c>
      <c r="C216" s="1" t="n">
        <v>46074</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13063-2023</t>
        </is>
      </c>
      <c r="B217" s="1" t="n">
        <v>45001</v>
      </c>
      <c r="C217" s="1" t="n">
        <v>46074</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14943-2023</t>
        </is>
      </c>
      <c r="B218" s="1" t="n">
        <v>45015</v>
      </c>
      <c r="C218" s="1" t="n">
        <v>46074</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28483-2025</t>
        </is>
      </c>
      <c r="B219" s="1" t="n">
        <v>45818</v>
      </c>
      <c r="C219" s="1" t="n">
        <v>46074</v>
      </c>
      <c r="D219" t="inlineStr">
        <is>
          <t>DALARNAS LÄN</t>
        </is>
      </c>
      <c r="E219" t="inlineStr">
        <is>
          <t>LEKSAND</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28458-2025</t>
        </is>
      </c>
      <c r="B220" s="1" t="n">
        <v>45819.413125</v>
      </c>
      <c r="C220" s="1" t="n">
        <v>46074</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46074</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28488-2025</t>
        </is>
      </c>
      <c r="B222" s="1" t="n">
        <v>45818</v>
      </c>
      <c r="C222" s="1" t="n">
        <v>46074</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54289-2023</t>
        </is>
      </c>
      <c r="B223" s="1" t="n">
        <v>45232.71193287037</v>
      </c>
      <c r="C223" s="1" t="n">
        <v>46074</v>
      </c>
      <c r="D223" t="inlineStr">
        <is>
          <t>DALARNAS LÄN</t>
        </is>
      </c>
      <c r="E223" t="inlineStr">
        <is>
          <t>LEKSAND</t>
        </is>
      </c>
      <c r="G223" t="n">
        <v>2</v>
      </c>
      <c r="H223" t="n">
        <v>0</v>
      </c>
      <c r="I223" t="n">
        <v>0</v>
      </c>
      <c r="J223" t="n">
        <v>0</v>
      </c>
      <c r="K223" t="n">
        <v>0</v>
      </c>
      <c r="L223" t="n">
        <v>0</v>
      </c>
      <c r="M223" t="n">
        <v>0</v>
      </c>
      <c r="N223" t="n">
        <v>0</v>
      </c>
      <c r="O223" t="n">
        <v>0</v>
      </c>
      <c r="P223" t="n">
        <v>0</v>
      </c>
      <c r="Q223" t="n">
        <v>0</v>
      </c>
      <c r="R223" s="2" t="inlineStr"/>
    </row>
    <row r="224" ht="15" customHeight="1">
      <c r="A224" t="inlineStr">
        <is>
          <t>A 28770-2025</t>
        </is>
      </c>
      <c r="B224" s="1" t="n">
        <v>45820</v>
      </c>
      <c r="C224" s="1" t="n">
        <v>46074</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28985-2025</t>
        </is>
      </c>
      <c r="B225" s="1" t="n">
        <v>45821.36862268519</v>
      </c>
      <c r="C225" s="1" t="n">
        <v>46074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11869-2024</t>
        </is>
      </c>
      <c r="B226" s="1" t="n">
        <v>45376.45800925926</v>
      </c>
      <c r="C226" s="1" t="n">
        <v>46074</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32666-2023</t>
        </is>
      </c>
      <c r="B227" s="1" t="n">
        <v>45121</v>
      </c>
      <c r="C227" s="1" t="n">
        <v>46074</v>
      </c>
      <c r="D227" t="inlineStr">
        <is>
          <t>DALARNAS LÄN</t>
        </is>
      </c>
      <c r="E227" t="inlineStr">
        <is>
          <t>LEKSAND</t>
        </is>
      </c>
      <c r="G227" t="n">
        <v>9.9</v>
      </c>
      <c r="H227" t="n">
        <v>0</v>
      </c>
      <c r="I227" t="n">
        <v>0</v>
      </c>
      <c r="J227" t="n">
        <v>0</v>
      </c>
      <c r="K227" t="n">
        <v>0</v>
      </c>
      <c r="L227" t="n">
        <v>0</v>
      </c>
      <c r="M227" t="n">
        <v>0</v>
      </c>
      <c r="N227" t="n">
        <v>0</v>
      </c>
      <c r="O227" t="n">
        <v>0</v>
      </c>
      <c r="P227" t="n">
        <v>0</v>
      </c>
      <c r="Q227" t="n">
        <v>0</v>
      </c>
      <c r="R227" s="2" t="inlineStr"/>
    </row>
    <row r="228" ht="15" customHeight="1">
      <c r="A228" t="inlineStr">
        <is>
          <t>A 29553-2025</t>
        </is>
      </c>
      <c r="B228" s="1" t="n">
        <v>45825.35315972222</v>
      </c>
      <c r="C228" s="1" t="n">
        <v>46074</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5231-2024</t>
        </is>
      </c>
      <c r="B229" s="1" t="n">
        <v>45330</v>
      </c>
      <c r="C229" s="1" t="n">
        <v>46074</v>
      </c>
      <c r="D229" t="inlineStr">
        <is>
          <t>DALARNAS LÄN</t>
        </is>
      </c>
      <c r="E229" t="inlineStr">
        <is>
          <t>LEKSAND</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16137-2023</t>
        </is>
      </c>
      <c r="B230" s="1" t="n">
        <v>45027</v>
      </c>
      <c r="C230" s="1" t="n">
        <v>46074</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19618-2024</t>
        </is>
      </c>
      <c r="B231" s="1" t="n">
        <v>45432.32896990741</v>
      </c>
      <c r="C231" s="1" t="n">
        <v>46074</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46074</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54682-2023</t>
        </is>
      </c>
      <c r="B233" s="1" t="n">
        <v>45235.90439814814</v>
      </c>
      <c r="C233" s="1" t="n">
        <v>46074</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29729-2025</t>
        </is>
      </c>
      <c r="B234" s="1" t="n">
        <v>45825.58077546296</v>
      </c>
      <c r="C234" s="1" t="n">
        <v>46074</v>
      </c>
      <c r="D234" t="inlineStr">
        <is>
          <t>DALARNAS LÄN</t>
        </is>
      </c>
      <c r="E234" t="inlineStr">
        <is>
          <t>LEKSAND</t>
        </is>
      </c>
      <c r="F234" t="inlineStr">
        <is>
          <t>Bergvik skog väst AB</t>
        </is>
      </c>
      <c r="G234" t="n">
        <v>4.3</v>
      </c>
      <c r="H234" t="n">
        <v>0</v>
      </c>
      <c r="I234" t="n">
        <v>0</v>
      </c>
      <c r="J234" t="n">
        <v>0</v>
      </c>
      <c r="K234" t="n">
        <v>0</v>
      </c>
      <c r="L234" t="n">
        <v>0</v>
      </c>
      <c r="M234" t="n">
        <v>0</v>
      </c>
      <c r="N234" t="n">
        <v>0</v>
      </c>
      <c r="O234" t="n">
        <v>0</v>
      </c>
      <c r="P234" t="n">
        <v>0</v>
      </c>
      <c r="Q234" t="n">
        <v>0</v>
      </c>
      <c r="R234" s="2" t="inlineStr"/>
    </row>
    <row r="235" ht="15" customHeight="1">
      <c r="A235" t="inlineStr">
        <is>
          <t>A 30254-2025</t>
        </is>
      </c>
      <c r="B235" s="1" t="n">
        <v>45827.42336805556</v>
      </c>
      <c r="C235" s="1" t="n">
        <v>46074</v>
      </c>
      <c r="D235" t="inlineStr">
        <is>
          <t>DALARNAS LÄN</t>
        </is>
      </c>
      <c r="E235" t="inlineStr">
        <is>
          <t>LEKSAND</t>
        </is>
      </c>
      <c r="G235" t="n">
        <v>3.5</v>
      </c>
      <c r="H235" t="n">
        <v>0</v>
      </c>
      <c r="I235" t="n">
        <v>0</v>
      </c>
      <c r="J235" t="n">
        <v>0</v>
      </c>
      <c r="K235" t="n">
        <v>0</v>
      </c>
      <c r="L235" t="n">
        <v>0</v>
      </c>
      <c r="M235" t="n">
        <v>0</v>
      </c>
      <c r="N235" t="n">
        <v>0</v>
      </c>
      <c r="O235" t="n">
        <v>0</v>
      </c>
      <c r="P235" t="n">
        <v>0</v>
      </c>
      <c r="Q235" t="n">
        <v>0</v>
      </c>
      <c r="R235" s="2" t="inlineStr"/>
    </row>
    <row r="236" ht="15" customHeight="1">
      <c r="A236" t="inlineStr">
        <is>
          <t>A 39569-2025</t>
        </is>
      </c>
      <c r="B236" s="1" t="n">
        <v>45890</v>
      </c>
      <c r="C236" s="1" t="n">
        <v>46074</v>
      </c>
      <c r="D236" t="inlineStr">
        <is>
          <t>DALARNAS LÄN</t>
        </is>
      </c>
      <c r="E236" t="inlineStr">
        <is>
          <t>LEKSAND</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39572-2025</t>
        </is>
      </c>
      <c r="B237" s="1" t="n">
        <v>45890</v>
      </c>
      <c r="C237" s="1" t="n">
        <v>46074</v>
      </c>
      <c r="D237" t="inlineStr">
        <is>
          <t>DALARNAS LÄN</t>
        </is>
      </c>
      <c r="E237" t="inlineStr">
        <is>
          <t>LEKSAND</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5847-2025</t>
        </is>
      </c>
      <c r="B238" s="1" t="n">
        <v>45695.30824074074</v>
      </c>
      <c r="C238" s="1" t="n">
        <v>46074</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39660-2025</t>
        </is>
      </c>
      <c r="B239" s="1" t="n">
        <v>45890.63006944444</v>
      </c>
      <c r="C239" s="1" t="n">
        <v>46074</v>
      </c>
      <c r="D239" t="inlineStr">
        <is>
          <t>DALARNAS LÄN</t>
        </is>
      </c>
      <c r="E239" t="inlineStr">
        <is>
          <t>LEKSAND</t>
        </is>
      </c>
      <c r="F239" t="inlineStr">
        <is>
          <t>Bergvik skog väst AB</t>
        </is>
      </c>
      <c r="G239" t="n">
        <v>5.8</v>
      </c>
      <c r="H239" t="n">
        <v>0</v>
      </c>
      <c r="I239" t="n">
        <v>0</v>
      </c>
      <c r="J239" t="n">
        <v>0</v>
      </c>
      <c r="K239" t="n">
        <v>0</v>
      </c>
      <c r="L239" t="n">
        <v>0</v>
      </c>
      <c r="M239" t="n">
        <v>0</v>
      </c>
      <c r="N239" t="n">
        <v>0</v>
      </c>
      <c r="O239" t="n">
        <v>0</v>
      </c>
      <c r="P239" t="n">
        <v>0</v>
      </c>
      <c r="Q239" t="n">
        <v>0</v>
      </c>
      <c r="R239" s="2" t="inlineStr"/>
    </row>
    <row r="240" ht="15" customHeight="1">
      <c r="A240" t="inlineStr">
        <is>
          <t>A 60878-2023</t>
        </is>
      </c>
      <c r="B240" s="1" t="n">
        <v>45259</v>
      </c>
      <c r="C240" s="1" t="n">
        <v>46074</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39693-2025</t>
        </is>
      </c>
      <c r="B241" s="1" t="n">
        <v>45890.68304398148</v>
      </c>
      <c r="C241" s="1" t="n">
        <v>46074</v>
      </c>
      <c r="D241" t="inlineStr">
        <is>
          <t>DALARNAS LÄN</t>
        </is>
      </c>
      <c r="E241" t="inlineStr">
        <is>
          <t>LEKSAND</t>
        </is>
      </c>
      <c r="G241" t="n">
        <v>3.1</v>
      </c>
      <c r="H241" t="n">
        <v>0</v>
      </c>
      <c r="I241" t="n">
        <v>0</v>
      </c>
      <c r="J241" t="n">
        <v>0</v>
      </c>
      <c r="K241" t="n">
        <v>0</v>
      </c>
      <c r="L241" t="n">
        <v>0</v>
      </c>
      <c r="M241" t="n">
        <v>0</v>
      </c>
      <c r="N241" t="n">
        <v>0</v>
      </c>
      <c r="O241" t="n">
        <v>0</v>
      </c>
      <c r="P241" t="n">
        <v>0</v>
      </c>
      <c r="Q241" t="n">
        <v>0</v>
      </c>
      <c r="R241" s="2" t="inlineStr"/>
    </row>
    <row r="242" ht="15" customHeight="1">
      <c r="A242" t="inlineStr">
        <is>
          <t>A 36262-2023</t>
        </is>
      </c>
      <c r="B242" s="1" t="n">
        <v>45151.9096875</v>
      </c>
      <c r="C242" s="1" t="n">
        <v>46074</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39546-2025</t>
        </is>
      </c>
      <c r="B243" s="1" t="n">
        <v>45890.45706018519</v>
      </c>
      <c r="C243" s="1" t="n">
        <v>46074</v>
      </c>
      <c r="D243" t="inlineStr">
        <is>
          <t>DALARNAS LÄN</t>
        </is>
      </c>
      <c r="E243" t="inlineStr">
        <is>
          <t>LEKSAND</t>
        </is>
      </c>
      <c r="G243" t="n">
        <v>4.6</v>
      </c>
      <c r="H243" t="n">
        <v>0</v>
      </c>
      <c r="I243" t="n">
        <v>0</v>
      </c>
      <c r="J243" t="n">
        <v>0</v>
      </c>
      <c r="K243" t="n">
        <v>0</v>
      </c>
      <c r="L243" t="n">
        <v>0</v>
      </c>
      <c r="M243" t="n">
        <v>0</v>
      </c>
      <c r="N243" t="n">
        <v>0</v>
      </c>
      <c r="O243" t="n">
        <v>0</v>
      </c>
      <c r="P243" t="n">
        <v>0</v>
      </c>
      <c r="Q243" t="n">
        <v>0</v>
      </c>
      <c r="R243" s="2" t="inlineStr"/>
    </row>
    <row r="244" ht="15" customHeight="1">
      <c r="A244" t="inlineStr">
        <is>
          <t>A 39516-2025</t>
        </is>
      </c>
      <c r="B244" s="1" t="n">
        <v>45890.42633101852</v>
      </c>
      <c r="C244" s="1" t="n">
        <v>46074</v>
      </c>
      <c r="D244" t="inlineStr">
        <is>
          <t>DALARNAS LÄN</t>
        </is>
      </c>
      <c r="E244" t="inlineStr">
        <is>
          <t>LEKSAND</t>
        </is>
      </c>
      <c r="G244" t="n">
        <v>3.6</v>
      </c>
      <c r="H244" t="n">
        <v>0</v>
      </c>
      <c r="I244" t="n">
        <v>0</v>
      </c>
      <c r="J244" t="n">
        <v>0</v>
      </c>
      <c r="K244" t="n">
        <v>0</v>
      </c>
      <c r="L244" t="n">
        <v>0</v>
      </c>
      <c r="M244" t="n">
        <v>0</v>
      </c>
      <c r="N244" t="n">
        <v>0</v>
      </c>
      <c r="O244" t="n">
        <v>0</v>
      </c>
      <c r="P244" t="n">
        <v>0</v>
      </c>
      <c r="Q244" t="n">
        <v>0</v>
      </c>
      <c r="R244" s="2" t="inlineStr"/>
    </row>
    <row r="245" ht="15" customHeight="1">
      <c r="A245" t="inlineStr">
        <is>
          <t>A 10367-2023</t>
        </is>
      </c>
      <c r="B245" s="1" t="n">
        <v>44987</v>
      </c>
      <c r="C245" s="1" t="n">
        <v>46074</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41169-2024</t>
        </is>
      </c>
      <c r="B246" s="1" t="n">
        <v>45559.48637731482</v>
      </c>
      <c r="C246" s="1" t="n">
        <v>46074</v>
      </c>
      <c r="D246" t="inlineStr">
        <is>
          <t>DALARNAS LÄN</t>
        </is>
      </c>
      <c r="E246" t="inlineStr">
        <is>
          <t>LEKSAND</t>
        </is>
      </c>
      <c r="G246" t="n">
        <v>8.9</v>
      </c>
      <c r="H246" t="n">
        <v>0</v>
      </c>
      <c r="I246" t="n">
        <v>0</v>
      </c>
      <c r="J246" t="n">
        <v>0</v>
      </c>
      <c r="K246" t="n">
        <v>0</v>
      </c>
      <c r="L246" t="n">
        <v>0</v>
      </c>
      <c r="M246" t="n">
        <v>0</v>
      </c>
      <c r="N246" t="n">
        <v>0</v>
      </c>
      <c r="O246" t="n">
        <v>0</v>
      </c>
      <c r="P246" t="n">
        <v>0</v>
      </c>
      <c r="Q246" t="n">
        <v>0</v>
      </c>
      <c r="R246" s="2" t="inlineStr"/>
    </row>
    <row r="247" ht="15" customHeight="1">
      <c r="A247" t="inlineStr">
        <is>
          <t>A 30863-2024</t>
        </is>
      </c>
      <c r="B247" s="1" t="n">
        <v>45497.71074074074</v>
      </c>
      <c r="C247" s="1" t="n">
        <v>46074</v>
      </c>
      <c r="D247" t="inlineStr">
        <is>
          <t>DALARNAS LÄN</t>
        </is>
      </c>
      <c r="E247" t="inlineStr">
        <is>
          <t>LEKSAND</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46074</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30969-2025</t>
        </is>
      </c>
      <c r="B249" s="1" t="n">
        <v>45832.45914351852</v>
      </c>
      <c r="C249" s="1" t="n">
        <v>46074</v>
      </c>
      <c r="D249" t="inlineStr">
        <is>
          <t>DALARNAS LÄN</t>
        </is>
      </c>
      <c r="E249" t="inlineStr">
        <is>
          <t>LEKSAND</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45832.37989583334</v>
      </c>
      <c r="C250" s="1" t="n">
        <v>46074</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24481-2024</t>
        </is>
      </c>
      <c r="B251" s="1" t="n">
        <v>45459.36460648148</v>
      </c>
      <c r="C251" s="1" t="n">
        <v>46074</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31619-2025</t>
        </is>
      </c>
      <c r="B252" s="1" t="n">
        <v>45833</v>
      </c>
      <c r="C252" s="1" t="n">
        <v>46074</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30916-2025</t>
        </is>
      </c>
      <c r="B253" s="1" t="n">
        <v>45832.37885416667</v>
      </c>
      <c r="C253" s="1" t="n">
        <v>46074</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40513-2025</t>
        </is>
      </c>
      <c r="B254" s="1" t="n">
        <v>45896.35100694445</v>
      </c>
      <c r="C254" s="1" t="n">
        <v>46074</v>
      </c>
      <c r="D254" t="inlineStr">
        <is>
          <t>DALARNAS LÄN</t>
        </is>
      </c>
      <c r="E254" t="inlineStr">
        <is>
          <t>LEKSAND</t>
        </is>
      </c>
      <c r="G254" t="n">
        <v>7.1</v>
      </c>
      <c r="H254" t="n">
        <v>0</v>
      </c>
      <c r="I254" t="n">
        <v>0</v>
      </c>
      <c r="J254" t="n">
        <v>0</v>
      </c>
      <c r="K254" t="n">
        <v>0</v>
      </c>
      <c r="L254" t="n">
        <v>0</v>
      </c>
      <c r="M254" t="n">
        <v>0</v>
      </c>
      <c r="N254" t="n">
        <v>0</v>
      </c>
      <c r="O254" t="n">
        <v>0</v>
      </c>
      <c r="P254" t="n">
        <v>0</v>
      </c>
      <c r="Q254" t="n">
        <v>0</v>
      </c>
      <c r="R254" s="2" t="inlineStr"/>
    </row>
    <row r="255" ht="15" customHeight="1">
      <c r="A255" t="inlineStr">
        <is>
          <t>A 31446-2025</t>
        </is>
      </c>
      <c r="B255" s="1" t="n">
        <v>45833</v>
      </c>
      <c r="C255" s="1" t="n">
        <v>46074</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30911-2025</t>
        </is>
      </c>
      <c r="B256" s="1" t="n">
        <v>45832.37547453704</v>
      </c>
      <c r="C256" s="1" t="n">
        <v>46074</v>
      </c>
      <c r="D256" t="inlineStr">
        <is>
          <t>DALARNAS LÄN</t>
        </is>
      </c>
      <c r="E256" t="inlineStr">
        <is>
          <t>LEKSAND</t>
        </is>
      </c>
      <c r="G256" t="n">
        <v>0.5</v>
      </c>
      <c r="H256" t="n">
        <v>0</v>
      </c>
      <c r="I256" t="n">
        <v>0</v>
      </c>
      <c r="J256" t="n">
        <v>0</v>
      </c>
      <c r="K256" t="n">
        <v>0</v>
      </c>
      <c r="L256" t="n">
        <v>0</v>
      </c>
      <c r="M256" t="n">
        <v>0</v>
      </c>
      <c r="N256" t="n">
        <v>0</v>
      </c>
      <c r="O256" t="n">
        <v>0</v>
      </c>
      <c r="P256" t="n">
        <v>0</v>
      </c>
      <c r="Q256" t="n">
        <v>0</v>
      </c>
      <c r="R256" s="2" t="inlineStr"/>
    </row>
    <row r="257" ht="15" customHeight="1">
      <c r="A257" t="inlineStr">
        <is>
          <t>A 40517-2025</t>
        </is>
      </c>
      <c r="B257" s="1" t="n">
        <v>45896.36368055556</v>
      </c>
      <c r="C257" s="1" t="n">
        <v>46074</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58495-2023</t>
        </is>
      </c>
      <c r="B258" s="1" t="n">
        <v>45251</v>
      </c>
      <c r="C258" s="1" t="n">
        <v>46074</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41487-2025</t>
        </is>
      </c>
      <c r="B259" s="1" t="n">
        <v>45901.4815625</v>
      </c>
      <c r="C259" s="1" t="n">
        <v>46074</v>
      </c>
      <c r="D259" t="inlineStr">
        <is>
          <t>DALARNAS LÄN</t>
        </is>
      </c>
      <c r="E259" t="inlineStr">
        <is>
          <t>LEKSAND</t>
        </is>
      </c>
      <c r="F259" t="inlineStr">
        <is>
          <t>Bergvik skog väst AB</t>
        </is>
      </c>
      <c r="G259" t="n">
        <v>7.3</v>
      </c>
      <c r="H259" t="n">
        <v>0</v>
      </c>
      <c r="I259" t="n">
        <v>0</v>
      </c>
      <c r="J259" t="n">
        <v>0</v>
      </c>
      <c r="K259" t="n">
        <v>0</v>
      </c>
      <c r="L259" t="n">
        <v>0</v>
      </c>
      <c r="M259" t="n">
        <v>0</v>
      </c>
      <c r="N259" t="n">
        <v>0</v>
      </c>
      <c r="O259" t="n">
        <v>0</v>
      </c>
      <c r="P259" t="n">
        <v>0</v>
      </c>
      <c r="Q259" t="n">
        <v>0</v>
      </c>
      <c r="R259" s="2" t="inlineStr"/>
    </row>
    <row r="260" ht="15" customHeight="1">
      <c r="A260" t="inlineStr">
        <is>
          <t>A 31179-2025</t>
        </is>
      </c>
      <c r="B260" s="1" t="n">
        <v>45832.67648148148</v>
      </c>
      <c r="C260" s="1" t="n">
        <v>46074</v>
      </c>
      <c r="D260" t="inlineStr">
        <is>
          <t>DALARNAS LÄN</t>
        </is>
      </c>
      <c r="E260" t="inlineStr">
        <is>
          <t>LEKSAND</t>
        </is>
      </c>
      <c r="G260" t="n">
        <v>4.7</v>
      </c>
      <c r="H260" t="n">
        <v>0</v>
      </c>
      <c r="I260" t="n">
        <v>0</v>
      </c>
      <c r="J260" t="n">
        <v>0</v>
      </c>
      <c r="K260" t="n">
        <v>0</v>
      </c>
      <c r="L260" t="n">
        <v>0</v>
      </c>
      <c r="M260" t="n">
        <v>0</v>
      </c>
      <c r="N260" t="n">
        <v>0</v>
      </c>
      <c r="O260" t="n">
        <v>0</v>
      </c>
      <c r="P260" t="n">
        <v>0</v>
      </c>
      <c r="Q260" t="n">
        <v>0</v>
      </c>
      <c r="R260" s="2" t="inlineStr"/>
    </row>
    <row r="261" ht="15" customHeight="1">
      <c r="A261" t="inlineStr">
        <is>
          <t>A 31189-2025</t>
        </is>
      </c>
      <c r="B261" s="1" t="n">
        <v>45832.6799537037</v>
      </c>
      <c r="C261" s="1" t="n">
        <v>46074</v>
      </c>
      <c r="D261" t="inlineStr">
        <is>
          <t>DALARNAS LÄN</t>
        </is>
      </c>
      <c r="E261" t="inlineStr">
        <is>
          <t>LEKSAND</t>
        </is>
      </c>
      <c r="G261" t="n">
        <v>5</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46074</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41237-2025</t>
        </is>
      </c>
      <c r="B263" s="1" t="n">
        <v>45898.59570601852</v>
      </c>
      <c r="C263" s="1" t="n">
        <v>46074</v>
      </c>
      <c r="D263" t="inlineStr">
        <is>
          <t>DALARNAS LÄN</t>
        </is>
      </c>
      <c r="E263" t="inlineStr">
        <is>
          <t>LEKSAND</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41248-2025</t>
        </is>
      </c>
      <c r="B264" s="1" t="n">
        <v>45898.60199074074</v>
      </c>
      <c r="C264" s="1" t="n">
        <v>46074</v>
      </c>
      <c r="D264" t="inlineStr">
        <is>
          <t>DALARNAS LÄN</t>
        </is>
      </c>
      <c r="E264" t="inlineStr">
        <is>
          <t>LEKSAND</t>
        </is>
      </c>
      <c r="F264" t="inlineStr">
        <is>
          <t>Bergvik skog väst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41308-2025</t>
        </is>
      </c>
      <c r="B265" s="1" t="n">
        <v>45898</v>
      </c>
      <c r="C265" s="1" t="n">
        <v>46074</v>
      </c>
      <c r="D265" t="inlineStr">
        <is>
          <t>DALARNAS LÄN</t>
        </is>
      </c>
      <c r="E265" t="inlineStr">
        <is>
          <t>LEKSAND</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31493-2025</t>
        </is>
      </c>
      <c r="B266" s="1" t="n">
        <v>45833</v>
      </c>
      <c r="C266" s="1" t="n">
        <v>46074</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31945-2025</t>
        </is>
      </c>
      <c r="B267" s="1" t="n">
        <v>45835</v>
      </c>
      <c r="C267" s="1" t="n">
        <v>46074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41335-2025</t>
        </is>
      </c>
      <c r="B268" s="1" t="n">
        <v>45899.36747685185</v>
      </c>
      <c r="C268" s="1" t="n">
        <v>46074</v>
      </c>
      <c r="D268" t="inlineStr">
        <is>
          <t>DALARNAS LÄN</t>
        </is>
      </c>
      <c r="E268" t="inlineStr">
        <is>
          <t>LEKSAND</t>
        </is>
      </c>
      <c r="G268" t="n">
        <v>5.9</v>
      </c>
      <c r="H268" t="n">
        <v>0</v>
      </c>
      <c r="I268" t="n">
        <v>0</v>
      </c>
      <c r="J268" t="n">
        <v>0</v>
      </c>
      <c r="K268" t="n">
        <v>0</v>
      </c>
      <c r="L268" t="n">
        <v>0</v>
      </c>
      <c r="M268" t="n">
        <v>0</v>
      </c>
      <c r="N268" t="n">
        <v>0</v>
      </c>
      <c r="O268" t="n">
        <v>0</v>
      </c>
      <c r="P268" t="n">
        <v>0</v>
      </c>
      <c r="Q268" t="n">
        <v>0</v>
      </c>
      <c r="R268" s="2" t="inlineStr"/>
    </row>
    <row r="269" ht="15" customHeight="1">
      <c r="A269" t="inlineStr">
        <is>
          <t>A 1519-2024</t>
        </is>
      </c>
      <c r="B269" s="1" t="n">
        <v>45306</v>
      </c>
      <c r="C269" s="1" t="n">
        <v>46074</v>
      </c>
      <c r="D269" t="inlineStr">
        <is>
          <t>DALARNAS LÄN</t>
        </is>
      </c>
      <c r="E269" t="inlineStr">
        <is>
          <t>LEKSAND</t>
        </is>
      </c>
      <c r="G269" t="n">
        <v>3.3</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46074</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41380-2025</t>
        </is>
      </c>
      <c r="B271" s="1" t="n">
        <v>45900.92826388889</v>
      </c>
      <c r="C271" s="1" t="n">
        <v>46074</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2694-2025</t>
        </is>
      </c>
      <c r="B272" s="1" t="n">
        <v>45677.38246527778</v>
      </c>
      <c r="C272" s="1" t="n">
        <v>46074</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46074</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31787-2025</t>
        </is>
      </c>
      <c r="B274" s="1" t="n">
        <v>45834</v>
      </c>
      <c r="C274" s="1" t="n">
        <v>46074</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46074</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32301-2025</t>
        </is>
      </c>
      <c r="B276" s="1" t="n">
        <v>45835</v>
      </c>
      <c r="C276" s="1" t="n">
        <v>46074</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42284-2025</t>
        </is>
      </c>
      <c r="B277" s="1" t="n">
        <v>45903</v>
      </c>
      <c r="C277" s="1" t="n">
        <v>46074</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33593-2024</t>
        </is>
      </c>
      <c r="B278" s="1" t="n">
        <v>45520.36055555556</v>
      </c>
      <c r="C278" s="1" t="n">
        <v>46074</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32653-2025</t>
        </is>
      </c>
      <c r="B279" s="1" t="n">
        <v>45838</v>
      </c>
      <c r="C279" s="1" t="n">
        <v>46074</v>
      </c>
      <c r="D279" t="inlineStr">
        <is>
          <t>DALARNAS LÄN</t>
        </is>
      </c>
      <c r="E279" t="inlineStr">
        <is>
          <t>LEKSAND</t>
        </is>
      </c>
      <c r="G279" t="n">
        <v>5.6</v>
      </c>
      <c r="H279" t="n">
        <v>0</v>
      </c>
      <c r="I279" t="n">
        <v>0</v>
      </c>
      <c r="J279" t="n">
        <v>0</v>
      </c>
      <c r="K279" t="n">
        <v>0</v>
      </c>
      <c r="L279" t="n">
        <v>0</v>
      </c>
      <c r="M279" t="n">
        <v>0</v>
      </c>
      <c r="N279" t="n">
        <v>0</v>
      </c>
      <c r="O279" t="n">
        <v>0</v>
      </c>
      <c r="P279" t="n">
        <v>0</v>
      </c>
      <c r="Q279" t="n">
        <v>0</v>
      </c>
      <c r="R279" s="2" t="inlineStr"/>
    </row>
    <row r="280" ht="15" customHeight="1">
      <c r="A280" t="inlineStr">
        <is>
          <t>A 32855-2025</t>
        </is>
      </c>
      <c r="B280" s="1" t="n">
        <v>45839.57643518518</v>
      </c>
      <c r="C280" s="1" t="n">
        <v>46074</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7778-2025</t>
        </is>
      </c>
      <c r="B281" s="1" t="n">
        <v>45706</v>
      </c>
      <c r="C281" s="1" t="n">
        <v>46074</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32661-2025</t>
        </is>
      </c>
      <c r="B282" s="1" t="n">
        <v>45838.67953703704</v>
      </c>
      <c r="C282" s="1" t="n">
        <v>46074</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32593-2025</t>
        </is>
      </c>
      <c r="B283" s="1" t="n">
        <v>45838</v>
      </c>
      <c r="C283" s="1" t="n">
        <v>46074</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42402-2025</t>
        </is>
      </c>
      <c r="B284" s="1" t="n">
        <v>45905.3753125</v>
      </c>
      <c r="C284" s="1" t="n">
        <v>46074</v>
      </c>
      <c r="D284" t="inlineStr">
        <is>
          <t>DALARNAS LÄN</t>
        </is>
      </c>
      <c r="E284" t="inlineStr">
        <is>
          <t>LEKSAND</t>
        </is>
      </c>
      <c r="G284" t="n">
        <v>0.6</v>
      </c>
      <c r="H284" t="n">
        <v>0</v>
      </c>
      <c r="I284" t="n">
        <v>0</v>
      </c>
      <c r="J284" t="n">
        <v>0</v>
      </c>
      <c r="K284" t="n">
        <v>0</v>
      </c>
      <c r="L284" t="n">
        <v>0</v>
      </c>
      <c r="M284" t="n">
        <v>0</v>
      </c>
      <c r="N284" t="n">
        <v>0</v>
      </c>
      <c r="O284" t="n">
        <v>0</v>
      </c>
      <c r="P284" t="n">
        <v>0</v>
      </c>
      <c r="Q284" t="n">
        <v>0</v>
      </c>
      <c r="R284" s="2" t="inlineStr"/>
    </row>
    <row r="285" ht="15" customHeight="1">
      <c r="A285" t="inlineStr">
        <is>
          <t>A 12857-2023</t>
        </is>
      </c>
      <c r="B285" s="1" t="n">
        <v>45001.5000462963</v>
      </c>
      <c r="C285" s="1" t="n">
        <v>46074</v>
      </c>
      <c r="D285" t="inlineStr">
        <is>
          <t>DALARNAS LÄN</t>
        </is>
      </c>
      <c r="E285" t="inlineStr">
        <is>
          <t>LEKSAND</t>
        </is>
      </c>
      <c r="G285" t="n">
        <v>0.2</v>
      </c>
      <c r="H285" t="n">
        <v>0</v>
      </c>
      <c r="I285" t="n">
        <v>0</v>
      </c>
      <c r="J285" t="n">
        <v>0</v>
      </c>
      <c r="K285" t="n">
        <v>0</v>
      </c>
      <c r="L285" t="n">
        <v>0</v>
      </c>
      <c r="M285" t="n">
        <v>0</v>
      </c>
      <c r="N285" t="n">
        <v>0</v>
      </c>
      <c r="O285" t="n">
        <v>0</v>
      </c>
      <c r="P285" t="n">
        <v>0</v>
      </c>
      <c r="Q285" t="n">
        <v>0</v>
      </c>
      <c r="R285" s="2" t="inlineStr"/>
    </row>
    <row r="286" ht="15" customHeight="1">
      <c r="A286" t="inlineStr">
        <is>
          <t>A 32072-2024</t>
        </is>
      </c>
      <c r="B286" s="1" t="n">
        <v>45510.98405092592</v>
      </c>
      <c r="C286" s="1" t="n">
        <v>46074</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56299-2024</t>
        </is>
      </c>
      <c r="B287" s="1" t="n">
        <v>45624.68607638889</v>
      </c>
      <c r="C287" s="1" t="n">
        <v>46074</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17483-2025</t>
        </is>
      </c>
      <c r="B288" s="1" t="n">
        <v>45757.49408564815</v>
      </c>
      <c r="C288" s="1" t="n">
        <v>46074</v>
      </c>
      <c r="D288" t="inlineStr">
        <is>
          <t>DALARNAS LÄN</t>
        </is>
      </c>
      <c r="E288" t="inlineStr">
        <is>
          <t>LEKSAND</t>
        </is>
      </c>
      <c r="G288" t="n">
        <v>4.1</v>
      </c>
      <c r="H288" t="n">
        <v>0</v>
      </c>
      <c r="I288" t="n">
        <v>0</v>
      </c>
      <c r="J288" t="n">
        <v>0</v>
      </c>
      <c r="K288" t="n">
        <v>0</v>
      </c>
      <c r="L288" t="n">
        <v>0</v>
      </c>
      <c r="M288" t="n">
        <v>0</v>
      </c>
      <c r="N288" t="n">
        <v>0</v>
      </c>
      <c r="O288" t="n">
        <v>0</v>
      </c>
      <c r="P288" t="n">
        <v>0</v>
      </c>
      <c r="Q288" t="n">
        <v>0</v>
      </c>
      <c r="R288" s="2" t="inlineStr"/>
    </row>
    <row r="289" ht="15" customHeight="1">
      <c r="A289" t="inlineStr">
        <is>
          <t>A 33160-2025</t>
        </is>
      </c>
      <c r="B289" s="1" t="n">
        <v>45840</v>
      </c>
      <c r="C289" s="1" t="n">
        <v>46074</v>
      </c>
      <c r="D289" t="inlineStr">
        <is>
          <t>DALARNAS LÄN</t>
        </is>
      </c>
      <c r="E289" t="inlineStr">
        <is>
          <t>LEKSAND</t>
        </is>
      </c>
      <c r="G289" t="n">
        <v>2.3</v>
      </c>
      <c r="H289" t="n">
        <v>0</v>
      </c>
      <c r="I289" t="n">
        <v>0</v>
      </c>
      <c r="J289" t="n">
        <v>0</v>
      </c>
      <c r="K289" t="n">
        <v>0</v>
      </c>
      <c r="L289" t="n">
        <v>0</v>
      </c>
      <c r="M289" t="n">
        <v>0</v>
      </c>
      <c r="N289" t="n">
        <v>0</v>
      </c>
      <c r="O289" t="n">
        <v>0</v>
      </c>
      <c r="P289" t="n">
        <v>0</v>
      </c>
      <c r="Q289" t="n">
        <v>0</v>
      </c>
      <c r="R289" s="2" t="inlineStr"/>
    </row>
    <row r="290" ht="15" customHeight="1">
      <c r="A290" t="inlineStr">
        <is>
          <t>A 18481-2024</t>
        </is>
      </c>
      <c r="B290" s="1" t="n">
        <v>45425.52193287037</v>
      </c>
      <c r="C290" s="1" t="n">
        <v>46074</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24714-2025</t>
        </is>
      </c>
      <c r="B291" s="1" t="n">
        <v>45798.96927083333</v>
      </c>
      <c r="C291" s="1" t="n">
        <v>46074</v>
      </c>
      <c r="D291" t="inlineStr">
        <is>
          <t>DALARNAS LÄN</t>
        </is>
      </c>
      <c r="E291" t="inlineStr">
        <is>
          <t>LEKSAND</t>
        </is>
      </c>
      <c r="F291" t="inlineStr">
        <is>
          <t>Bergvik skog väst AB</t>
        </is>
      </c>
      <c r="G291" t="n">
        <v>6.2</v>
      </c>
      <c r="H291" t="n">
        <v>0</v>
      </c>
      <c r="I291" t="n">
        <v>0</v>
      </c>
      <c r="J291" t="n">
        <v>0</v>
      </c>
      <c r="K291" t="n">
        <v>0</v>
      </c>
      <c r="L291" t="n">
        <v>0</v>
      </c>
      <c r="M291" t="n">
        <v>0</v>
      </c>
      <c r="N291" t="n">
        <v>0</v>
      </c>
      <c r="O291" t="n">
        <v>0</v>
      </c>
      <c r="P291" t="n">
        <v>0</v>
      </c>
      <c r="Q291" t="n">
        <v>0</v>
      </c>
      <c r="R291" s="2" t="inlineStr"/>
    </row>
    <row r="292" ht="15" customHeight="1">
      <c r="A292" t="inlineStr">
        <is>
          <t>A 8046-2024</t>
        </is>
      </c>
      <c r="B292" s="1" t="n">
        <v>45351.31555555556</v>
      </c>
      <c r="C292" s="1" t="n">
        <v>46074</v>
      </c>
      <c r="D292" t="inlineStr">
        <is>
          <t>DALARNAS LÄN</t>
        </is>
      </c>
      <c r="E292" t="inlineStr">
        <is>
          <t>LEKSAND</t>
        </is>
      </c>
      <c r="G292" t="n">
        <v>2.9</v>
      </c>
      <c r="H292" t="n">
        <v>0</v>
      </c>
      <c r="I292" t="n">
        <v>0</v>
      </c>
      <c r="J292" t="n">
        <v>0</v>
      </c>
      <c r="K292" t="n">
        <v>0</v>
      </c>
      <c r="L292" t="n">
        <v>0</v>
      </c>
      <c r="M292" t="n">
        <v>0</v>
      </c>
      <c r="N292" t="n">
        <v>0</v>
      </c>
      <c r="O292" t="n">
        <v>0</v>
      </c>
      <c r="P292" t="n">
        <v>0</v>
      </c>
      <c r="Q292" t="n">
        <v>0</v>
      </c>
      <c r="R292" s="2" t="inlineStr"/>
    </row>
    <row r="293" ht="15" customHeight="1">
      <c r="A293" t="inlineStr">
        <is>
          <t>A 7827-2024</t>
        </is>
      </c>
      <c r="B293" s="1" t="n">
        <v>45349.7467824074</v>
      </c>
      <c r="C293" s="1" t="n">
        <v>46074</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43629-2025</t>
        </is>
      </c>
      <c r="B294" s="1" t="n">
        <v>45911.70180555555</v>
      </c>
      <c r="C294" s="1" t="n">
        <v>46074</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43735-2022</t>
        </is>
      </c>
      <c r="B295" s="1" t="n">
        <v>44837.70210648148</v>
      </c>
      <c r="C295" s="1" t="n">
        <v>46074</v>
      </c>
      <c r="D295" t="inlineStr">
        <is>
          <t>DALARNAS LÄN</t>
        </is>
      </c>
      <c r="E295" t="inlineStr">
        <is>
          <t>LEKSAND</t>
        </is>
      </c>
      <c r="G295" t="n">
        <v>2.9</v>
      </c>
      <c r="H295" t="n">
        <v>0</v>
      </c>
      <c r="I295" t="n">
        <v>0</v>
      </c>
      <c r="J295" t="n">
        <v>0</v>
      </c>
      <c r="K295" t="n">
        <v>0</v>
      </c>
      <c r="L295" t="n">
        <v>0</v>
      </c>
      <c r="M295" t="n">
        <v>0</v>
      </c>
      <c r="N295" t="n">
        <v>0</v>
      </c>
      <c r="O295" t="n">
        <v>0</v>
      </c>
      <c r="P295" t="n">
        <v>0</v>
      </c>
      <c r="Q295" t="n">
        <v>0</v>
      </c>
      <c r="R295" s="2" t="inlineStr"/>
    </row>
    <row r="296" ht="15" customHeight="1">
      <c r="A296" t="inlineStr">
        <is>
          <t>A 43628-2025</t>
        </is>
      </c>
      <c r="B296" s="1" t="n">
        <v>45911.70060185185</v>
      </c>
      <c r="C296" s="1" t="n">
        <v>46074</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43607-2025</t>
        </is>
      </c>
      <c r="B297" s="1" t="n">
        <v>45911.66873842593</v>
      </c>
      <c r="C297" s="1" t="n">
        <v>46074</v>
      </c>
      <c r="D297" t="inlineStr">
        <is>
          <t>DALARNAS LÄN</t>
        </is>
      </c>
      <c r="E297" t="inlineStr">
        <is>
          <t>LEKSAND</t>
        </is>
      </c>
      <c r="G297" t="n">
        <v>7.3</v>
      </c>
      <c r="H297" t="n">
        <v>0</v>
      </c>
      <c r="I297" t="n">
        <v>0</v>
      </c>
      <c r="J297" t="n">
        <v>0</v>
      </c>
      <c r="K297" t="n">
        <v>0</v>
      </c>
      <c r="L297" t="n">
        <v>0</v>
      </c>
      <c r="M297" t="n">
        <v>0</v>
      </c>
      <c r="N297" t="n">
        <v>0</v>
      </c>
      <c r="O297" t="n">
        <v>0</v>
      </c>
      <c r="P297" t="n">
        <v>0</v>
      </c>
      <c r="Q297" t="n">
        <v>0</v>
      </c>
      <c r="R297" s="2" t="inlineStr"/>
    </row>
    <row r="298" ht="15" customHeight="1">
      <c r="A298" t="inlineStr">
        <is>
          <t>A 43195-2025</t>
        </is>
      </c>
      <c r="B298" s="1" t="n">
        <v>45910.4294212963</v>
      </c>
      <c r="C298" s="1" t="n">
        <v>46074</v>
      </c>
      <c r="D298" t="inlineStr">
        <is>
          <t>DALARNAS LÄN</t>
        </is>
      </c>
      <c r="E298" t="inlineStr">
        <is>
          <t>LEKSAND</t>
        </is>
      </c>
      <c r="G298" t="n">
        <v>2.5</v>
      </c>
      <c r="H298" t="n">
        <v>0</v>
      </c>
      <c r="I298" t="n">
        <v>0</v>
      </c>
      <c r="J298" t="n">
        <v>0</v>
      </c>
      <c r="K298" t="n">
        <v>0</v>
      </c>
      <c r="L298" t="n">
        <v>0</v>
      </c>
      <c r="M298" t="n">
        <v>0</v>
      </c>
      <c r="N298" t="n">
        <v>0</v>
      </c>
      <c r="O298" t="n">
        <v>0</v>
      </c>
      <c r="P298" t="n">
        <v>0</v>
      </c>
      <c r="Q298" t="n">
        <v>0</v>
      </c>
      <c r="R298" s="2" t="inlineStr"/>
    </row>
    <row r="299" ht="15" customHeight="1">
      <c r="A299" t="inlineStr">
        <is>
          <t>A 20936-2023</t>
        </is>
      </c>
      <c r="B299" s="1" t="n">
        <v>45061</v>
      </c>
      <c r="C299" s="1" t="n">
        <v>46074</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44469-2024</t>
        </is>
      </c>
      <c r="B300" s="1" t="n">
        <v>45574</v>
      </c>
      <c r="C300" s="1" t="n">
        <v>46074</v>
      </c>
      <c r="D300" t="inlineStr">
        <is>
          <t>DALARNAS LÄN</t>
        </is>
      </c>
      <c r="E300" t="inlineStr">
        <is>
          <t>LEKSAND</t>
        </is>
      </c>
      <c r="G300" t="n">
        <v>2</v>
      </c>
      <c r="H300" t="n">
        <v>0</v>
      </c>
      <c r="I300" t="n">
        <v>0</v>
      </c>
      <c r="J300" t="n">
        <v>0</v>
      </c>
      <c r="K300" t="n">
        <v>0</v>
      </c>
      <c r="L300" t="n">
        <v>0</v>
      </c>
      <c r="M300" t="n">
        <v>0</v>
      </c>
      <c r="N300" t="n">
        <v>0</v>
      </c>
      <c r="O300" t="n">
        <v>0</v>
      </c>
      <c r="P300" t="n">
        <v>0</v>
      </c>
      <c r="Q300" t="n">
        <v>0</v>
      </c>
      <c r="R300" s="2" t="inlineStr"/>
    </row>
    <row r="301" ht="15" customHeight="1">
      <c r="A301" t="inlineStr">
        <is>
          <t>A 33804-2025</t>
        </is>
      </c>
      <c r="B301" s="1" t="n">
        <v>45842</v>
      </c>
      <c r="C301" s="1" t="n">
        <v>46074</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43630-2025</t>
        </is>
      </c>
      <c r="B302" s="1" t="n">
        <v>45911.70278935185</v>
      </c>
      <c r="C302" s="1" t="n">
        <v>46074</v>
      </c>
      <c r="D302" t="inlineStr">
        <is>
          <t>DALARNAS LÄN</t>
        </is>
      </c>
      <c r="E302" t="inlineStr">
        <is>
          <t>LEKSAND</t>
        </is>
      </c>
      <c r="G302" t="n">
        <v>4.7</v>
      </c>
      <c r="H302" t="n">
        <v>0</v>
      </c>
      <c r="I302" t="n">
        <v>0</v>
      </c>
      <c r="J302" t="n">
        <v>0</v>
      </c>
      <c r="K302" t="n">
        <v>0</v>
      </c>
      <c r="L302" t="n">
        <v>0</v>
      </c>
      <c r="M302" t="n">
        <v>0</v>
      </c>
      <c r="N302" t="n">
        <v>0</v>
      </c>
      <c r="O302" t="n">
        <v>0</v>
      </c>
      <c r="P302" t="n">
        <v>0</v>
      </c>
      <c r="Q302" t="n">
        <v>0</v>
      </c>
      <c r="R302" s="2" t="inlineStr"/>
    </row>
    <row r="303" ht="15" customHeight="1">
      <c r="A303" t="inlineStr">
        <is>
          <t>A 43830-2025</t>
        </is>
      </c>
      <c r="B303" s="1" t="n">
        <v>45912</v>
      </c>
      <c r="C303" s="1" t="n">
        <v>46074</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43888-2025</t>
        </is>
      </c>
      <c r="B304" s="1" t="n">
        <v>45912</v>
      </c>
      <c r="C304" s="1" t="n">
        <v>46074</v>
      </c>
      <c r="D304" t="inlineStr">
        <is>
          <t>DALARNAS LÄN</t>
        </is>
      </c>
      <c r="E304" t="inlineStr">
        <is>
          <t>LEKSAND</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53464-2024</t>
        </is>
      </c>
      <c r="B305" s="1" t="n">
        <v>45611</v>
      </c>
      <c r="C305" s="1" t="n">
        <v>46074</v>
      </c>
      <c r="D305" t="inlineStr">
        <is>
          <t>DALARNAS LÄN</t>
        </is>
      </c>
      <c r="E305" t="inlineStr">
        <is>
          <t>LEKSAND</t>
        </is>
      </c>
      <c r="G305" t="n">
        <v>1.7</v>
      </c>
      <c r="H305" t="n">
        <v>0</v>
      </c>
      <c r="I305" t="n">
        <v>0</v>
      </c>
      <c r="J305" t="n">
        <v>0</v>
      </c>
      <c r="K305" t="n">
        <v>0</v>
      </c>
      <c r="L305" t="n">
        <v>0</v>
      </c>
      <c r="M305" t="n">
        <v>0</v>
      </c>
      <c r="N305" t="n">
        <v>0</v>
      </c>
      <c r="O305" t="n">
        <v>0</v>
      </c>
      <c r="P305" t="n">
        <v>0</v>
      </c>
      <c r="Q305" t="n">
        <v>0</v>
      </c>
      <c r="R305" s="2" t="inlineStr"/>
    </row>
    <row r="306" ht="15" customHeight="1">
      <c r="A306" t="inlineStr">
        <is>
          <t>A 43781-2025</t>
        </is>
      </c>
      <c r="B306" s="1" t="n">
        <v>45912.52229166667</v>
      </c>
      <c r="C306" s="1" t="n">
        <v>46074</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44237-2025</t>
        </is>
      </c>
      <c r="B307" s="1" t="n">
        <v>45915.6677199074</v>
      </c>
      <c r="C307" s="1" t="n">
        <v>46074</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43875-2025</t>
        </is>
      </c>
      <c r="B308" s="1" t="n">
        <v>45912.67685185185</v>
      </c>
      <c r="C308" s="1" t="n">
        <v>46074</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46628-2024</t>
        </is>
      </c>
      <c r="B309" s="1" t="n">
        <v>45583.33195601852</v>
      </c>
      <c r="C309" s="1" t="n">
        <v>46074</v>
      </c>
      <c r="D309" t="inlineStr">
        <is>
          <t>DALARNAS LÄN</t>
        </is>
      </c>
      <c r="E309" t="inlineStr">
        <is>
          <t>LEKSAND</t>
        </is>
      </c>
      <c r="G309" t="n">
        <v>0.2</v>
      </c>
      <c r="H309" t="n">
        <v>0</v>
      </c>
      <c r="I309" t="n">
        <v>0</v>
      </c>
      <c r="J309" t="n">
        <v>0</v>
      </c>
      <c r="K309" t="n">
        <v>0</v>
      </c>
      <c r="L309" t="n">
        <v>0</v>
      </c>
      <c r="M309" t="n">
        <v>0</v>
      </c>
      <c r="N309" t="n">
        <v>0</v>
      </c>
      <c r="O309" t="n">
        <v>0</v>
      </c>
      <c r="P309" t="n">
        <v>0</v>
      </c>
      <c r="Q309" t="n">
        <v>0</v>
      </c>
      <c r="R309" s="2" t="inlineStr"/>
    </row>
    <row r="310" ht="15" customHeight="1">
      <c r="A310" t="inlineStr">
        <is>
          <t>A 43231-2024</t>
        </is>
      </c>
      <c r="B310" s="1" t="n">
        <v>45567.89709490741</v>
      </c>
      <c r="C310" s="1" t="n">
        <v>46074</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34537-2025</t>
        </is>
      </c>
      <c r="B311" s="1" t="n">
        <v>45847</v>
      </c>
      <c r="C311" s="1" t="n">
        <v>46074</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17533-2023</t>
        </is>
      </c>
      <c r="B312" s="1" t="n">
        <v>45036</v>
      </c>
      <c r="C312" s="1" t="n">
        <v>46074</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54914-2024</t>
        </is>
      </c>
      <c r="B313" s="1" t="n">
        <v>45618.69380787037</v>
      </c>
      <c r="C313" s="1" t="n">
        <v>46074</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44519-2025</t>
        </is>
      </c>
      <c r="B314" s="1" t="n">
        <v>45916.71483796297</v>
      </c>
      <c r="C314" s="1" t="n">
        <v>46074</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39921-2024</t>
        </is>
      </c>
      <c r="B315" s="1" t="n">
        <v>45553</v>
      </c>
      <c r="C315" s="1" t="n">
        <v>46074</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58244-2024</t>
        </is>
      </c>
      <c r="B316" s="1" t="n">
        <v>45631</v>
      </c>
      <c r="C316" s="1" t="n">
        <v>46074</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34965-2025</t>
        </is>
      </c>
      <c r="B317" s="1" t="n">
        <v>45849</v>
      </c>
      <c r="C317" s="1" t="n">
        <v>46074</v>
      </c>
      <c r="D317" t="inlineStr">
        <is>
          <t>DALARNAS LÄN</t>
        </is>
      </c>
      <c r="E317" t="inlineStr">
        <is>
          <t>LEKSAND</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41896-2024</t>
        </is>
      </c>
      <c r="B318" s="1" t="n">
        <v>45561.51310185185</v>
      </c>
      <c r="C318" s="1" t="n">
        <v>46074</v>
      </c>
      <c r="D318" t="inlineStr">
        <is>
          <t>DALARNAS LÄN</t>
        </is>
      </c>
      <c r="E318" t="inlineStr">
        <is>
          <t>LEKSAND</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34789-2025</t>
        </is>
      </c>
      <c r="B319" s="1" t="n">
        <v>45848</v>
      </c>
      <c r="C319" s="1" t="n">
        <v>46074</v>
      </c>
      <c r="D319" t="inlineStr">
        <is>
          <t>DALARNAS LÄN</t>
        </is>
      </c>
      <c r="E319" t="inlineStr">
        <is>
          <t>LEKSAND</t>
        </is>
      </c>
      <c r="F319" t="inlineStr">
        <is>
          <t>Bergvik skog väst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46074</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44516-2025</t>
        </is>
      </c>
      <c r="B321" s="1" t="n">
        <v>45916.70982638889</v>
      </c>
      <c r="C321" s="1" t="n">
        <v>46074</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61546-2021</t>
        </is>
      </c>
      <c r="B322" s="1" t="n">
        <v>44501</v>
      </c>
      <c r="C322" s="1" t="n">
        <v>46074</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41046-2024</t>
        </is>
      </c>
      <c r="B323" s="1" t="n">
        <v>45559.36677083333</v>
      </c>
      <c r="C323" s="1" t="n">
        <v>46074</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44672-2025</t>
        </is>
      </c>
      <c r="B324" s="1" t="n">
        <v>45917.56780092593</v>
      </c>
      <c r="C324" s="1" t="n">
        <v>46074</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35094-2025</t>
        </is>
      </c>
      <c r="B325" s="1" t="n">
        <v>45852</v>
      </c>
      <c r="C325" s="1" t="n">
        <v>46074</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44948-2025</t>
        </is>
      </c>
      <c r="B326" s="1" t="n">
        <v>45918.60555555556</v>
      </c>
      <c r="C326" s="1" t="n">
        <v>46074</v>
      </c>
      <c r="D326" t="inlineStr">
        <is>
          <t>DALARNAS LÄN</t>
        </is>
      </c>
      <c r="E326" t="inlineStr">
        <is>
          <t>LEKSAND</t>
        </is>
      </c>
      <c r="G326" t="n">
        <v>5.1</v>
      </c>
      <c r="H326" t="n">
        <v>0</v>
      </c>
      <c r="I326" t="n">
        <v>0</v>
      </c>
      <c r="J326" t="n">
        <v>0</v>
      </c>
      <c r="K326" t="n">
        <v>0</v>
      </c>
      <c r="L326" t="n">
        <v>0</v>
      </c>
      <c r="M326" t="n">
        <v>0</v>
      </c>
      <c r="N326" t="n">
        <v>0</v>
      </c>
      <c r="O326" t="n">
        <v>0</v>
      </c>
      <c r="P326" t="n">
        <v>0</v>
      </c>
      <c r="Q326" t="n">
        <v>0</v>
      </c>
      <c r="R326" s="2" t="inlineStr"/>
    </row>
    <row r="327" ht="15" customHeight="1">
      <c r="A327" t="inlineStr">
        <is>
          <t>A 27317-2021</t>
        </is>
      </c>
      <c r="B327" s="1" t="n">
        <v>44351</v>
      </c>
      <c r="C327" s="1" t="n">
        <v>46074</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46074</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16005-2025</t>
        </is>
      </c>
      <c r="B329" s="1" t="n">
        <v>45749.59765046297</v>
      </c>
      <c r="C329" s="1" t="n">
        <v>46074</v>
      </c>
      <c r="D329" t="inlineStr">
        <is>
          <t>DALARNAS LÄN</t>
        </is>
      </c>
      <c r="E329" t="inlineStr">
        <is>
          <t>LEKSAND</t>
        </is>
      </c>
      <c r="G329" t="n">
        <v>2.1</v>
      </c>
      <c r="H329" t="n">
        <v>0</v>
      </c>
      <c r="I329" t="n">
        <v>0</v>
      </c>
      <c r="J329" t="n">
        <v>0</v>
      </c>
      <c r="K329" t="n">
        <v>0</v>
      </c>
      <c r="L329" t="n">
        <v>0</v>
      </c>
      <c r="M329" t="n">
        <v>0</v>
      </c>
      <c r="N329" t="n">
        <v>0</v>
      </c>
      <c r="O329" t="n">
        <v>0</v>
      </c>
      <c r="P329" t="n">
        <v>0</v>
      </c>
      <c r="Q329" t="n">
        <v>0</v>
      </c>
      <c r="R329" s="2" t="inlineStr"/>
    </row>
    <row r="330" ht="15" customHeight="1">
      <c r="A330" t="inlineStr">
        <is>
          <t>A 12923-2025</t>
        </is>
      </c>
      <c r="B330" s="1" t="n">
        <v>45734.29193287037</v>
      </c>
      <c r="C330" s="1" t="n">
        <v>46074</v>
      </c>
      <c r="D330" t="inlineStr">
        <is>
          <t>DALARNAS LÄN</t>
        </is>
      </c>
      <c r="E330" t="inlineStr">
        <is>
          <t>LEKSAND</t>
        </is>
      </c>
      <c r="G330" t="n">
        <v>7.2</v>
      </c>
      <c r="H330" t="n">
        <v>0</v>
      </c>
      <c r="I330" t="n">
        <v>0</v>
      </c>
      <c r="J330" t="n">
        <v>0</v>
      </c>
      <c r="K330" t="n">
        <v>0</v>
      </c>
      <c r="L330" t="n">
        <v>0</v>
      </c>
      <c r="M330" t="n">
        <v>0</v>
      </c>
      <c r="N330" t="n">
        <v>0</v>
      </c>
      <c r="O330" t="n">
        <v>0</v>
      </c>
      <c r="P330" t="n">
        <v>0</v>
      </c>
      <c r="Q330" t="n">
        <v>0</v>
      </c>
      <c r="R330" s="2" t="inlineStr"/>
    </row>
    <row r="331" ht="15" customHeight="1">
      <c r="A331" t="inlineStr">
        <is>
          <t>A 5738-2023</t>
        </is>
      </c>
      <c r="B331" s="1" t="n">
        <v>44962</v>
      </c>
      <c r="C331" s="1" t="n">
        <v>46074</v>
      </c>
      <c r="D331" t="inlineStr">
        <is>
          <t>DALARNAS LÄN</t>
        </is>
      </c>
      <c r="E331" t="inlineStr">
        <is>
          <t>LEKSAND</t>
        </is>
      </c>
      <c r="G331" t="n">
        <v>0.2</v>
      </c>
      <c r="H331" t="n">
        <v>0</v>
      </c>
      <c r="I331" t="n">
        <v>0</v>
      </c>
      <c r="J331" t="n">
        <v>0</v>
      </c>
      <c r="K331" t="n">
        <v>0</v>
      </c>
      <c r="L331" t="n">
        <v>0</v>
      </c>
      <c r="M331" t="n">
        <v>0</v>
      </c>
      <c r="N331" t="n">
        <v>0</v>
      </c>
      <c r="O331" t="n">
        <v>0</v>
      </c>
      <c r="P331" t="n">
        <v>0</v>
      </c>
      <c r="Q331" t="n">
        <v>0</v>
      </c>
      <c r="R331" s="2" t="inlineStr"/>
    </row>
    <row r="332" ht="15" customHeight="1">
      <c r="A332" t="inlineStr">
        <is>
          <t>A 13705-2021</t>
        </is>
      </c>
      <c r="B332" s="1" t="n">
        <v>44274</v>
      </c>
      <c r="C332" s="1" t="n">
        <v>46074</v>
      </c>
      <c r="D332" t="inlineStr">
        <is>
          <t>DALARNAS LÄN</t>
        </is>
      </c>
      <c r="E332" t="inlineStr">
        <is>
          <t>LEKSAND</t>
        </is>
      </c>
      <c r="G332" t="n">
        <v>3.8</v>
      </c>
      <c r="H332" t="n">
        <v>0</v>
      </c>
      <c r="I332" t="n">
        <v>0</v>
      </c>
      <c r="J332" t="n">
        <v>0</v>
      </c>
      <c r="K332" t="n">
        <v>0</v>
      </c>
      <c r="L332" t="n">
        <v>0</v>
      </c>
      <c r="M332" t="n">
        <v>0</v>
      </c>
      <c r="N332" t="n">
        <v>0</v>
      </c>
      <c r="O332" t="n">
        <v>0</v>
      </c>
      <c r="P332" t="n">
        <v>0</v>
      </c>
      <c r="Q332" t="n">
        <v>0</v>
      </c>
      <c r="R332" s="2" t="inlineStr"/>
    </row>
    <row r="333" ht="15" customHeight="1">
      <c r="A333" t="inlineStr">
        <is>
          <t>A 8940-2023</t>
        </is>
      </c>
      <c r="B333" s="1" t="n">
        <v>44974</v>
      </c>
      <c r="C333" s="1" t="n">
        <v>46074</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11128-2023</t>
        </is>
      </c>
      <c r="B334" s="1" t="n">
        <v>44992</v>
      </c>
      <c r="C334" s="1" t="n">
        <v>46074</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35866-2025</t>
        </is>
      </c>
      <c r="B335" s="1" t="n">
        <v>45861</v>
      </c>
      <c r="C335" s="1" t="n">
        <v>46074</v>
      </c>
      <c r="D335" t="inlineStr">
        <is>
          <t>DALARNAS LÄN</t>
        </is>
      </c>
      <c r="E335" t="inlineStr">
        <is>
          <t>LEKSAND</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45381-2025</t>
        </is>
      </c>
      <c r="B336" s="1" t="n">
        <v>45922.39989583333</v>
      </c>
      <c r="C336" s="1" t="n">
        <v>46074</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35746-2025</t>
        </is>
      </c>
      <c r="B337" s="1" t="n">
        <v>45860</v>
      </c>
      <c r="C337" s="1" t="n">
        <v>46074</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46074</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46074</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1458-2024</t>
        </is>
      </c>
      <c r="B340" s="1" t="n">
        <v>45303</v>
      </c>
      <c r="C340" s="1" t="n">
        <v>46074</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1461-2024</t>
        </is>
      </c>
      <c r="B341" s="1" t="n">
        <v>45303</v>
      </c>
      <c r="C341" s="1" t="n">
        <v>46074</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36020-2025</t>
        </is>
      </c>
      <c r="B342" s="1" t="n">
        <v>45863</v>
      </c>
      <c r="C342" s="1" t="n">
        <v>46074</v>
      </c>
      <c r="D342" t="inlineStr">
        <is>
          <t>DALARNAS LÄN</t>
        </is>
      </c>
      <c r="E342" t="inlineStr">
        <is>
          <t>LEKSAND</t>
        </is>
      </c>
      <c r="F342" t="inlineStr">
        <is>
          <t>Bergvik skog väst AB</t>
        </is>
      </c>
      <c r="G342" t="n">
        <v>2.8</v>
      </c>
      <c r="H342" t="n">
        <v>0</v>
      </c>
      <c r="I342" t="n">
        <v>0</v>
      </c>
      <c r="J342" t="n">
        <v>0</v>
      </c>
      <c r="K342" t="n">
        <v>0</v>
      </c>
      <c r="L342" t="n">
        <v>0</v>
      </c>
      <c r="M342" t="n">
        <v>0</v>
      </c>
      <c r="N342" t="n">
        <v>0</v>
      </c>
      <c r="O342" t="n">
        <v>0</v>
      </c>
      <c r="P342" t="n">
        <v>0</v>
      </c>
      <c r="Q342" t="n">
        <v>0</v>
      </c>
      <c r="R342" s="2" t="inlineStr"/>
    </row>
    <row r="343" ht="15" customHeight="1">
      <c r="A343" t="inlineStr">
        <is>
          <t>A 36017-2025</t>
        </is>
      </c>
      <c r="B343" s="1" t="n">
        <v>45863</v>
      </c>
      <c r="C343" s="1" t="n">
        <v>46074</v>
      </c>
      <c r="D343" t="inlineStr">
        <is>
          <t>DALARNAS LÄN</t>
        </is>
      </c>
      <c r="E343" t="inlineStr">
        <is>
          <t>LEKSAND</t>
        </is>
      </c>
      <c r="F343" t="inlineStr">
        <is>
          <t>Bergvik skog väst AB</t>
        </is>
      </c>
      <c r="G343" t="n">
        <v>17.9</v>
      </c>
      <c r="H343" t="n">
        <v>0</v>
      </c>
      <c r="I343" t="n">
        <v>0</v>
      </c>
      <c r="J343" t="n">
        <v>0</v>
      </c>
      <c r="K343" t="n">
        <v>0</v>
      </c>
      <c r="L343" t="n">
        <v>0</v>
      </c>
      <c r="M343" t="n">
        <v>0</v>
      </c>
      <c r="N343" t="n">
        <v>0</v>
      </c>
      <c r="O343" t="n">
        <v>0</v>
      </c>
      <c r="P343" t="n">
        <v>0</v>
      </c>
      <c r="Q343" t="n">
        <v>0</v>
      </c>
      <c r="R343" s="2" t="inlineStr"/>
    </row>
    <row r="344" ht="15" customHeight="1">
      <c r="A344" t="inlineStr">
        <is>
          <t>A 38001-2023</t>
        </is>
      </c>
      <c r="B344" s="1" t="n">
        <v>45160</v>
      </c>
      <c r="C344" s="1" t="n">
        <v>46074</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35998-2025</t>
        </is>
      </c>
      <c r="B345" s="1" t="n">
        <v>45863.51550925926</v>
      </c>
      <c r="C345" s="1" t="n">
        <v>46074</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36021-2025</t>
        </is>
      </c>
      <c r="B346" s="1" t="n">
        <v>45863.72346064815</v>
      </c>
      <c r="C346" s="1" t="n">
        <v>46074</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46074</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47673-2023</t>
        </is>
      </c>
      <c r="B348" s="1" t="n">
        <v>45203</v>
      </c>
      <c r="C348" s="1" t="n">
        <v>46074</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19820-2024</t>
        </is>
      </c>
      <c r="B349" s="1" t="n">
        <v>45433.33907407407</v>
      </c>
      <c r="C349" s="1" t="n">
        <v>46074</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19823-2024</t>
        </is>
      </c>
      <c r="B350" s="1" t="n">
        <v>45433.34469907408</v>
      </c>
      <c r="C350" s="1" t="n">
        <v>46074</v>
      </c>
      <c r="D350" t="inlineStr">
        <is>
          <t>DALARNAS LÄN</t>
        </is>
      </c>
      <c r="E350" t="inlineStr">
        <is>
          <t>LEKSAND</t>
        </is>
      </c>
      <c r="G350" t="n">
        <v>0.3</v>
      </c>
      <c r="H350" t="n">
        <v>0</v>
      </c>
      <c r="I350" t="n">
        <v>0</v>
      </c>
      <c r="J350" t="n">
        <v>0</v>
      </c>
      <c r="K350" t="n">
        <v>0</v>
      </c>
      <c r="L350" t="n">
        <v>0</v>
      </c>
      <c r="M350" t="n">
        <v>0</v>
      </c>
      <c r="N350" t="n">
        <v>0</v>
      </c>
      <c r="O350" t="n">
        <v>0</v>
      </c>
      <c r="P350" t="n">
        <v>0</v>
      </c>
      <c r="Q350" t="n">
        <v>0</v>
      </c>
      <c r="R350" s="2" t="inlineStr"/>
    </row>
    <row r="351" ht="15" customHeight="1">
      <c r="A351" t="inlineStr">
        <is>
          <t>A 36190-2025</t>
        </is>
      </c>
      <c r="B351" s="1" t="n">
        <v>45867</v>
      </c>
      <c r="C351" s="1" t="n">
        <v>46074</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46405-2025</t>
        </is>
      </c>
      <c r="B352" s="1" t="n">
        <v>45925.56306712963</v>
      </c>
      <c r="C352" s="1" t="n">
        <v>46074</v>
      </c>
      <c r="D352" t="inlineStr">
        <is>
          <t>DALARNAS LÄN</t>
        </is>
      </c>
      <c r="E352" t="inlineStr">
        <is>
          <t>LEKSAND</t>
        </is>
      </c>
      <c r="G352" t="n">
        <v>5.7</v>
      </c>
      <c r="H352" t="n">
        <v>0</v>
      </c>
      <c r="I352" t="n">
        <v>0</v>
      </c>
      <c r="J352" t="n">
        <v>0</v>
      </c>
      <c r="K352" t="n">
        <v>0</v>
      </c>
      <c r="L352" t="n">
        <v>0</v>
      </c>
      <c r="M352" t="n">
        <v>0</v>
      </c>
      <c r="N352" t="n">
        <v>0</v>
      </c>
      <c r="O352" t="n">
        <v>0</v>
      </c>
      <c r="P352" t="n">
        <v>0</v>
      </c>
      <c r="Q352" t="n">
        <v>0</v>
      </c>
      <c r="R352" s="2" t="inlineStr"/>
    </row>
    <row r="353" ht="15" customHeight="1">
      <c r="A353" t="inlineStr">
        <is>
          <t>A 46483-2025</t>
        </is>
      </c>
      <c r="B353" s="1" t="n">
        <v>45925.70248842592</v>
      </c>
      <c r="C353" s="1" t="n">
        <v>46074</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7653-2025</t>
        </is>
      </c>
      <c r="B354" s="1" t="n">
        <v>45705.95238425926</v>
      </c>
      <c r="C354" s="1" t="n">
        <v>46074</v>
      </c>
      <c r="D354" t="inlineStr">
        <is>
          <t>DALARNAS LÄN</t>
        </is>
      </c>
      <c r="E354" t="inlineStr">
        <is>
          <t>LEKSAND</t>
        </is>
      </c>
      <c r="G354" t="n">
        <v>0.8</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46074</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6758-2024</t>
        </is>
      </c>
      <c r="B356" s="1" t="n">
        <v>45342.46857638889</v>
      </c>
      <c r="C356" s="1" t="n">
        <v>46074</v>
      </c>
      <c r="D356" t="inlineStr">
        <is>
          <t>DALARNAS LÄN</t>
        </is>
      </c>
      <c r="E356" t="inlineStr">
        <is>
          <t>LEKSAND</t>
        </is>
      </c>
      <c r="F356" t="inlineStr">
        <is>
          <t>Bergvik skog väst AB</t>
        </is>
      </c>
      <c r="G356" t="n">
        <v>6.2</v>
      </c>
      <c r="H356" t="n">
        <v>0</v>
      </c>
      <c r="I356" t="n">
        <v>0</v>
      </c>
      <c r="J356" t="n">
        <v>0</v>
      </c>
      <c r="K356" t="n">
        <v>0</v>
      </c>
      <c r="L356" t="n">
        <v>0</v>
      </c>
      <c r="M356" t="n">
        <v>0</v>
      </c>
      <c r="N356" t="n">
        <v>0</v>
      </c>
      <c r="O356" t="n">
        <v>0</v>
      </c>
      <c r="P356" t="n">
        <v>0</v>
      </c>
      <c r="Q356" t="n">
        <v>0</v>
      </c>
      <c r="R356" s="2" t="inlineStr"/>
    </row>
    <row r="357" ht="15" customHeight="1">
      <c r="A357" t="inlineStr">
        <is>
          <t>A 4257-2022</t>
        </is>
      </c>
      <c r="B357" s="1" t="n">
        <v>44588</v>
      </c>
      <c r="C357" s="1" t="n">
        <v>46074</v>
      </c>
      <c r="D357" t="inlineStr">
        <is>
          <t>DALARNAS LÄN</t>
        </is>
      </c>
      <c r="E357" t="inlineStr">
        <is>
          <t>LEKSAND</t>
        </is>
      </c>
      <c r="G357" t="n">
        <v>6.8</v>
      </c>
      <c r="H357" t="n">
        <v>0</v>
      </c>
      <c r="I357" t="n">
        <v>0</v>
      </c>
      <c r="J357" t="n">
        <v>0</v>
      </c>
      <c r="K357" t="n">
        <v>0</v>
      </c>
      <c r="L357" t="n">
        <v>0</v>
      </c>
      <c r="M357" t="n">
        <v>0</v>
      </c>
      <c r="N357" t="n">
        <v>0</v>
      </c>
      <c r="O357" t="n">
        <v>0</v>
      </c>
      <c r="P357" t="n">
        <v>0</v>
      </c>
      <c r="Q357" t="n">
        <v>0</v>
      </c>
      <c r="R357" s="2" t="inlineStr"/>
    </row>
    <row r="358" ht="15" customHeight="1">
      <c r="A358" t="inlineStr">
        <is>
          <t>A 36540-2025</t>
        </is>
      </c>
      <c r="B358" s="1" t="n">
        <v>45869.63885416667</v>
      </c>
      <c r="C358" s="1" t="n">
        <v>46074</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28921-2023</t>
        </is>
      </c>
      <c r="B359" s="1" t="n">
        <v>45104</v>
      </c>
      <c r="C359" s="1" t="n">
        <v>46074</v>
      </c>
      <c r="D359" t="inlineStr">
        <is>
          <t>DALARNAS LÄN</t>
        </is>
      </c>
      <c r="E359" t="inlineStr">
        <is>
          <t>LEKSAND</t>
        </is>
      </c>
      <c r="G359" t="n">
        <v>4.4</v>
      </c>
      <c r="H359" t="n">
        <v>0</v>
      </c>
      <c r="I359" t="n">
        <v>0</v>
      </c>
      <c r="J359" t="n">
        <v>0</v>
      </c>
      <c r="K359" t="n">
        <v>0</v>
      </c>
      <c r="L359" t="n">
        <v>0</v>
      </c>
      <c r="M359" t="n">
        <v>0</v>
      </c>
      <c r="N359" t="n">
        <v>0</v>
      </c>
      <c r="O359" t="n">
        <v>0</v>
      </c>
      <c r="P359" t="n">
        <v>0</v>
      </c>
      <c r="Q359" t="n">
        <v>0</v>
      </c>
      <c r="R359" s="2" t="inlineStr"/>
    </row>
    <row r="360" ht="15" customHeight="1">
      <c r="A360" t="inlineStr">
        <is>
          <t>A 47068-2025</t>
        </is>
      </c>
      <c r="B360" s="1" t="n">
        <v>45929.63511574074</v>
      </c>
      <c r="C360" s="1" t="n">
        <v>46074</v>
      </c>
      <c r="D360" t="inlineStr">
        <is>
          <t>DALARNAS LÄN</t>
        </is>
      </c>
      <c r="E360" t="inlineStr">
        <is>
          <t>LEKSAND</t>
        </is>
      </c>
      <c r="G360" t="n">
        <v>3.4</v>
      </c>
      <c r="H360" t="n">
        <v>0</v>
      </c>
      <c r="I360" t="n">
        <v>0</v>
      </c>
      <c r="J360" t="n">
        <v>0</v>
      </c>
      <c r="K360" t="n">
        <v>0</v>
      </c>
      <c r="L360" t="n">
        <v>0</v>
      </c>
      <c r="M360" t="n">
        <v>0</v>
      </c>
      <c r="N360" t="n">
        <v>0</v>
      </c>
      <c r="O360" t="n">
        <v>0</v>
      </c>
      <c r="P360" t="n">
        <v>0</v>
      </c>
      <c r="Q360" t="n">
        <v>0</v>
      </c>
      <c r="R360" s="2" t="inlineStr"/>
    </row>
    <row r="361" ht="15" customHeight="1">
      <c r="A361" t="inlineStr">
        <is>
          <t>A 30998-2023</t>
        </is>
      </c>
      <c r="B361" s="1" t="n">
        <v>45113.54193287037</v>
      </c>
      <c r="C361" s="1" t="n">
        <v>46074</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46949-2025</t>
        </is>
      </c>
      <c r="B362" s="1" t="n">
        <v>45929.46811342592</v>
      </c>
      <c r="C362" s="1" t="n">
        <v>46074</v>
      </c>
      <c r="D362" t="inlineStr">
        <is>
          <t>DALARNAS LÄN</t>
        </is>
      </c>
      <c r="E362" t="inlineStr">
        <is>
          <t>LEKSAND</t>
        </is>
      </c>
      <c r="G362" t="n">
        <v>5</v>
      </c>
      <c r="H362" t="n">
        <v>0</v>
      </c>
      <c r="I362" t="n">
        <v>0</v>
      </c>
      <c r="J362" t="n">
        <v>0</v>
      </c>
      <c r="K362" t="n">
        <v>0</v>
      </c>
      <c r="L362" t="n">
        <v>0</v>
      </c>
      <c r="M362" t="n">
        <v>0</v>
      </c>
      <c r="N362" t="n">
        <v>0</v>
      </c>
      <c r="O362" t="n">
        <v>0</v>
      </c>
      <c r="P362" t="n">
        <v>0</v>
      </c>
      <c r="Q362" t="n">
        <v>0</v>
      </c>
      <c r="R362" s="2" t="inlineStr"/>
    </row>
    <row r="363" ht="15" customHeight="1">
      <c r="A363" t="inlineStr">
        <is>
          <t>A 31254-2023</t>
        </is>
      </c>
      <c r="B363" s="1" t="n">
        <v>45114</v>
      </c>
      <c r="C363" s="1" t="n">
        <v>46074</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51677-2024</t>
        </is>
      </c>
      <c r="B364" s="1" t="n">
        <v>45607.30265046296</v>
      </c>
      <c r="C364" s="1" t="n">
        <v>46074</v>
      </c>
      <c r="D364" t="inlineStr">
        <is>
          <t>DALARNAS LÄN</t>
        </is>
      </c>
      <c r="E364" t="inlineStr">
        <is>
          <t>LEKSAND</t>
        </is>
      </c>
      <c r="G364" t="n">
        <v>3.4</v>
      </c>
      <c r="H364" t="n">
        <v>0</v>
      </c>
      <c r="I364" t="n">
        <v>0</v>
      </c>
      <c r="J364" t="n">
        <v>0</v>
      </c>
      <c r="K364" t="n">
        <v>0</v>
      </c>
      <c r="L364" t="n">
        <v>0</v>
      </c>
      <c r="M364" t="n">
        <v>0</v>
      </c>
      <c r="N364" t="n">
        <v>0</v>
      </c>
      <c r="O364" t="n">
        <v>0</v>
      </c>
      <c r="P364" t="n">
        <v>0</v>
      </c>
      <c r="Q364" t="n">
        <v>0</v>
      </c>
      <c r="R364" s="2" t="inlineStr"/>
    </row>
    <row r="365" ht="15" customHeight="1">
      <c r="A365" t="inlineStr">
        <is>
          <t>A 46978-2025</t>
        </is>
      </c>
      <c r="B365" s="1" t="n">
        <v>45929.51811342593</v>
      </c>
      <c r="C365" s="1" t="n">
        <v>46074</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23283-2024</t>
        </is>
      </c>
      <c r="B366" s="1" t="n">
        <v>45453</v>
      </c>
      <c r="C366" s="1" t="n">
        <v>46074</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39807-2024</t>
        </is>
      </c>
      <c r="B367" s="1" t="n">
        <v>45553.35763888889</v>
      </c>
      <c r="C367" s="1" t="n">
        <v>46074</v>
      </c>
      <c r="D367" t="inlineStr">
        <is>
          <t>DALARNAS LÄN</t>
        </is>
      </c>
      <c r="E367" t="inlineStr">
        <is>
          <t>LEKSAND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1463-2024</t>
        </is>
      </c>
      <c r="B368" s="1" t="n">
        <v>45303</v>
      </c>
      <c r="C368" s="1" t="n">
        <v>46074</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16611-2024</t>
        </is>
      </c>
      <c r="B369" s="1" t="n">
        <v>45408.55504629629</v>
      </c>
      <c r="C369" s="1" t="n">
        <v>46074</v>
      </c>
      <c r="D369" t="inlineStr">
        <is>
          <t>DALARNAS LÄN</t>
        </is>
      </c>
      <c r="E369" t="inlineStr">
        <is>
          <t>LEKSAND</t>
        </is>
      </c>
      <c r="G369" t="n">
        <v>5.9</v>
      </c>
      <c r="H369" t="n">
        <v>0</v>
      </c>
      <c r="I369" t="n">
        <v>0</v>
      </c>
      <c r="J369" t="n">
        <v>0</v>
      </c>
      <c r="K369" t="n">
        <v>0</v>
      </c>
      <c r="L369" t="n">
        <v>0</v>
      </c>
      <c r="M369" t="n">
        <v>0</v>
      </c>
      <c r="N369" t="n">
        <v>0</v>
      </c>
      <c r="O369" t="n">
        <v>0</v>
      </c>
      <c r="P369" t="n">
        <v>0</v>
      </c>
      <c r="Q369" t="n">
        <v>0</v>
      </c>
      <c r="R369" s="2" t="inlineStr"/>
    </row>
    <row r="370" ht="15" customHeight="1">
      <c r="A370" t="inlineStr">
        <is>
          <t>A 164-2023</t>
        </is>
      </c>
      <c r="B370" s="1" t="n">
        <v>44918</v>
      </c>
      <c r="C370" s="1" t="n">
        <v>46074</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45768-2023</t>
        </is>
      </c>
      <c r="B371" s="1" t="n">
        <v>45195</v>
      </c>
      <c r="C371" s="1" t="n">
        <v>46074</v>
      </c>
      <c r="D371" t="inlineStr">
        <is>
          <t>DALARNAS LÄN</t>
        </is>
      </c>
      <c r="E371" t="inlineStr">
        <is>
          <t>LEKSAND</t>
        </is>
      </c>
      <c r="G371" t="n">
        <v>0.4</v>
      </c>
      <c r="H371" t="n">
        <v>0</v>
      </c>
      <c r="I371" t="n">
        <v>0</v>
      </c>
      <c r="J371" t="n">
        <v>0</v>
      </c>
      <c r="K371" t="n">
        <v>0</v>
      </c>
      <c r="L371" t="n">
        <v>0</v>
      </c>
      <c r="M371" t="n">
        <v>0</v>
      </c>
      <c r="N371" t="n">
        <v>0</v>
      </c>
      <c r="O371" t="n">
        <v>0</v>
      </c>
      <c r="P371" t="n">
        <v>0</v>
      </c>
      <c r="Q371" t="n">
        <v>0</v>
      </c>
      <c r="R371" s="2" t="inlineStr"/>
    </row>
    <row r="372" ht="15" customHeight="1">
      <c r="A372" t="inlineStr">
        <is>
          <t>A 25025-2023</t>
        </is>
      </c>
      <c r="B372" s="1" t="n">
        <v>45085.92146990741</v>
      </c>
      <c r="C372" s="1" t="n">
        <v>46074</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25038-2023</t>
        </is>
      </c>
      <c r="B373" s="1" t="n">
        <v>45085</v>
      </c>
      <c r="C373" s="1" t="n">
        <v>46074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37508-2025</t>
        </is>
      </c>
      <c r="B374" s="1" t="n">
        <v>45877.66282407408</v>
      </c>
      <c r="C374" s="1" t="n">
        <v>46074</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47976-2025</t>
        </is>
      </c>
      <c r="B375" s="1" t="n">
        <v>45932.60846064815</v>
      </c>
      <c r="C375" s="1" t="n">
        <v>46074</v>
      </c>
      <c r="D375" t="inlineStr">
        <is>
          <t>DALARNAS LÄN</t>
        </is>
      </c>
      <c r="E375" t="inlineStr">
        <is>
          <t>LEKSAND</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47977-2025</t>
        </is>
      </c>
      <c r="B376" s="1" t="n">
        <v>45932.60920138889</v>
      </c>
      <c r="C376" s="1" t="n">
        <v>46074</v>
      </c>
      <c r="D376" t="inlineStr">
        <is>
          <t>DALARNAS LÄN</t>
        </is>
      </c>
      <c r="E376" t="inlineStr">
        <is>
          <t>LEKSAND</t>
        </is>
      </c>
      <c r="F376" t="inlineStr">
        <is>
          <t>Bergvik skog väst AB</t>
        </is>
      </c>
      <c r="G376" t="n">
        <v>0.2</v>
      </c>
      <c r="H376" t="n">
        <v>0</v>
      </c>
      <c r="I376" t="n">
        <v>0</v>
      </c>
      <c r="J376" t="n">
        <v>0</v>
      </c>
      <c r="K376" t="n">
        <v>0</v>
      </c>
      <c r="L376" t="n">
        <v>0</v>
      </c>
      <c r="M376" t="n">
        <v>0</v>
      </c>
      <c r="N376" t="n">
        <v>0</v>
      </c>
      <c r="O376" t="n">
        <v>0</v>
      </c>
      <c r="P376" t="n">
        <v>0</v>
      </c>
      <c r="Q376" t="n">
        <v>0</v>
      </c>
      <c r="R376" s="2" t="inlineStr"/>
    </row>
    <row r="377" ht="15" customHeight="1">
      <c r="A377" t="inlineStr">
        <is>
          <t>A 11277-2025</t>
        </is>
      </c>
      <c r="B377" s="1" t="n">
        <v>45726.41565972222</v>
      </c>
      <c r="C377" s="1" t="n">
        <v>46074</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5570-2024</t>
        </is>
      </c>
      <c r="B378" s="1" t="n">
        <v>45334</v>
      </c>
      <c r="C378" s="1" t="n">
        <v>46074</v>
      </c>
      <c r="D378" t="inlineStr">
        <is>
          <t>DALARNAS LÄN</t>
        </is>
      </c>
      <c r="E378" t="inlineStr">
        <is>
          <t>LEKSAND</t>
        </is>
      </c>
      <c r="G378" t="n">
        <v>0.3</v>
      </c>
      <c r="H378" t="n">
        <v>0</v>
      </c>
      <c r="I378" t="n">
        <v>0</v>
      </c>
      <c r="J378" t="n">
        <v>0</v>
      </c>
      <c r="K378" t="n">
        <v>0</v>
      </c>
      <c r="L378" t="n">
        <v>0</v>
      </c>
      <c r="M378" t="n">
        <v>0</v>
      </c>
      <c r="N378" t="n">
        <v>0</v>
      </c>
      <c r="O378" t="n">
        <v>0</v>
      </c>
      <c r="P378" t="n">
        <v>0</v>
      </c>
      <c r="Q378" t="n">
        <v>0</v>
      </c>
      <c r="R378" s="2" t="inlineStr"/>
    </row>
    <row r="379" ht="15" customHeight="1">
      <c r="A379" t="inlineStr">
        <is>
          <t>A 54917-2024</t>
        </is>
      </c>
      <c r="B379" s="1" t="n">
        <v>45618.69581018519</v>
      </c>
      <c r="C379" s="1" t="n">
        <v>46074</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11403-2023</t>
        </is>
      </c>
      <c r="B380" s="1" t="n">
        <v>44993</v>
      </c>
      <c r="C380" s="1" t="n">
        <v>46074</v>
      </c>
      <c r="D380" t="inlineStr">
        <is>
          <t>DALARNAS LÄN</t>
        </is>
      </c>
      <c r="E380" t="inlineStr">
        <is>
          <t>LEKSAND</t>
        </is>
      </c>
      <c r="G380" t="n">
        <v>0.1</v>
      </c>
      <c r="H380" t="n">
        <v>0</v>
      </c>
      <c r="I380" t="n">
        <v>0</v>
      </c>
      <c r="J380" t="n">
        <v>0</v>
      </c>
      <c r="K380" t="n">
        <v>0</v>
      </c>
      <c r="L380" t="n">
        <v>0</v>
      </c>
      <c r="M380" t="n">
        <v>0</v>
      </c>
      <c r="N380" t="n">
        <v>0</v>
      </c>
      <c r="O380" t="n">
        <v>0</v>
      </c>
      <c r="P380" t="n">
        <v>0</v>
      </c>
      <c r="Q380" t="n">
        <v>0</v>
      </c>
      <c r="R380" s="2" t="inlineStr"/>
    </row>
    <row r="381" ht="15" customHeight="1">
      <c r="A381" t="inlineStr">
        <is>
          <t>A 37996-2025</t>
        </is>
      </c>
      <c r="B381" s="1" t="n">
        <v>45881.8299537037</v>
      </c>
      <c r="C381" s="1" t="n">
        <v>46074</v>
      </c>
      <c r="D381" t="inlineStr">
        <is>
          <t>DALARNAS LÄN</t>
        </is>
      </c>
      <c r="E381" t="inlineStr">
        <is>
          <t>LEKSAND</t>
        </is>
      </c>
      <c r="G381" t="n">
        <v>4.2</v>
      </c>
      <c r="H381" t="n">
        <v>0</v>
      </c>
      <c r="I381" t="n">
        <v>0</v>
      </c>
      <c r="J381" t="n">
        <v>0</v>
      </c>
      <c r="K381" t="n">
        <v>0</v>
      </c>
      <c r="L381" t="n">
        <v>0</v>
      </c>
      <c r="M381" t="n">
        <v>0</v>
      </c>
      <c r="N381" t="n">
        <v>0</v>
      </c>
      <c r="O381" t="n">
        <v>0</v>
      </c>
      <c r="P381" t="n">
        <v>0</v>
      </c>
      <c r="Q381" t="n">
        <v>0</v>
      </c>
      <c r="R381" s="2" t="inlineStr"/>
    </row>
    <row r="382" ht="15" customHeight="1">
      <c r="A382" t="inlineStr">
        <is>
          <t>A 48421-2025</t>
        </is>
      </c>
      <c r="B382" s="1" t="n">
        <v>45934.67564814815</v>
      </c>
      <c r="C382" s="1" t="n">
        <v>46074</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48829-2025</t>
        </is>
      </c>
      <c r="B383" s="1" t="n">
        <v>45936</v>
      </c>
      <c r="C383" s="1" t="n">
        <v>46074</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57930-2024</t>
        </is>
      </c>
      <c r="B384" s="1" t="n">
        <v>45630</v>
      </c>
      <c r="C384" s="1" t="n">
        <v>46074</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46074</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60129-2023</t>
        </is>
      </c>
      <c r="B386" s="1" t="n">
        <v>45258.49056712963</v>
      </c>
      <c r="C386" s="1" t="n">
        <v>46074</v>
      </c>
      <c r="D386" t="inlineStr">
        <is>
          <t>DALARNAS LÄN</t>
        </is>
      </c>
      <c r="E386" t="inlineStr">
        <is>
          <t>LEKSAND</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3737-2023</t>
        </is>
      </c>
      <c r="B387" s="1" t="n">
        <v>44951.42983796296</v>
      </c>
      <c r="C387" s="1" t="n">
        <v>46074</v>
      </c>
      <c r="D387" t="inlineStr">
        <is>
          <t>DALARNAS LÄN</t>
        </is>
      </c>
      <c r="E387" t="inlineStr">
        <is>
          <t>LEKSAND</t>
        </is>
      </c>
      <c r="G387" t="n">
        <v>3.1</v>
      </c>
      <c r="H387" t="n">
        <v>0</v>
      </c>
      <c r="I387" t="n">
        <v>0</v>
      </c>
      <c r="J387" t="n">
        <v>0</v>
      </c>
      <c r="K387" t="n">
        <v>0</v>
      </c>
      <c r="L387" t="n">
        <v>0</v>
      </c>
      <c r="M387" t="n">
        <v>0</v>
      </c>
      <c r="N387" t="n">
        <v>0</v>
      </c>
      <c r="O387" t="n">
        <v>0</v>
      </c>
      <c r="P387" t="n">
        <v>0</v>
      </c>
      <c r="Q387" t="n">
        <v>0</v>
      </c>
      <c r="R387" s="2" t="inlineStr"/>
    </row>
    <row r="388" ht="15" customHeight="1">
      <c r="A388" t="inlineStr">
        <is>
          <t>A 19296-2024</t>
        </is>
      </c>
      <c r="B388" s="1" t="n">
        <v>45428.69438657408</v>
      </c>
      <c r="C388" s="1" t="n">
        <v>46074</v>
      </c>
      <c r="D388" t="inlineStr">
        <is>
          <t>DALARNAS LÄN</t>
        </is>
      </c>
      <c r="E388" t="inlineStr">
        <is>
          <t>LEKSAND</t>
        </is>
      </c>
      <c r="G388" t="n">
        <v>2.4</v>
      </c>
      <c r="H388" t="n">
        <v>0</v>
      </c>
      <c r="I388" t="n">
        <v>0</v>
      </c>
      <c r="J388" t="n">
        <v>0</v>
      </c>
      <c r="K388" t="n">
        <v>0</v>
      </c>
      <c r="L388" t="n">
        <v>0</v>
      </c>
      <c r="M388" t="n">
        <v>0</v>
      </c>
      <c r="N388" t="n">
        <v>0</v>
      </c>
      <c r="O388" t="n">
        <v>0</v>
      </c>
      <c r="P388" t="n">
        <v>0</v>
      </c>
      <c r="Q388" t="n">
        <v>0</v>
      </c>
      <c r="R388" s="2" t="inlineStr"/>
    </row>
    <row r="389" ht="15" customHeight="1">
      <c r="A389" t="inlineStr">
        <is>
          <t>A 43237-2024</t>
        </is>
      </c>
      <c r="B389" s="1" t="n">
        <v>45567</v>
      </c>
      <c r="C389" s="1" t="n">
        <v>46074</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46074</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48922-2025</t>
        </is>
      </c>
      <c r="B391" s="1" t="n">
        <v>45937.50077546296</v>
      </c>
      <c r="C391" s="1" t="n">
        <v>46074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23068-2024</t>
        </is>
      </c>
      <c r="B392" s="1" t="n">
        <v>45450.45521990741</v>
      </c>
      <c r="C392" s="1" t="n">
        <v>46074</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49076-2025</t>
        </is>
      </c>
      <c r="B393" s="1" t="n">
        <v>45937.65601851852</v>
      </c>
      <c r="C393" s="1" t="n">
        <v>46074</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7894-2025</t>
        </is>
      </c>
      <c r="B394" s="1" t="n">
        <v>45707.30268518518</v>
      </c>
      <c r="C394" s="1" t="n">
        <v>46074</v>
      </c>
      <c r="D394" t="inlineStr">
        <is>
          <t>DALARNAS LÄN</t>
        </is>
      </c>
      <c r="E394" t="inlineStr">
        <is>
          <t>LEKSAND</t>
        </is>
      </c>
      <c r="G394" t="n">
        <v>1.6</v>
      </c>
      <c r="H394" t="n">
        <v>0</v>
      </c>
      <c r="I394" t="n">
        <v>0</v>
      </c>
      <c r="J394" t="n">
        <v>0</v>
      </c>
      <c r="K394" t="n">
        <v>0</v>
      </c>
      <c r="L394" t="n">
        <v>0</v>
      </c>
      <c r="M394" t="n">
        <v>0</v>
      </c>
      <c r="N394" t="n">
        <v>0</v>
      </c>
      <c r="O394" t="n">
        <v>0</v>
      </c>
      <c r="P394" t="n">
        <v>0</v>
      </c>
      <c r="Q394" t="n">
        <v>0</v>
      </c>
      <c r="R394" s="2" t="inlineStr"/>
    </row>
    <row r="395" ht="15" customHeight="1">
      <c r="A395" t="inlineStr">
        <is>
          <t>A 38090-2025</t>
        </is>
      </c>
      <c r="B395" s="1" t="n">
        <v>45882.48440972222</v>
      </c>
      <c r="C395" s="1" t="n">
        <v>46074</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48824-2025</t>
        </is>
      </c>
      <c r="B396" s="1" t="n">
        <v>45937.37949074074</v>
      </c>
      <c r="C396" s="1" t="n">
        <v>46074</v>
      </c>
      <c r="D396" t="inlineStr">
        <is>
          <t>DALARNAS LÄN</t>
        </is>
      </c>
      <c r="E396" t="inlineStr">
        <is>
          <t>LEKSAND</t>
        </is>
      </c>
      <c r="G396" t="n">
        <v>6.3</v>
      </c>
      <c r="H396" t="n">
        <v>0</v>
      </c>
      <c r="I396" t="n">
        <v>0</v>
      </c>
      <c r="J396" t="n">
        <v>0</v>
      </c>
      <c r="K396" t="n">
        <v>0</v>
      </c>
      <c r="L396" t="n">
        <v>0</v>
      </c>
      <c r="M396" t="n">
        <v>0</v>
      </c>
      <c r="N396" t="n">
        <v>0</v>
      </c>
      <c r="O396" t="n">
        <v>0</v>
      </c>
      <c r="P396" t="n">
        <v>0</v>
      </c>
      <c r="Q396" t="n">
        <v>0</v>
      </c>
      <c r="R396" s="2" t="inlineStr"/>
    </row>
    <row r="397" ht="15" customHeight="1">
      <c r="A397" t="inlineStr">
        <is>
          <t>A 28965-2023</t>
        </is>
      </c>
      <c r="B397" s="1" t="n">
        <v>45104</v>
      </c>
      <c r="C397" s="1" t="n">
        <v>46074</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16293-2025</t>
        </is>
      </c>
      <c r="B398" s="1" t="n">
        <v>45751.33447916667</v>
      </c>
      <c r="C398" s="1" t="n">
        <v>46074</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6027-2025</t>
        </is>
      </c>
      <c r="B399" s="1" t="n">
        <v>45695</v>
      </c>
      <c r="C399" s="1" t="n">
        <v>46074</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46074</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46074</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11678-2023</t>
        </is>
      </c>
      <c r="B402" s="1" t="n">
        <v>44994</v>
      </c>
      <c r="C402" s="1" t="n">
        <v>46074</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38498-2025</t>
        </is>
      </c>
      <c r="B403" s="1" t="n">
        <v>45884.3706712963</v>
      </c>
      <c r="C403" s="1" t="n">
        <v>46074</v>
      </c>
      <c r="D403" t="inlineStr">
        <is>
          <t>DALARNAS LÄN</t>
        </is>
      </c>
      <c r="E403" t="inlineStr">
        <is>
          <t>LEKSAND</t>
        </is>
      </c>
      <c r="G403" t="n">
        <v>2.1</v>
      </c>
      <c r="H403" t="n">
        <v>0</v>
      </c>
      <c r="I403" t="n">
        <v>0</v>
      </c>
      <c r="J403" t="n">
        <v>0</v>
      </c>
      <c r="K403" t="n">
        <v>0</v>
      </c>
      <c r="L403" t="n">
        <v>0</v>
      </c>
      <c r="M403" t="n">
        <v>0</v>
      </c>
      <c r="N403" t="n">
        <v>0</v>
      </c>
      <c r="O403" t="n">
        <v>0</v>
      </c>
      <c r="P403" t="n">
        <v>0</v>
      </c>
      <c r="Q403" t="n">
        <v>0</v>
      </c>
      <c r="R403" s="2" t="inlineStr"/>
    </row>
    <row r="404" ht="15" customHeight="1">
      <c r="A404" t="inlineStr">
        <is>
          <t>A 32726-2025</t>
        </is>
      </c>
      <c r="B404" s="1" t="n">
        <v>45839.3969212963</v>
      </c>
      <c r="C404" s="1" t="n">
        <v>46074</v>
      </c>
      <c r="D404" t="inlineStr">
        <is>
          <t>DALARNAS LÄN</t>
        </is>
      </c>
      <c r="E404" t="inlineStr">
        <is>
          <t>LEKSAND</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8755-2023</t>
        </is>
      </c>
      <c r="B405" s="1" t="n">
        <v>44978</v>
      </c>
      <c r="C405" s="1" t="n">
        <v>46074</v>
      </c>
      <c r="D405" t="inlineStr">
        <is>
          <t>DALARNAS LÄN</t>
        </is>
      </c>
      <c r="E405" t="inlineStr">
        <is>
          <t>LEKSAND</t>
        </is>
      </c>
      <c r="G405" t="n">
        <v>2.3</v>
      </c>
      <c r="H405" t="n">
        <v>0</v>
      </c>
      <c r="I405" t="n">
        <v>0</v>
      </c>
      <c r="J405" t="n">
        <v>0</v>
      </c>
      <c r="K405" t="n">
        <v>0</v>
      </c>
      <c r="L405" t="n">
        <v>0</v>
      </c>
      <c r="M405" t="n">
        <v>0</v>
      </c>
      <c r="N405" t="n">
        <v>0</v>
      </c>
      <c r="O405" t="n">
        <v>0</v>
      </c>
      <c r="P405" t="n">
        <v>0</v>
      </c>
      <c r="Q405" t="n">
        <v>0</v>
      </c>
      <c r="R405" s="2" t="inlineStr"/>
    </row>
    <row r="406" ht="15" customHeight="1">
      <c r="A406" t="inlineStr">
        <is>
          <t>A 5582-2024</t>
        </is>
      </c>
      <c r="B406" s="1" t="n">
        <v>45334</v>
      </c>
      <c r="C406" s="1" t="n">
        <v>46074</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46505-2023</t>
        </is>
      </c>
      <c r="B407" s="1" t="n">
        <v>45197</v>
      </c>
      <c r="C407" s="1" t="n">
        <v>46074</v>
      </c>
      <c r="D407" t="inlineStr">
        <is>
          <t>DALARNAS LÄN</t>
        </is>
      </c>
      <c r="E407" t="inlineStr">
        <is>
          <t>LEKSAND</t>
        </is>
      </c>
      <c r="G407" t="n">
        <v>2.3</v>
      </c>
      <c r="H407" t="n">
        <v>0</v>
      </c>
      <c r="I407" t="n">
        <v>0</v>
      </c>
      <c r="J407" t="n">
        <v>0</v>
      </c>
      <c r="K407" t="n">
        <v>0</v>
      </c>
      <c r="L407" t="n">
        <v>0</v>
      </c>
      <c r="M407" t="n">
        <v>0</v>
      </c>
      <c r="N407" t="n">
        <v>0</v>
      </c>
      <c r="O407" t="n">
        <v>0</v>
      </c>
      <c r="P407" t="n">
        <v>0</v>
      </c>
      <c r="Q407" t="n">
        <v>0</v>
      </c>
      <c r="R407" s="2" t="inlineStr"/>
    </row>
    <row r="408" ht="15" customHeight="1">
      <c r="A408" t="inlineStr">
        <is>
          <t>A 58619-2022</t>
        </is>
      </c>
      <c r="B408" s="1" t="n">
        <v>44902.59579861111</v>
      </c>
      <c r="C408" s="1" t="n">
        <v>46074</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50332-2025</t>
        </is>
      </c>
      <c r="B409" s="1" t="n">
        <v>45944.47092592593</v>
      </c>
      <c r="C409" s="1" t="n">
        <v>46074</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46074</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7897-2025</t>
        </is>
      </c>
      <c r="B411" s="1" t="n">
        <v>45707.30969907407</v>
      </c>
      <c r="C411" s="1" t="n">
        <v>46074</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8045-2024</t>
        </is>
      </c>
      <c r="B412" s="1" t="n">
        <v>45351.31371527778</v>
      </c>
      <c r="C412" s="1" t="n">
        <v>46074</v>
      </c>
      <c r="D412" t="inlineStr">
        <is>
          <t>DALARNAS LÄN</t>
        </is>
      </c>
      <c r="E412" t="inlineStr">
        <is>
          <t>LEKSAND</t>
        </is>
      </c>
      <c r="G412" t="n">
        <v>6.7</v>
      </c>
      <c r="H412" t="n">
        <v>0</v>
      </c>
      <c r="I412" t="n">
        <v>0</v>
      </c>
      <c r="J412" t="n">
        <v>0</v>
      </c>
      <c r="K412" t="n">
        <v>0</v>
      </c>
      <c r="L412" t="n">
        <v>0</v>
      </c>
      <c r="M412" t="n">
        <v>0</v>
      </c>
      <c r="N412" t="n">
        <v>0</v>
      </c>
      <c r="O412" t="n">
        <v>0</v>
      </c>
      <c r="P412" t="n">
        <v>0</v>
      </c>
      <c r="Q412" t="n">
        <v>0</v>
      </c>
      <c r="R412" s="2" t="inlineStr"/>
    </row>
    <row r="413" ht="15" customHeight="1">
      <c r="A413" t="inlineStr">
        <is>
          <t>A 33001-2023</t>
        </is>
      </c>
      <c r="B413" s="1" t="n">
        <v>45125</v>
      </c>
      <c r="C413" s="1" t="n">
        <v>46074</v>
      </c>
      <c r="D413" t="inlineStr">
        <is>
          <t>DALARNAS LÄN</t>
        </is>
      </c>
      <c r="E413" t="inlineStr">
        <is>
          <t>LEKSAND</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1946-2024</t>
        </is>
      </c>
      <c r="B414" s="1" t="n">
        <v>45308</v>
      </c>
      <c r="C414" s="1" t="n">
        <v>46074</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6028-2025</t>
        </is>
      </c>
      <c r="B415" s="1" t="n">
        <v>45695</v>
      </c>
      <c r="C415" s="1" t="n">
        <v>46074</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51768-2025</t>
        </is>
      </c>
      <c r="B416" s="1" t="n">
        <v>45951.64041666667</v>
      </c>
      <c r="C416" s="1" t="n">
        <v>46074</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32394-2024</t>
        </is>
      </c>
      <c r="B417" s="1" t="n">
        <v>45512.64349537037</v>
      </c>
      <c r="C417" s="1" t="n">
        <v>46074</v>
      </c>
      <c r="D417" t="inlineStr">
        <is>
          <t>DALARNAS LÄN</t>
        </is>
      </c>
      <c r="E417" t="inlineStr">
        <is>
          <t>LEKSAND</t>
        </is>
      </c>
      <c r="F417" t="inlineStr">
        <is>
          <t>Bergvik skog väst AB</t>
        </is>
      </c>
      <c r="G417" t="n">
        <v>6</v>
      </c>
      <c r="H417" t="n">
        <v>0</v>
      </c>
      <c r="I417" t="n">
        <v>0</v>
      </c>
      <c r="J417" t="n">
        <v>0</v>
      </c>
      <c r="K417" t="n">
        <v>0</v>
      </c>
      <c r="L417" t="n">
        <v>0</v>
      </c>
      <c r="M417" t="n">
        <v>0</v>
      </c>
      <c r="N417" t="n">
        <v>0</v>
      </c>
      <c r="O417" t="n">
        <v>0</v>
      </c>
      <c r="P417" t="n">
        <v>0</v>
      </c>
      <c r="Q417" t="n">
        <v>0</v>
      </c>
      <c r="R417" s="2" t="inlineStr"/>
    </row>
    <row r="418" ht="15" customHeight="1">
      <c r="A418" t="inlineStr">
        <is>
          <t>A 51728-2025</t>
        </is>
      </c>
      <c r="B418" s="1" t="n">
        <v>45951</v>
      </c>
      <c r="C418" s="1" t="n">
        <v>46074</v>
      </c>
      <c r="D418" t="inlineStr">
        <is>
          <t>DALARNAS LÄN</t>
        </is>
      </c>
      <c r="E418" t="inlineStr">
        <is>
          <t>LEKSAND</t>
        </is>
      </c>
      <c r="F418" t="inlineStr">
        <is>
          <t>Bergvik skog väst AB</t>
        </is>
      </c>
      <c r="G418" t="n">
        <v>14.2</v>
      </c>
      <c r="H418" t="n">
        <v>0</v>
      </c>
      <c r="I418" t="n">
        <v>0</v>
      </c>
      <c r="J418" t="n">
        <v>0</v>
      </c>
      <c r="K418" t="n">
        <v>0</v>
      </c>
      <c r="L418" t="n">
        <v>0</v>
      </c>
      <c r="M418" t="n">
        <v>0</v>
      </c>
      <c r="N418" t="n">
        <v>0</v>
      </c>
      <c r="O418" t="n">
        <v>0</v>
      </c>
      <c r="P418" t="n">
        <v>0</v>
      </c>
      <c r="Q418" t="n">
        <v>0</v>
      </c>
      <c r="R418" s="2" t="inlineStr"/>
    </row>
    <row r="419" ht="15" customHeight="1">
      <c r="A419" t="inlineStr">
        <is>
          <t>A 11015-2022</t>
        </is>
      </c>
      <c r="B419" s="1" t="n">
        <v>44628.52340277778</v>
      </c>
      <c r="C419" s="1" t="n">
        <v>46074</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40752-2024</t>
        </is>
      </c>
      <c r="B420" s="1" t="n">
        <v>45558.45638888889</v>
      </c>
      <c r="C420" s="1" t="n">
        <v>46074</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15882-2023</t>
        </is>
      </c>
      <c r="B421" s="1" t="n">
        <v>45022</v>
      </c>
      <c r="C421" s="1" t="n">
        <v>46074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51663-2025</t>
        </is>
      </c>
      <c r="B422" s="1" t="n">
        <v>45951</v>
      </c>
      <c r="C422" s="1" t="n">
        <v>46074</v>
      </c>
      <c r="D422" t="inlineStr">
        <is>
          <t>DALARNAS LÄN</t>
        </is>
      </c>
      <c r="E422" t="inlineStr">
        <is>
          <t>LEKSAND</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5583-2024</t>
        </is>
      </c>
      <c r="B423" s="1" t="n">
        <v>45334</v>
      </c>
      <c r="C423" s="1" t="n">
        <v>46074</v>
      </c>
      <c r="D423" t="inlineStr">
        <is>
          <t>DALARNAS LÄN</t>
        </is>
      </c>
      <c r="E423" t="inlineStr">
        <is>
          <t>LEKSAND</t>
        </is>
      </c>
      <c r="F423" t="inlineStr">
        <is>
          <t>Kyrkan</t>
        </is>
      </c>
      <c r="G423" t="n">
        <v>0.4</v>
      </c>
      <c r="H423" t="n">
        <v>0</v>
      </c>
      <c r="I423" t="n">
        <v>0</v>
      </c>
      <c r="J423" t="n">
        <v>0</v>
      </c>
      <c r="K423" t="n">
        <v>0</v>
      </c>
      <c r="L423" t="n">
        <v>0</v>
      </c>
      <c r="M423" t="n">
        <v>0</v>
      </c>
      <c r="N423" t="n">
        <v>0</v>
      </c>
      <c r="O423" t="n">
        <v>0</v>
      </c>
      <c r="P423" t="n">
        <v>0</v>
      </c>
      <c r="Q423" t="n">
        <v>0</v>
      </c>
      <c r="R423" s="2" t="inlineStr"/>
    </row>
    <row r="424" ht="15" customHeight="1">
      <c r="A424" t="inlineStr">
        <is>
          <t>A 56950-2024</t>
        </is>
      </c>
      <c r="B424" s="1" t="n">
        <v>45625</v>
      </c>
      <c r="C424" s="1" t="n">
        <v>46074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15120-2023</t>
        </is>
      </c>
      <c r="B425" s="1" t="n">
        <v>45016.46484953703</v>
      </c>
      <c r="C425" s="1" t="n">
        <v>46074</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43693-2022</t>
        </is>
      </c>
      <c r="B426" s="1" t="n">
        <v>44837.6369212963</v>
      </c>
      <c r="C426" s="1" t="n">
        <v>46074</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51926-2025</t>
        </is>
      </c>
      <c r="B427" s="1" t="n">
        <v>45952.49537037037</v>
      </c>
      <c r="C427" s="1" t="n">
        <v>46074</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5453-2025</t>
        </is>
      </c>
      <c r="B428" s="1" t="n">
        <v>45692.95231481481</v>
      </c>
      <c r="C428" s="1" t="n">
        <v>46074</v>
      </c>
      <c r="D428" t="inlineStr">
        <is>
          <t>DALARNAS LÄN</t>
        </is>
      </c>
      <c r="E428" t="inlineStr">
        <is>
          <t>LEKSAND</t>
        </is>
      </c>
      <c r="G428" t="n">
        <v>2.2</v>
      </c>
      <c r="H428" t="n">
        <v>0</v>
      </c>
      <c r="I428" t="n">
        <v>0</v>
      </c>
      <c r="J428" t="n">
        <v>0</v>
      </c>
      <c r="K428" t="n">
        <v>0</v>
      </c>
      <c r="L428" t="n">
        <v>0</v>
      </c>
      <c r="M428" t="n">
        <v>0</v>
      </c>
      <c r="N428" t="n">
        <v>0</v>
      </c>
      <c r="O428" t="n">
        <v>0</v>
      </c>
      <c r="P428" t="n">
        <v>0</v>
      </c>
      <c r="Q428" t="n">
        <v>0</v>
      </c>
      <c r="R428" s="2" t="inlineStr"/>
    </row>
    <row r="429" ht="15" customHeight="1">
      <c r="A429" t="inlineStr">
        <is>
          <t>A 3352-2024</t>
        </is>
      </c>
      <c r="B429" s="1" t="n">
        <v>45317</v>
      </c>
      <c r="C429" s="1" t="n">
        <v>46074</v>
      </c>
      <c r="D429" t="inlineStr">
        <is>
          <t>DALARNAS LÄN</t>
        </is>
      </c>
      <c r="E429" t="inlineStr">
        <is>
          <t>LEKSAND</t>
        </is>
      </c>
      <c r="G429" t="n">
        <v>1.2</v>
      </c>
      <c r="H429" t="n">
        <v>0</v>
      </c>
      <c r="I429" t="n">
        <v>0</v>
      </c>
      <c r="J429" t="n">
        <v>0</v>
      </c>
      <c r="K429" t="n">
        <v>0</v>
      </c>
      <c r="L429" t="n">
        <v>0</v>
      </c>
      <c r="M429" t="n">
        <v>0</v>
      </c>
      <c r="N429" t="n">
        <v>0</v>
      </c>
      <c r="O429" t="n">
        <v>0</v>
      </c>
      <c r="P429" t="n">
        <v>0</v>
      </c>
      <c r="Q429" t="n">
        <v>0</v>
      </c>
      <c r="R429" s="2" t="inlineStr"/>
    </row>
    <row r="430" ht="15" customHeight="1">
      <c r="A430" t="inlineStr">
        <is>
          <t>A 52755-2024</t>
        </is>
      </c>
      <c r="B430" s="1" t="n">
        <v>45610.50217592593</v>
      </c>
      <c r="C430" s="1" t="n">
        <v>46074</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52671-2025</t>
        </is>
      </c>
      <c r="B431" s="1" t="n">
        <v>45955.98113425926</v>
      </c>
      <c r="C431" s="1" t="n">
        <v>46074</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13165-2023</t>
        </is>
      </c>
      <c r="B432" s="1" t="n">
        <v>45002.57731481481</v>
      </c>
      <c r="C432" s="1" t="n">
        <v>46074</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39620-2024</t>
        </is>
      </c>
      <c r="B433" s="1" t="n">
        <v>45552.43163194445</v>
      </c>
      <c r="C433" s="1" t="n">
        <v>46074</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60338-2025</t>
        </is>
      </c>
      <c r="B434" s="1" t="n">
        <v>45993</v>
      </c>
      <c r="C434" s="1" t="n">
        <v>46074</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30204-2024</t>
        </is>
      </c>
      <c r="B435" s="1" t="n">
        <v>45490.35402777778</v>
      </c>
      <c r="C435" s="1" t="n">
        <v>46074</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6050-2023</t>
        </is>
      </c>
      <c r="B436" s="1" t="n">
        <v>44959</v>
      </c>
      <c r="C436" s="1" t="n">
        <v>46074</v>
      </c>
      <c r="D436" t="inlineStr">
        <is>
          <t>DALARNAS LÄN</t>
        </is>
      </c>
      <c r="E436" t="inlineStr">
        <is>
          <t>LEKSAND</t>
        </is>
      </c>
      <c r="G436" t="n">
        <v>6.2</v>
      </c>
      <c r="H436" t="n">
        <v>0</v>
      </c>
      <c r="I436" t="n">
        <v>0</v>
      </c>
      <c r="J436" t="n">
        <v>0</v>
      </c>
      <c r="K436" t="n">
        <v>0</v>
      </c>
      <c r="L436" t="n">
        <v>0</v>
      </c>
      <c r="M436" t="n">
        <v>0</v>
      </c>
      <c r="N436" t="n">
        <v>0</v>
      </c>
      <c r="O436" t="n">
        <v>0</v>
      </c>
      <c r="P436" t="n">
        <v>0</v>
      </c>
      <c r="Q436" t="n">
        <v>0</v>
      </c>
      <c r="R436" s="2" t="inlineStr"/>
    </row>
    <row r="437" ht="15" customHeight="1">
      <c r="A437" t="inlineStr">
        <is>
          <t>A 17730-2024</t>
        </is>
      </c>
      <c r="B437" s="1" t="n">
        <v>45418</v>
      </c>
      <c r="C437" s="1" t="n">
        <v>46074</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46074</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53438-2025</t>
        </is>
      </c>
      <c r="B439" s="1" t="n">
        <v>45959.63711805556</v>
      </c>
      <c r="C439" s="1" t="n">
        <v>46074</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20946-2023</t>
        </is>
      </c>
      <c r="B440" s="1" t="n">
        <v>45061</v>
      </c>
      <c r="C440" s="1" t="n">
        <v>46074</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53041-2025</t>
        </is>
      </c>
      <c r="B441" s="1" t="n">
        <v>45958.35487268519</v>
      </c>
      <c r="C441" s="1" t="n">
        <v>46074</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34039-2024</t>
        </is>
      </c>
      <c r="B442" s="1" t="n">
        <v>45523.5974537037</v>
      </c>
      <c r="C442" s="1" t="n">
        <v>46074</v>
      </c>
      <c r="D442" t="inlineStr">
        <is>
          <t>DALARNAS LÄN</t>
        </is>
      </c>
      <c r="E442" t="inlineStr">
        <is>
          <t>LEKSAND</t>
        </is>
      </c>
      <c r="G442" t="n">
        <v>7.1</v>
      </c>
      <c r="H442" t="n">
        <v>0</v>
      </c>
      <c r="I442" t="n">
        <v>0</v>
      </c>
      <c r="J442" t="n">
        <v>0</v>
      </c>
      <c r="K442" t="n">
        <v>0</v>
      </c>
      <c r="L442" t="n">
        <v>0</v>
      </c>
      <c r="M442" t="n">
        <v>0</v>
      </c>
      <c r="N442" t="n">
        <v>0</v>
      </c>
      <c r="O442" t="n">
        <v>0</v>
      </c>
      <c r="P442" t="n">
        <v>0</v>
      </c>
      <c r="Q442" t="n">
        <v>0</v>
      </c>
      <c r="R442" s="2" t="inlineStr"/>
    </row>
    <row r="443" ht="15" customHeight="1">
      <c r="A443" t="inlineStr">
        <is>
          <t>A 7759-2025</t>
        </is>
      </c>
      <c r="B443" s="1" t="n">
        <v>45706.53827546296</v>
      </c>
      <c r="C443" s="1" t="n">
        <v>46074</v>
      </c>
      <c r="D443" t="inlineStr">
        <is>
          <t>DALARNAS LÄN</t>
        </is>
      </c>
      <c r="E443" t="inlineStr">
        <is>
          <t>LEKSAND</t>
        </is>
      </c>
      <c r="G443" t="n">
        <v>3.3</v>
      </c>
      <c r="H443" t="n">
        <v>0</v>
      </c>
      <c r="I443" t="n">
        <v>0</v>
      </c>
      <c r="J443" t="n">
        <v>0</v>
      </c>
      <c r="K443" t="n">
        <v>0</v>
      </c>
      <c r="L443" t="n">
        <v>0</v>
      </c>
      <c r="M443" t="n">
        <v>0</v>
      </c>
      <c r="N443" t="n">
        <v>0</v>
      </c>
      <c r="O443" t="n">
        <v>0</v>
      </c>
      <c r="P443" t="n">
        <v>0</v>
      </c>
      <c r="Q443" t="n">
        <v>0</v>
      </c>
      <c r="R443" s="2" t="inlineStr"/>
    </row>
    <row r="444" ht="15" customHeight="1">
      <c r="A444" t="inlineStr">
        <is>
          <t>A 12356-2023</t>
        </is>
      </c>
      <c r="B444" s="1" t="n">
        <v>44998</v>
      </c>
      <c r="C444" s="1" t="n">
        <v>46074</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12363-2023</t>
        </is>
      </c>
      <c r="B445" s="1" t="n">
        <v>44998</v>
      </c>
      <c r="C445" s="1" t="n">
        <v>46074</v>
      </c>
      <c r="D445" t="inlineStr">
        <is>
          <t>DALARNAS LÄN</t>
        </is>
      </c>
      <c r="E445" t="inlineStr">
        <is>
          <t>LEKSAND</t>
        </is>
      </c>
      <c r="G445" t="n">
        <v>10</v>
      </c>
      <c r="H445" t="n">
        <v>0</v>
      </c>
      <c r="I445" t="n">
        <v>0</v>
      </c>
      <c r="J445" t="n">
        <v>0</v>
      </c>
      <c r="K445" t="n">
        <v>0</v>
      </c>
      <c r="L445" t="n">
        <v>0</v>
      </c>
      <c r="M445" t="n">
        <v>0</v>
      </c>
      <c r="N445" t="n">
        <v>0</v>
      </c>
      <c r="O445" t="n">
        <v>0</v>
      </c>
      <c r="P445" t="n">
        <v>0</v>
      </c>
      <c r="Q445" t="n">
        <v>0</v>
      </c>
      <c r="R445" s="2" t="inlineStr"/>
    </row>
    <row r="446" ht="15" customHeight="1">
      <c r="A446" t="inlineStr">
        <is>
          <t>A 53190-2025</t>
        </is>
      </c>
      <c r="B446" s="1" t="n">
        <v>45958.56283564815</v>
      </c>
      <c r="C446" s="1" t="n">
        <v>46074</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54015-2025</t>
        </is>
      </c>
      <c r="B447" s="1" t="n">
        <v>45961.64158564815</v>
      </c>
      <c r="C447" s="1" t="n">
        <v>46074</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55015-2024</t>
        </is>
      </c>
      <c r="B448" s="1" t="n">
        <v>45621.35554398148</v>
      </c>
      <c r="C448" s="1" t="n">
        <v>46074</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28674-2024</t>
        </is>
      </c>
      <c r="B449" s="1" t="n">
        <v>45478.47863425926</v>
      </c>
      <c r="C449" s="1" t="n">
        <v>46074</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53838-2025</t>
        </is>
      </c>
      <c r="B450" s="1" t="n">
        <v>45961.34895833334</v>
      </c>
      <c r="C450" s="1" t="n">
        <v>46074</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16231-2021</t>
        </is>
      </c>
      <c r="B451" s="1" t="n">
        <v>44292</v>
      </c>
      <c r="C451" s="1" t="n">
        <v>46074</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53619-2025</t>
        </is>
      </c>
      <c r="B452" s="1" t="n">
        <v>45960</v>
      </c>
      <c r="C452" s="1" t="n">
        <v>46074</v>
      </c>
      <c r="D452" t="inlineStr">
        <is>
          <t>DALARNAS LÄN</t>
        </is>
      </c>
      <c r="E452" t="inlineStr">
        <is>
          <t>LEKSAND</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56283-2024</t>
        </is>
      </c>
      <c r="B453" s="1" t="n">
        <v>45624.67864583333</v>
      </c>
      <c r="C453" s="1" t="n">
        <v>46074</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53804-2025</t>
        </is>
      </c>
      <c r="B454" s="1" t="n">
        <v>45960.83247685185</v>
      </c>
      <c r="C454" s="1" t="n">
        <v>46074</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53836-2025</t>
        </is>
      </c>
      <c r="B455" s="1" t="n">
        <v>45961.3475462963</v>
      </c>
      <c r="C455" s="1" t="n">
        <v>46074</v>
      </c>
      <c r="D455" t="inlineStr">
        <is>
          <t>DALARNAS LÄN</t>
        </is>
      </c>
      <c r="E455" t="inlineStr">
        <is>
          <t>LEKSAND</t>
        </is>
      </c>
      <c r="G455" t="n">
        <v>3.5</v>
      </c>
      <c r="H455" t="n">
        <v>0</v>
      </c>
      <c r="I455" t="n">
        <v>0</v>
      </c>
      <c r="J455" t="n">
        <v>0</v>
      </c>
      <c r="K455" t="n">
        <v>0</v>
      </c>
      <c r="L455" t="n">
        <v>0</v>
      </c>
      <c r="M455" t="n">
        <v>0</v>
      </c>
      <c r="N455" t="n">
        <v>0</v>
      </c>
      <c r="O455" t="n">
        <v>0</v>
      </c>
      <c r="P455" t="n">
        <v>0</v>
      </c>
      <c r="Q455" t="n">
        <v>0</v>
      </c>
      <c r="R455" s="2" t="inlineStr"/>
    </row>
    <row r="456" ht="15" customHeight="1">
      <c r="A456" t="inlineStr">
        <is>
          <t>A 53718-2025</t>
        </is>
      </c>
      <c r="B456" s="1" t="n">
        <v>45960.61840277778</v>
      </c>
      <c r="C456" s="1" t="n">
        <v>46074</v>
      </c>
      <c r="D456" t="inlineStr">
        <is>
          <t>DALARNAS LÄN</t>
        </is>
      </c>
      <c r="E456" t="inlineStr">
        <is>
          <t>LEKSAND</t>
        </is>
      </c>
      <c r="G456" t="n">
        <v>7.5</v>
      </c>
      <c r="H456" t="n">
        <v>0</v>
      </c>
      <c r="I456" t="n">
        <v>0</v>
      </c>
      <c r="J456" t="n">
        <v>0</v>
      </c>
      <c r="K456" t="n">
        <v>0</v>
      </c>
      <c r="L456" t="n">
        <v>0</v>
      </c>
      <c r="M456" t="n">
        <v>0</v>
      </c>
      <c r="N456" t="n">
        <v>0</v>
      </c>
      <c r="O456" t="n">
        <v>0</v>
      </c>
      <c r="P456" t="n">
        <v>0</v>
      </c>
      <c r="Q456" t="n">
        <v>0</v>
      </c>
      <c r="R456" s="2" t="inlineStr"/>
    </row>
    <row r="457" ht="15" customHeight="1">
      <c r="A457" t="inlineStr">
        <is>
          <t>A 54440-2025</t>
        </is>
      </c>
      <c r="B457" s="1" t="n">
        <v>45965.50385416667</v>
      </c>
      <c r="C457" s="1" t="n">
        <v>46074</v>
      </c>
      <c r="D457" t="inlineStr">
        <is>
          <t>DALARNAS LÄN</t>
        </is>
      </c>
      <c r="E457" t="inlineStr">
        <is>
          <t>LEKSAND</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54120-2025</t>
        </is>
      </c>
      <c r="B458" s="1" t="n">
        <v>45964.45040509259</v>
      </c>
      <c r="C458" s="1" t="n">
        <v>46074</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54125-2025</t>
        </is>
      </c>
      <c r="B459" s="1" t="n">
        <v>45964.45671296296</v>
      </c>
      <c r="C459" s="1" t="n">
        <v>46074</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46074</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54295-2025</t>
        </is>
      </c>
      <c r="B461" s="1" t="n">
        <v>45964.87122685185</v>
      </c>
      <c r="C461" s="1" t="n">
        <v>46074</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54494-2025</t>
        </is>
      </c>
      <c r="B462" s="1" t="n">
        <v>45965.59965277778</v>
      </c>
      <c r="C462" s="1" t="n">
        <v>46074</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11092-2023</t>
        </is>
      </c>
      <c r="B463" s="1" t="n">
        <v>44992</v>
      </c>
      <c r="C463" s="1" t="n">
        <v>46074</v>
      </c>
      <c r="D463" t="inlineStr">
        <is>
          <t>DALARNAS LÄN</t>
        </is>
      </c>
      <c r="E463" t="inlineStr">
        <is>
          <t>LEKSAND</t>
        </is>
      </c>
      <c r="G463" t="n">
        <v>0.5</v>
      </c>
      <c r="H463" t="n">
        <v>0</v>
      </c>
      <c r="I463" t="n">
        <v>0</v>
      </c>
      <c r="J463" t="n">
        <v>0</v>
      </c>
      <c r="K463" t="n">
        <v>0</v>
      </c>
      <c r="L463" t="n">
        <v>0</v>
      </c>
      <c r="M463" t="n">
        <v>0</v>
      </c>
      <c r="N463" t="n">
        <v>0</v>
      </c>
      <c r="O463" t="n">
        <v>0</v>
      </c>
      <c r="P463" t="n">
        <v>0</v>
      </c>
      <c r="Q463" t="n">
        <v>0</v>
      </c>
      <c r="R463" s="2" t="inlineStr"/>
    </row>
    <row r="464" ht="15" customHeight="1">
      <c r="A464" t="inlineStr">
        <is>
          <t>A 28578-2023</t>
        </is>
      </c>
      <c r="B464" s="1" t="n">
        <v>45103</v>
      </c>
      <c r="C464" s="1" t="n">
        <v>46074</v>
      </c>
      <c r="D464" t="inlineStr">
        <is>
          <t>DALARNAS LÄN</t>
        </is>
      </c>
      <c r="E464" t="inlineStr">
        <is>
          <t>LEKSAND</t>
        </is>
      </c>
      <c r="G464" t="n">
        <v>4.4</v>
      </c>
      <c r="H464" t="n">
        <v>0</v>
      </c>
      <c r="I464" t="n">
        <v>0</v>
      </c>
      <c r="J464" t="n">
        <v>0</v>
      </c>
      <c r="K464" t="n">
        <v>0</v>
      </c>
      <c r="L464" t="n">
        <v>0</v>
      </c>
      <c r="M464" t="n">
        <v>0</v>
      </c>
      <c r="N464" t="n">
        <v>0</v>
      </c>
      <c r="O464" t="n">
        <v>0</v>
      </c>
      <c r="P464" t="n">
        <v>0</v>
      </c>
      <c r="Q464" t="n">
        <v>0</v>
      </c>
      <c r="R464" s="2" t="inlineStr"/>
    </row>
    <row r="465" ht="15" customHeight="1">
      <c r="A465" t="inlineStr">
        <is>
          <t>A 54752-2025</t>
        </is>
      </c>
      <c r="B465" s="1" t="n">
        <v>45966.5916087963</v>
      </c>
      <c r="C465" s="1" t="n">
        <v>46074</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54767-2025</t>
        </is>
      </c>
      <c r="B466" s="1" t="n">
        <v>45966.60414351852</v>
      </c>
      <c r="C466" s="1" t="n">
        <v>46074</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54785-2025</t>
        </is>
      </c>
      <c r="B467" s="1" t="n">
        <v>45966.62619212963</v>
      </c>
      <c r="C467" s="1" t="n">
        <v>46074</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54805-2025</t>
        </is>
      </c>
      <c r="B468" s="1" t="n">
        <v>45966.64165509259</v>
      </c>
      <c r="C468" s="1" t="n">
        <v>46074</v>
      </c>
      <c r="D468" t="inlineStr">
        <is>
          <t>DALARNAS LÄN</t>
        </is>
      </c>
      <c r="E468" t="inlineStr">
        <is>
          <t>LEKSAND</t>
        </is>
      </c>
      <c r="G468" t="n">
        <v>1.8</v>
      </c>
      <c r="H468" t="n">
        <v>0</v>
      </c>
      <c r="I468" t="n">
        <v>0</v>
      </c>
      <c r="J468" t="n">
        <v>0</v>
      </c>
      <c r="K468" t="n">
        <v>0</v>
      </c>
      <c r="L468" t="n">
        <v>0</v>
      </c>
      <c r="M468" t="n">
        <v>0</v>
      </c>
      <c r="N468" t="n">
        <v>0</v>
      </c>
      <c r="O468" t="n">
        <v>0</v>
      </c>
      <c r="P468" t="n">
        <v>0</v>
      </c>
      <c r="Q468" t="n">
        <v>0</v>
      </c>
      <c r="R468" s="2" t="inlineStr"/>
    </row>
    <row r="469" ht="15" customHeight="1">
      <c r="A469" t="inlineStr">
        <is>
          <t>A 43158-2025</t>
        </is>
      </c>
      <c r="B469" s="1" t="n">
        <v>45910.35496527778</v>
      </c>
      <c r="C469" s="1" t="n">
        <v>46074</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19371-2024</t>
        </is>
      </c>
      <c r="B470" s="1" t="n">
        <v>45429.34969907408</v>
      </c>
      <c r="C470" s="1" t="n">
        <v>46074</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54911-2024</t>
        </is>
      </c>
      <c r="B471" s="1" t="n">
        <v>45618.68929398148</v>
      </c>
      <c r="C471" s="1" t="n">
        <v>46074</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54789-2025</t>
        </is>
      </c>
      <c r="B472" s="1" t="n">
        <v>45966</v>
      </c>
      <c r="C472" s="1" t="n">
        <v>46074</v>
      </c>
      <c r="D472" t="inlineStr">
        <is>
          <t>DALARNAS LÄN</t>
        </is>
      </c>
      <c r="E472" t="inlineStr">
        <is>
          <t>LEKSAND</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40193-2024</t>
        </is>
      </c>
      <c r="B473" s="1" t="n">
        <v>45554.5734375</v>
      </c>
      <c r="C473" s="1" t="n">
        <v>46074</v>
      </c>
      <c r="D473" t="inlineStr">
        <is>
          <t>DALARNAS LÄN</t>
        </is>
      </c>
      <c r="E473" t="inlineStr">
        <is>
          <t>LEKSAND</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39558-2023</t>
        </is>
      </c>
      <c r="B474" s="1" t="n">
        <v>45167.38664351852</v>
      </c>
      <c r="C474" s="1" t="n">
        <v>46074</v>
      </c>
      <c r="D474" t="inlineStr">
        <is>
          <t>DALARNAS LÄN</t>
        </is>
      </c>
      <c r="E474" t="inlineStr">
        <is>
          <t>LEKSAND</t>
        </is>
      </c>
      <c r="G474" t="n">
        <v>39.9</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46074</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54815-2025</t>
        </is>
      </c>
      <c r="B476" s="1" t="n">
        <v>45966.65237268519</v>
      </c>
      <c r="C476" s="1" t="n">
        <v>46074</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9138-2023</t>
        </is>
      </c>
      <c r="B477" s="1" t="n">
        <v>44974</v>
      </c>
      <c r="C477" s="1" t="n">
        <v>46074</v>
      </c>
      <c r="D477" t="inlineStr">
        <is>
          <t>DALARNAS LÄN</t>
        </is>
      </c>
      <c r="E477" t="inlineStr">
        <is>
          <t>LEKSAND</t>
        </is>
      </c>
      <c r="G477" t="n">
        <v>4.6</v>
      </c>
      <c r="H477" t="n">
        <v>0</v>
      </c>
      <c r="I477" t="n">
        <v>0</v>
      </c>
      <c r="J477" t="n">
        <v>0</v>
      </c>
      <c r="K477" t="n">
        <v>0</v>
      </c>
      <c r="L477" t="n">
        <v>0</v>
      </c>
      <c r="M477" t="n">
        <v>0</v>
      </c>
      <c r="N477" t="n">
        <v>0</v>
      </c>
      <c r="O477" t="n">
        <v>0</v>
      </c>
      <c r="P477" t="n">
        <v>0</v>
      </c>
      <c r="Q477" t="n">
        <v>0</v>
      </c>
      <c r="R477" s="2" t="inlineStr"/>
    </row>
    <row r="478" ht="15" customHeight="1">
      <c r="A478" t="inlineStr">
        <is>
          <t>A 9141-2023</t>
        </is>
      </c>
      <c r="B478" s="1" t="n">
        <v>44974</v>
      </c>
      <c r="C478" s="1" t="n">
        <v>46074</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2630-2025</t>
        </is>
      </c>
      <c r="B479" s="1" t="n">
        <v>45675.85865740741</v>
      </c>
      <c r="C479" s="1" t="n">
        <v>46074</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55493-2025</t>
        </is>
      </c>
      <c r="B480" s="1" t="n">
        <v>45971.57913194445</v>
      </c>
      <c r="C480" s="1" t="n">
        <v>46074</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15986-2025</t>
        </is>
      </c>
      <c r="B481" s="1" t="n">
        <v>45749.57331018519</v>
      </c>
      <c r="C481" s="1" t="n">
        <v>46074</v>
      </c>
      <c r="D481" t="inlineStr">
        <is>
          <t>DALARNAS LÄN</t>
        </is>
      </c>
      <c r="E481" t="inlineStr">
        <is>
          <t>LEKSAND</t>
        </is>
      </c>
      <c r="G481" t="n">
        <v>2.7</v>
      </c>
      <c r="H481" t="n">
        <v>0</v>
      </c>
      <c r="I481" t="n">
        <v>0</v>
      </c>
      <c r="J481" t="n">
        <v>0</v>
      </c>
      <c r="K481" t="n">
        <v>0</v>
      </c>
      <c r="L481" t="n">
        <v>0</v>
      </c>
      <c r="M481" t="n">
        <v>0</v>
      </c>
      <c r="N481" t="n">
        <v>0</v>
      </c>
      <c r="O481" t="n">
        <v>0</v>
      </c>
      <c r="P481" t="n">
        <v>0</v>
      </c>
      <c r="Q481" t="n">
        <v>0</v>
      </c>
      <c r="R481" s="2" t="inlineStr"/>
    </row>
    <row r="482" ht="15" customHeight="1">
      <c r="A482" t="inlineStr">
        <is>
          <t>A 11678-2025</t>
        </is>
      </c>
      <c r="B482" s="1" t="n">
        <v>45726</v>
      </c>
      <c r="C482" s="1" t="n">
        <v>46074</v>
      </c>
      <c r="D482" t="inlineStr">
        <is>
          <t>DALARNAS LÄN</t>
        </is>
      </c>
      <c r="E482" t="inlineStr">
        <is>
          <t>LEKSAND</t>
        </is>
      </c>
      <c r="G482" t="n">
        <v>9.4</v>
      </c>
      <c r="H482" t="n">
        <v>0</v>
      </c>
      <c r="I482" t="n">
        <v>0</v>
      </c>
      <c r="J482" t="n">
        <v>0</v>
      </c>
      <c r="K482" t="n">
        <v>0</v>
      </c>
      <c r="L482" t="n">
        <v>0</v>
      </c>
      <c r="M482" t="n">
        <v>0</v>
      </c>
      <c r="N482" t="n">
        <v>0</v>
      </c>
      <c r="O482" t="n">
        <v>0</v>
      </c>
      <c r="P482" t="n">
        <v>0</v>
      </c>
      <c r="Q482" t="n">
        <v>0</v>
      </c>
      <c r="R482" s="2" t="inlineStr"/>
    </row>
    <row r="483" ht="15" customHeight="1">
      <c r="A483" t="inlineStr">
        <is>
          <t>A 62161-2024</t>
        </is>
      </c>
      <c r="B483" s="1" t="n">
        <v>45656.86009259259</v>
      </c>
      <c r="C483" s="1" t="n">
        <v>46074</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1983-2025</t>
        </is>
      </c>
      <c r="B484" s="1" t="n">
        <v>45670</v>
      </c>
      <c r="C484" s="1" t="n">
        <v>46074</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59840-2024</t>
        </is>
      </c>
      <c r="B485" s="1" t="n">
        <v>45638</v>
      </c>
      <c r="C485" s="1" t="n">
        <v>46074</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55784-2025</t>
        </is>
      </c>
      <c r="B486" s="1" t="n">
        <v>45972.63765046297</v>
      </c>
      <c r="C486" s="1" t="n">
        <v>46074</v>
      </c>
      <c r="D486" t="inlineStr">
        <is>
          <t>DALARNAS LÄN</t>
        </is>
      </c>
      <c r="E486" t="inlineStr">
        <is>
          <t>LEKSAND</t>
        </is>
      </c>
      <c r="G486" t="n">
        <v>1.5</v>
      </c>
      <c r="H486" t="n">
        <v>0</v>
      </c>
      <c r="I486" t="n">
        <v>0</v>
      </c>
      <c r="J486" t="n">
        <v>0</v>
      </c>
      <c r="K486" t="n">
        <v>0</v>
      </c>
      <c r="L486" t="n">
        <v>0</v>
      </c>
      <c r="M486" t="n">
        <v>0</v>
      </c>
      <c r="N486" t="n">
        <v>0</v>
      </c>
      <c r="O486" t="n">
        <v>0</v>
      </c>
      <c r="P486" t="n">
        <v>0</v>
      </c>
      <c r="Q486" t="n">
        <v>0</v>
      </c>
      <c r="R486" s="2" t="inlineStr"/>
    </row>
    <row r="487" ht="15" customHeight="1">
      <c r="A487" t="inlineStr">
        <is>
          <t>A 33566-2023</t>
        </is>
      </c>
      <c r="B487" s="1" t="n">
        <v>45131.64390046296</v>
      </c>
      <c r="C487" s="1" t="n">
        <v>46074</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30611-2023</t>
        </is>
      </c>
      <c r="B488" s="1" t="n">
        <v>45112</v>
      </c>
      <c r="C488" s="1" t="n">
        <v>46074</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46074</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56514-2025</t>
        </is>
      </c>
      <c r="B490" s="1" t="n">
        <v>45975.45502314815</v>
      </c>
      <c r="C490" s="1" t="n">
        <v>46074</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56623-2025</t>
        </is>
      </c>
      <c r="B491" s="1" t="n">
        <v>45975.60164351852</v>
      </c>
      <c r="C491" s="1" t="n">
        <v>46074</v>
      </c>
      <c r="D491" t="inlineStr">
        <is>
          <t>DALARNAS LÄN</t>
        </is>
      </c>
      <c r="E491" t="inlineStr">
        <is>
          <t>LEKSAND</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56161-2025</t>
        </is>
      </c>
      <c r="B492" s="1" t="n">
        <v>45974.37554398148</v>
      </c>
      <c r="C492" s="1" t="n">
        <v>46074</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56331-2025</t>
        </is>
      </c>
      <c r="B493" s="1" t="n">
        <v>45974.64157407408</v>
      </c>
      <c r="C493" s="1" t="n">
        <v>46074</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12621-2025</t>
        </is>
      </c>
      <c r="B494" s="1" t="n">
        <v>45733.3575</v>
      </c>
      <c r="C494" s="1" t="n">
        <v>46074</v>
      </c>
      <c r="D494" t="inlineStr">
        <is>
          <t>DALARNAS LÄN</t>
        </is>
      </c>
      <c r="E494" t="inlineStr">
        <is>
          <t>LEKSAND</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57223-2025</t>
        </is>
      </c>
      <c r="B495" s="1" t="n">
        <v>45979.61486111111</v>
      </c>
      <c r="C495" s="1" t="n">
        <v>46074</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57267-2025</t>
        </is>
      </c>
      <c r="B496" s="1" t="n">
        <v>45979.67476851852</v>
      </c>
      <c r="C496" s="1" t="n">
        <v>46074</v>
      </c>
      <c r="D496" t="inlineStr">
        <is>
          <t>DALARNAS LÄN</t>
        </is>
      </c>
      <c r="E496" t="inlineStr">
        <is>
          <t>LEKSAND</t>
        </is>
      </c>
      <c r="G496" t="n">
        <v>1.9</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46074</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56960-2025</t>
        </is>
      </c>
      <c r="B498" s="1" t="n">
        <v>45978.65903935185</v>
      </c>
      <c r="C498" s="1" t="n">
        <v>46074</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10299-2024</t>
        </is>
      </c>
      <c r="B499" s="1" t="n">
        <v>45365.50425925926</v>
      </c>
      <c r="C499" s="1" t="n">
        <v>46074</v>
      </c>
      <c r="D499" t="inlineStr">
        <is>
          <t>DALARNAS LÄN</t>
        </is>
      </c>
      <c r="E499" t="inlineStr">
        <is>
          <t>LEKSAND</t>
        </is>
      </c>
      <c r="G499" t="n">
        <v>3.6</v>
      </c>
      <c r="H499" t="n">
        <v>0</v>
      </c>
      <c r="I499" t="n">
        <v>0</v>
      </c>
      <c r="J499" t="n">
        <v>0</v>
      </c>
      <c r="K499" t="n">
        <v>0</v>
      </c>
      <c r="L499" t="n">
        <v>0</v>
      </c>
      <c r="M499" t="n">
        <v>0</v>
      </c>
      <c r="N499" t="n">
        <v>0</v>
      </c>
      <c r="O499" t="n">
        <v>0</v>
      </c>
      <c r="P499" t="n">
        <v>0</v>
      </c>
      <c r="Q499" t="n">
        <v>0</v>
      </c>
      <c r="R499" s="2" t="inlineStr"/>
    </row>
    <row r="500" ht="15" customHeight="1">
      <c r="A500" t="inlineStr">
        <is>
          <t>A 57536-2025</t>
        </is>
      </c>
      <c r="B500" s="1" t="n">
        <v>45980.64287037037</v>
      </c>
      <c r="C500" s="1" t="n">
        <v>46074</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45027.63717592593</v>
      </c>
      <c r="C501" s="1" t="n">
        <v>46074</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57869-2025</t>
        </is>
      </c>
      <c r="B502" s="1" t="n">
        <v>45981.65211805556</v>
      </c>
      <c r="C502" s="1" t="n">
        <v>46074</v>
      </c>
      <c r="D502" t="inlineStr">
        <is>
          <t>DALARNAS LÄN</t>
        </is>
      </c>
      <c r="E502" t="inlineStr">
        <is>
          <t>LEKSAND</t>
        </is>
      </c>
      <c r="G502" t="n">
        <v>0.6</v>
      </c>
      <c r="H502" t="n">
        <v>0</v>
      </c>
      <c r="I502" t="n">
        <v>0</v>
      </c>
      <c r="J502" t="n">
        <v>0</v>
      </c>
      <c r="K502" t="n">
        <v>0</v>
      </c>
      <c r="L502" t="n">
        <v>0</v>
      </c>
      <c r="M502" t="n">
        <v>0</v>
      </c>
      <c r="N502" t="n">
        <v>0</v>
      </c>
      <c r="O502" t="n">
        <v>0</v>
      </c>
      <c r="P502" t="n">
        <v>0</v>
      </c>
      <c r="Q502" t="n">
        <v>0</v>
      </c>
      <c r="R502" s="2" t="inlineStr"/>
    </row>
    <row r="503" ht="15" customHeight="1">
      <c r="A503" t="inlineStr">
        <is>
          <t>A 59859-2023</t>
        </is>
      </c>
      <c r="B503" s="1" t="n">
        <v>45257</v>
      </c>
      <c r="C503" s="1" t="n">
        <v>46074</v>
      </c>
      <c r="D503" t="inlineStr">
        <is>
          <t>DALARNAS LÄN</t>
        </is>
      </c>
      <c r="E503" t="inlineStr">
        <is>
          <t>LEKSAND</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57688-2025</t>
        </is>
      </c>
      <c r="B504" s="1" t="n">
        <v>45981.44429398148</v>
      </c>
      <c r="C504" s="1" t="n">
        <v>46074</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39136-2023</t>
        </is>
      </c>
      <c r="B505" s="1" t="n">
        <v>45165</v>
      </c>
      <c r="C505" s="1" t="n">
        <v>46074</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54677-2025</t>
        </is>
      </c>
      <c r="B506" s="1" t="n">
        <v>45966</v>
      </c>
      <c r="C506" s="1" t="n">
        <v>46074</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58376-2025</t>
        </is>
      </c>
      <c r="B507" s="1" t="n">
        <v>45985.53180555555</v>
      </c>
      <c r="C507" s="1" t="n">
        <v>46074</v>
      </c>
      <c r="D507" t="inlineStr">
        <is>
          <t>DALARNAS LÄN</t>
        </is>
      </c>
      <c r="E507" t="inlineStr">
        <is>
          <t>LEKSAND</t>
        </is>
      </c>
      <c r="G507" t="n">
        <v>5.7</v>
      </c>
      <c r="H507" t="n">
        <v>0</v>
      </c>
      <c r="I507" t="n">
        <v>0</v>
      </c>
      <c r="J507" t="n">
        <v>0</v>
      </c>
      <c r="K507" t="n">
        <v>0</v>
      </c>
      <c r="L507" t="n">
        <v>0</v>
      </c>
      <c r="M507" t="n">
        <v>0</v>
      </c>
      <c r="N507" t="n">
        <v>0</v>
      </c>
      <c r="O507" t="n">
        <v>0</v>
      </c>
      <c r="P507" t="n">
        <v>0</v>
      </c>
      <c r="Q507" t="n">
        <v>0</v>
      </c>
      <c r="R507" s="2" t="inlineStr"/>
    </row>
    <row r="508" ht="15" customHeight="1">
      <c r="A508" t="inlineStr">
        <is>
          <t>A 53193-2024</t>
        </is>
      </c>
      <c r="B508" s="1" t="n">
        <v>45610</v>
      </c>
      <c r="C508" s="1" t="n">
        <v>46074</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58519-2025</t>
        </is>
      </c>
      <c r="B509" s="1" t="n">
        <v>45985.70894675926</v>
      </c>
      <c r="C509" s="1" t="n">
        <v>46074</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46074</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53122-2023</t>
        </is>
      </c>
      <c r="B511" s="1" t="n">
        <v>45228</v>
      </c>
      <c r="C511" s="1" t="n">
        <v>46074</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58449-2025</t>
        </is>
      </c>
      <c r="B512" s="1" t="n">
        <v>45985.62520833333</v>
      </c>
      <c r="C512" s="1" t="n">
        <v>46074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14615-2024</t>
        </is>
      </c>
      <c r="B513" s="1" t="n">
        <v>45397.26047453703</v>
      </c>
      <c r="C513" s="1" t="n">
        <v>46074</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23663-2024</t>
        </is>
      </c>
      <c r="B514" s="1" t="n">
        <v>45454.57049768518</v>
      </c>
      <c r="C514" s="1" t="n">
        <v>46074</v>
      </c>
      <c r="D514" t="inlineStr">
        <is>
          <t>DALARNAS LÄN</t>
        </is>
      </c>
      <c r="E514" t="inlineStr">
        <is>
          <t>LEKSAND</t>
        </is>
      </c>
      <c r="G514" t="n">
        <v>2.5</v>
      </c>
      <c r="H514" t="n">
        <v>0</v>
      </c>
      <c r="I514" t="n">
        <v>0</v>
      </c>
      <c r="J514" t="n">
        <v>0</v>
      </c>
      <c r="K514" t="n">
        <v>0</v>
      </c>
      <c r="L514" t="n">
        <v>0</v>
      </c>
      <c r="M514" t="n">
        <v>0</v>
      </c>
      <c r="N514" t="n">
        <v>0</v>
      </c>
      <c r="O514" t="n">
        <v>0</v>
      </c>
      <c r="P514" t="n">
        <v>0</v>
      </c>
      <c r="Q514" t="n">
        <v>0</v>
      </c>
      <c r="R514" s="2" t="inlineStr"/>
    </row>
    <row r="515" ht="15" customHeight="1">
      <c r="A515" t="inlineStr">
        <is>
          <t>A 57962-2025</t>
        </is>
      </c>
      <c r="B515" s="1" t="n">
        <v>45982.37767361111</v>
      </c>
      <c r="C515" s="1" t="n">
        <v>46074</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58114-2025</t>
        </is>
      </c>
      <c r="B516" s="1" t="n">
        <v>45982.60335648148</v>
      </c>
      <c r="C516" s="1" t="n">
        <v>46074</v>
      </c>
      <c r="D516" t="inlineStr">
        <is>
          <t>DALARNAS LÄN</t>
        </is>
      </c>
      <c r="E516" t="inlineStr">
        <is>
          <t>LEKSAND</t>
        </is>
      </c>
      <c r="G516" t="n">
        <v>3</v>
      </c>
      <c r="H516" t="n">
        <v>0</v>
      </c>
      <c r="I516" t="n">
        <v>0</v>
      </c>
      <c r="J516" t="n">
        <v>0</v>
      </c>
      <c r="K516" t="n">
        <v>0</v>
      </c>
      <c r="L516" t="n">
        <v>0</v>
      </c>
      <c r="M516" t="n">
        <v>0</v>
      </c>
      <c r="N516" t="n">
        <v>0</v>
      </c>
      <c r="O516" t="n">
        <v>0</v>
      </c>
      <c r="P516" t="n">
        <v>0</v>
      </c>
      <c r="Q516" t="n">
        <v>0</v>
      </c>
      <c r="R516" s="2" t="inlineStr"/>
    </row>
    <row r="517" ht="15" customHeight="1">
      <c r="A517" t="inlineStr">
        <is>
          <t>A 19622-2024</t>
        </is>
      </c>
      <c r="B517" s="1" t="n">
        <v>45432.33592592592</v>
      </c>
      <c r="C517" s="1" t="n">
        <v>46074</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40230-2023</t>
        </is>
      </c>
      <c r="B518" s="1" t="n">
        <v>45169.46887731482</v>
      </c>
      <c r="C518" s="1" t="n">
        <v>46074</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58900-2025</t>
        </is>
      </c>
      <c r="B519" s="1" t="n">
        <v>45987</v>
      </c>
      <c r="C519" s="1" t="n">
        <v>46074</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58626-2025</t>
        </is>
      </c>
      <c r="B520" s="1" t="n">
        <v>45986.47667824074</v>
      </c>
      <c r="C520" s="1" t="n">
        <v>46074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58921-2025</t>
        </is>
      </c>
      <c r="B521" s="1" t="n">
        <v>45986</v>
      </c>
      <c r="C521" s="1" t="n">
        <v>46074</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11712-2025</t>
        </is>
      </c>
      <c r="B522" s="1" t="n">
        <v>45727</v>
      </c>
      <c r="C522" s="1" t="n">
        <v>46074</v>
      </c>
      <c r="D522" t="inlineStr">
        <is>
          <t>DALARNAS LÄN</t>
        </is>
      </c>
      <c r="E522" t="inlineStr">
        <is>
          <t>LEKSAND</t>
        </is>
      </c>
      <c r="G522" t="n">
        <v>6</v>
      </c>
      <c r="H522" t="n">
        <v>0</v>
      </c>
      <c r="I522" t="n">
        <v>0</v>
      </c>
      <c r="J522" t="n">
        <v>0</v>
      </c>
      <c r="K522" t="n">
        <v>0</v>
      </c>
      <c r="L522" t="n">
        <v>0</v>
      </c>
      <c r="M522" t="n">
        <v>0</v>
      </c>
      <c r="N522" t="n">
        <v>0</v>
      </c>
      <c r="O522" t="n">
        <v>0</v>
      </c>
      <c r="P522" t="n">
        <v>0</v>
      </c>
      <c r="Q522" t="n">
        <v>0</v>
      </c>
      <c r="R522" s="2" t="inlineStr"/>
    </row>
    <row r="523" ht="15" customHeight="1">
      <c r="A523" t="inlineStr">
        <is>
          <t>A 6030-2025</t>
        </is>
      </c>
      <c r="B523" s="1" t="n">
        <v>45695</v>
      </c>
      <c r="C523" s="1" t="n">
        <v>46074</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59106-2025</t>
        </is>
      </c>
      <c r="B524" s="1" t="n">
        <v>45988.46891203704</v>
      </c>
      <c r="C524" s="1" t="n">
        <v>46074</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42230-2023</t>
        </is>
      </c>
      <c r="B525" s="1" t="n">
        <v>45180</v>
      </c>
      <c r="C525" s="1" t="n">
        <v>46074</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41934-2025</t>
        </is>
      </c>
      <c r="B526" s="1" t="n">
        <v>45903</v>
      </c>
      <c r="C526" s="1" t="n">
        <v>46074</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59083-2025</t>
        </is>
      </c>
      <c r="B527" s="1" t="n">
        <v>45988</v>
      </c>
      <c r="C527" s="1" t="n">
        <v>46074</v>
      </c>
      <c r="D527" t="inlineStr">
        <is>
          <t>DALARNAS LÄN</t>
        </is>
      </c>
      <c r="E527" t="inlineStr">
        <is>
          <t>LEKSAND</t>
        </is>
      </c>
      <c r="F527" t="inlineStr">
        <is>
          <t>Bergvik skog väst AB</t>
        </is>
      </c>
      <c r="G527" t="n">
        <v>2.7</v>
      </c>
      <c r="H527" t="n">
        <v>0</v>
      </c>
      <c r="I527" t="n">
        <v>0</v>
      </c>
      <c r="J527" t="n">
        <v>0</v>
      </c>
      <c r="K527" t="n">
        <v>0</v>
      </c>
      <c r="L527" t="n">
        <v>0</v>
      </c>
      <c r="M527" t="n">
        <v>0</v>
      </c>
      <c r="N527" t="n">
        <v>0</v>
      </c>
      <c r="O527" t="n">
        <v>0</v>
      </c>
      <c r="P527" t="n">
        <v>0</v>
      </c>
      <c r="Q527" t="n">
        <v>0</v>
      </c>
      <c r="R527" s="2" t="inlineStr"/>
      <c r="U527">
        <f>HYPERLINK("https://klasma.github.io/Logging_2029/knärot/A 59083-2025 karta knärot.png", "A 59083-2025")</f>
        <v/>
      </c>
      <c r="V527">
        <f>HYPERLINK("https://klasma.github.io/Logging_2029/klagomål/A 59083-2025 FSC-klagomål.docx", "A 59083-2025")</f>
        <v/>
      </c>
      <c r="W527">
        <f>HYPERLINK("https://klasma.github.io/Logging_2029/klagomålsmail/A 59083-2025 FSC-klagomål mail.docx", "A 59083-2025")</f>
        <v/>
      </c>
      <c r="X527">
        <f>HYPERLINK("https://klasma.github.io/Logging_2029/tillsyn/A 59083-2025 tillsynsbegäran.docx", "A 59083-2025")</f>
        <v/>
      </c>
      <c r="Y527">
        <f>HYPERLINK("https://klasma.github.io/Logging_2029/tillsynsmail/A 59083-2025 tillsynsbegäran mail.docx", "A 59083-2025")</f>
        <v/>
      </c>
    </row>
    <row r="528" ht="15" customHeight="1">
      <c r="A528" t="inlineStr">
        <is>
          <t>A 1968-2026</t>
        </is>
      </c>
      <c r="B528" s="1" t="n">
        <v>46035.63878472222</v>
      </c>
      <c r="C528" s="1" t="n">
        <v>46074</v>
      </c>
      <c r="D528" t="inlineStr">
        <is>
          <t>DALARNAS LÄN</t>
        </is>
      </c>
      <c r="E528" t="inlineStr">
        <is>
          <t>LEKSAND</t>
        </is>
      </c>
      <c r="G528" t="n">
        <v>2.8</v>
      </c>
      <c r="H528" t="n">
        <v>0</v>
      </c>
      <c r="I528" t="n">
        <v>0</v>
      </c>
      <c r="J528" t="n">
        <v>0</v>
      </c>
      <c r="K528" t="n">
        <v>0</v>
      </c>
      <c r="L528" t="n">
        <v>0</v>
      </c>
      <c r="M528" t="n">
        <v>0</v>
      </c>
      <c r="N528" t="n">
        <v>0</v>
      </c>
      <c r="O528" t="n">
        <v>0</v>
      </c>
      <c r="P528" t="n">
        <v>0</v>
      </c>
      <c r="Q528" t="n">
        <v>0</v>
      </c>
      <c r="R528" s="2" t="inlineStr"/>
    </row>
    <row r="529" ht="15" customHeight="1">
      <c r="A529" t="inlineStr">
        <is>
          <t>A 59638-2025</t>
        </is>
      </c>
      <c r="B529" s="1" t="n">
        <v>45992.41105324074</v>
      </c>
      <c r="C529" s="1" t="n">
        <v>46074</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55643-2024</t>
        </is>
      </c>
      <c r="B530" s="1" t="n">
        <v>45621</v>
      </c>
      <c r="C530" s="1" t="n">
        <v>46074</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1995-2026</t>
        </is>
      </c>
      <c r="B531" s="1" t="n">
        <v>46035.67491898148</v>
      </c>
      <c r="C531" s="1" t="n">
        <v>46074</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60023-2025</t>
        </is>
      </c>
      <c r="B532" s="1" t="n">
        <v>45993.60201388889</v>
      </c>
      <c r="C532" s="1" t="n">
        <v>46074</v>
      </c>
      <c r="D532" t="inlineStr">
        <is>
          <t>DALARNAS LÄN</t>
        </is>
      </c>
      <c r="E532" t="inlineStr">
        <is>
          <t>LEKSAND</t>
        </is>
      </c>
      <c r="G532" t="n">
        <v>6.5</v>
      </c>
      <c r="H532" t="n">
        <v>0</v>
      </c>
      <c r="I532" t="n">
        <v>0</v>
      </c>
      <c r="J532" t="n">
        <v>0</v>
      </c>
      <c r="K532" t="n">
        <v>0</v>
      </c>
      <c r="L532" t="n">
        <v>0</v>
      </c>
      <c r="M532" t="n">
        <v>0</v>
      </c>
      <c r="N532" t="n">
        <v>0</v>
      </c>
      <c r="O532" t="n">
        <v>0</v>
      </c>
      <c r="P532" t="n">
        <v>0</v>
      </c>
      <c r="Q532" t="n">
        <v>0</v>
      </c>
      <c r="R532" s="2" t="inlineStr"/>
    </row>
    <row r="533" ht="15" customHeight="1">
      <c r="A533" t="inlineStr">
        <is>
          <t>A 60067-2025</t>
        </is>
      </c>
      <c r="B533" s="1" t="n">
        <v>45993.66039351852</v>
      </c>
      <c r="C533" s="1" t="n">
        <v>46074</v>
      </c>
      <c r="D533" t="inlineStr">
        <is>
          <t>DALARNAS LÄN</t>
        </is>
      </c>
      <c r="E533" t="inlineStr">
        <is>
          <t>LEKSAND</t>
        </is>
      </c>
      <c r="G533" t="n">
        <v>3.3</v>
      </c>
      <c r="H533" t="n">
        <v>0</v>
      </c>
      <c r="I533" t="n">
        <v>0</v>
      </c>
      <c r="J533" t="n">
        <v>0</v>
      </c>
      <c r="K533" t="n">
        <v>0</v>
      </c>
      <c r="L533" t="n">
        <v>0</v>
      </c>
      <c r="M533" t="n">
        <v>0</v>
      </c>
      <c r="N533" t="n">
        <v>0</v>
      </c>
      <c r="O533" t="n">
        <v>0</v>
      </c>
      <c r="P533" t="n">
        <v>0</v>
      </c>
      <c r="Q533" t="n">
        <v>0</v>
      </c>
      <c r="R533" s="2" t="inlineStr"/>
    </row>
    <row r="534" ht="15" customHeight="1">
      <c r="A534" t="inlineStr">
        <is>
          <t>A 2048-2026</t>
        </is>
      </c>
      <c r="B534" s="1" t="n">
        <v>46035.84534722222</v>
      </c>
      <c r="C534" s="1" t="n">
        <v>46074</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22281-2024</t>
        </is>
      </c>
      <c r="B535" s="1" t="n">
        <v>45446.54756944445</v>
      </c>
      <c r="C535" s="1" t="n">
        <v>46074</v>
      </c>
      <c r="D535" t="inlineStr">
        <is>
          <t>DALARNAS LÄN</t>
        </is>
      </c>
      <c r="E535" t="inlineStr">
        <is>
          <t>LEKSAND</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17282-2025</t>
        </is>
      </c>
      <c r="B536" s="1" t="n">
        <v>45756.57114583333</v>
      </c>
      <c r="C536" s="1" t="n">
        <v>46074</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2397-2026</t>
        </is>
      </c>
      <c r="B537" s="1" t="n">
        <v>46036.67840277778</v>
      </c>
      <c r="C537" s="1" t="n">
        <v>46074</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2697-2026</t>
        </is>
      </c>
      <c r="B538" s="1" t="n">
        <v>46037.67550925926</v>
      </c>
      <c r="C538" s="1" t="n">
        <v>46074</v>
      </c>
      <c r="D538" t="inlineStr">
        <is>
          <t>DALARNAS LÄN</t>
        </is>
      </c>
      <c r="E538" t="inlineStr">
        <is>
          <t>LEKSAND</t>
        </is>
      </c>
      <c r="G538" t="n">
        <v>10</v>
      </c>
      <c r="H538" t="n">
        <v>0</v>
      </c>
      <c r="I538" t="n">
        <v>0</v>
      </c>
      <c r="J538" t="n">
        <v>0</v>
      </c>
      <c r="K538" t="n">
        <v>0</v>
      </c>
      <c r="L538" t="n">
        <v>0</v>
      </c>
      <c r="M538" t="n">
        <v>0</v>
      </c>
      <c r="N538" t="n">
        <v>0</v>
      </c>
      <c r="O538" t="n">
        <v>0</v>
      </c>
      <c r="P538" t="n">
        <v>0</v>
      </c>
      <c r="Q538" t="n">
        <v>0</v>
      </c>
      <c r="R538" s="2" t="inlineStr"/>
    </row>
    <row r="539" ht="15" customHeight="1">
      <c r="A539" t="inlineStr">
        <is>
          <t>A 56016-2024</t>
        </is>
      </c>
      <c r="B539" s="1" t="n">
        <v>45623.87737268519</v>
      </c>
      <c r="C539" s="1" t="n">
        <v>46074</v>
      </c>
      <c r="D539" t="inlineStr">
        <is>
          <t>DALARNAS LÄN</t>
        </is>
      </c>
      <c r="E539" t="inlineStr">
        <is>
          <t>LEKSAND</t>
        </is>
      </c>
      <c r="G539" t="n">
        <v>6.1</v>
      </c>
      <c r="H539" t="n">
        <v>0</v>
      </c>
      <c r="I539" t="n">
        <v>0</v>
      </c>
      <c r="J539" t="n">
        <v>0</v>
      </c>
      <c r="K539" t="n">
        <v>0</v>
      </c>
      <c r="L539" t="n">
        <v>0</v>
      </c>
      <c r="M539" t="n">
        <v>0</v>
      </c>
      <c r="N539" t="n">
        <v>0</v>
      </c>
      <c r="O539" t="n">
        <v>0</v>
      </c>
      <c r="P539" t="n">
        <v>0</v>
      </c>
      <c r="Q539" t="n">
        <v>0</v>
      </c>
      <c r="R539" s="2" t="inlineStr"/>
    </row>
    <row r="540" ht="15" customHeight="1">
      <c r="A540" t="inlineStr">
        <is>
          <t>A 2373-2026</t>
        </is>
      </c>
      <c r="B540" s="1" t="n">
        <v>46036.64986111111</v>
      </c>
      <c r="C540" s="1" t="n">
        <v>46074</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9857-2025</t>
        </is>
      </c>
      <c r="B541" s="1" t="n">
        <v>45716.62609953704</v>
      </c>
      <c r="C541" s="1" t="n">
        <v>46074</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5873-2025</t>
        </is>
      </c>
      <c r="B542" s="1" t="n">
        <v>45695.36715277778</v>
      </c>
      <c r="C542" s="1" t="n">
        <v>46074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row>
    <row r="543" ht="15" customHeight="1">
      <c r="A543" t="inlineStr">
        <is>
          <t>A 30994-2023</t>
        </is>
      </c>
      <c r="B543" s="1" t="n">
        <v>45113</v>
      </c>
      <c r="C543" s="1" t="n">
        <v>46074</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33306-2023</t>
        </is>
      </c>
      <c r="B544" s="1" t="n">
        <v>45127</v>
      </c>
      <c r="C544" s="1" t="n">
        <v>46074</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33316-2023</t>
        </is>
      </c>
      <c r="B545" s="1" t="n">
        <v>45127</v>
      </c>
      <c r="C545" s="1" t="n">
        <v>46074</v>
      </c>
      <c r="D545" t="inlineStr">
        <is>
          <t>DALARNAS LÄN</t>
        </is>
      </c>
      <c r="E545" t="inlineStr">
        <is>
          <t>LEKSAND</t>
        </is>
      </c>
      <c r="G545" t="n">
        <v>8.9</v>
      </c>
      <c r="H545" t="n">
        <v>0</v>
      </c>
      <c r="I545" t="n">
        <v>0</v>
      </c>
      <c r="J545" t="n">
        <v>0</v>
      </c>
      <c r="K545" t="n">
        <v>0</v>
      </c>
      <c r="L545" t="n">
        <v>0</v>
      </c>
      <c r="M545" t="n">
        <v>0</v>
      </c>
      <c r="N545" t="n">
        <v>0</v>
      </c>
      <c r="O545" t="n">
        <v>0</v>
      </c>
      <c r="P545" t="n">
        <v>0</v>
      </c>
      <c r="Q545" t="n">
        <v>0</v>
      </c>
      <c r="R545" s="2" t="inlineStr"/>
    </row>
    <row r="546" ht="15" customHeight="1">
      <c r="A546" t="inlineStr">
        <is>
          <t>A 37832-2023</t>
        </is>
      </c>
      <c r="B546" s="1" t="n">
        <v>45160.3479050926</v>
      </c>
      <c r="C546" s="1" t="n">
        <v>46074</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60544-2025</t>
        </is>
      </c>
      <c r="B547" s="1" t="n">
        <v>45995.68694444445</v>
      </c>
      <c r="C547" s="1" t="n">
        <v>46074</v>
      </c>
      <c r="D547" t="inlineStr">
        <is>
          <t>DALARNAS LÄN</t>
        </is>
      </c>
      <c r="E547" t="inlineStr">
        <is>
          <t>LEKSAND</t>
        </is>
      </c>
      <c r="G547" t="n">
        <v>4.4</v>
      </c>
      <c r="H547" t="n">
        <v>0</v>
      </c>
      <c r="I547" t="n">
        <v>0</v>
      </c>
      <c r="J547" t="n">
        <v>0</v>
      </c>
      <c r="K547" t="n">
        <v>0</v>
      </c>
      <c r="L547" t="n">
        <v>0</v>
      </c>
      <c r="M547" t="n">
        <v>0</v>
      </c>
      <c r="N547" t="n">
        <v>0</v>
      </c>
      <c r="O547" t="n">
        <v>0</v>
      </c>
      <c r="P547" t="n">
        <v>0</v>
      </c>
      <c r="Q547" t="n">
        <v>0</v>
      </c>
      <c r="R547" s="2" t="inlineStr"/>
    </row>
    <row r="548" ht="15" customHeight="1">
      <c r="A548" t="inlineStr">
        <is>
          <t>A 9143-2023</t>
        </is>
      </c>
      <c r="B548" s="1" t="n">
        <v>44974</v>
      </c>
      <c r="C548" s="1" t="n">
        <v>46074</v>
      </c>
      <c r="D548" t="inlineStr">
        <is>
          <t>DALARNAS LÄN</t>
        </is>
      </c>
      <c r="E548" t="inlineStr">
        <is>
          <t>LEKSAND</t>
        </is>
      </c>
      <c r="G548" t="n">
        <v>4.3</v>
      </c>
      <c r="H548" t="n">
        <v>0</v>
      </c>
      <c r="I548" t="n">
        <v>0</v>
      </c>
      <c r="J548" t="n">
        <v>0</v>
      </c>
      <c r="K548" t="n">
        <v>0</v>
      </c>
      <c r="L548" t="n">
        <v>0</v>
      </c>
      <c r="M548" t="n">
        <v>0</v>
      </c>
      <c r="N548" t="n">
        <v>0</v>
      </c>
      <c r="O548" t="n">
        <v>0</v>
      </c>
      <c r="P548" t="n">
        <v>0</v>
      </c>
      <c r="Q548" t="n">
        <v>0</v>
      </c>
      <c r="R548" s="2" t="inlineStr"/>
    </row>
    <row r="549" ht="15" customHeight="1">
      <c r="A549" t="inlineStr">
        <is>
          <t>A 60170-2025</t>
        </is>
      </c>
      <c r="B549" s="1" t="n">
        <v>45994.44629629629</v>
      </c>
      <c r="C549" s="1" t="n">
        <v>46074</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33310-2023</t>
        </is>
      </c>
      <c r="B550" s="1" t="n">
        <v>45127.82231481482</v>
      </c>
      <c r="C550" s="1" t="n">
        <v>46074</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54844-2021</t>
        </is>
      </c>
      <c r="B551" s="1" t="n">
        <v>44474.30614583333</v>
      </c>
      <c r="C551" s="1" t="n">
        <v>46074</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471-2025</t>
        </is>
      </c>
      <c r="B552" s="1" t="n">
        <v>45664.43394675926</v>
      </c>
      <c r="C552" s="1" t="n">
        <v>46074</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2068-2026</t>
        </is>
      </c>
      <c r="B553" s="1" t="n">
        <v>46036.27943287037</v>
      </c>
      <c r="C553" s="1" t="n">
        <v>46074</v>
      </c>
      <c r="D553" t="inlineStr">
        <is>
          <t>DALARNAS LÄN</t>
        </is>
      </c>
      <c r="E553" t="inlineStr">
        <is>
          <t>LEKSAND</t>
        </is>
      </c>
      <c r="F553" t="inlineStr">
        <is>
          <t>Övriga Aktiebolag</t>
        </is>
      </c>
      <c r="G553" t="n">
        <v>15.5</v>
      </c>
      <c r="H553" t="n">
        <v>0</v>
      </c>
      <c r="I553" t="n">
        <v>0</v>
      </c>
      <c r="J553" t="n">
        <v>0</v>
      </c>
      <c r="K553" t="n">
        <v>0</v>
      </c>
      <c r="L553" t="n">
        <v>0</v>
      </c>
      <c r="M553" t="n">
        <v>0</v>
      </c>
      <c r="N553" t="n">
        <v>0</v>
      </c>
      <c r="O553" t="n">
        <v>0</v>
      </c>
      <c r="P553" t="n">
        <v>0</v>
      </c>
      <c r="Q553" t="n">
        <v>0</v>
      </c>
      <c r="R553" s="2" t="inlineStr"/>
    </row>
    <row r="554" ht="15" customHeight="1">
      <c r="A554" t="inlineStr">
        <is>
          <t>A 60358-2025</t>
        </is>
      </c>
      <c r="B554" s="1" t="n">
        <v>45995.31949074074</v>
      </c>
      <c r="C554" s="1" t="n">
        <v>46074</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60614-2025</t>
        </is>
      </c>
      <c r="B555" s="1" t="n">
        <v>45996.36671296296</v>
      </c>
      <c r="C555" s="1" t="n">
        <v>46074</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46074</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1182-2025</t>
        </is>
      </c>
      <c r="B557" s="1" t="n">
        <v>45667.35712962963</v>
      </c>
      <c r="C557" s="1" t="n">
        <v>46074</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3144-2026</t>
        </is>
      </c>
      <c r="B558" s="1" t="n">
        <v>46041.40858796296</v>
      </c>
      <c r="C558" s="1" t="n">
        <v>46074</v>
      </c>
      <c r="D558" t="inlineStr">
        <is>
          <t>DALARNAS LÄN</t>
        </is>
      </c>
      <c r="E558" t="inlineStr">
        <is>
          <t>LEKSAND</t>
        </is>
      </c>
      <c r="G558" t="n">
        <v>4.8</v>
      </c>
      <c r="H558" t="n">
        <v>0</v>
      </c>
      <c r="I558" t="n">
        <v>0</v>
      </c>
      <c r="J558" t="n">
        <v>0</v>
      </c>
      <c r="K558" t="n">
        <v>0</v>
      </c>
      <c r="L558" t="n">
        <v>0</v>
      </c>
      <c r="M558" t="n">
        <v>0</v>
      </c>
      <c r="N558" t="n">
        <v>0</v>
      </c>
      <c r="O558" t="n">
        <v>0</v>
      </c>
      <c r="P558" t="n">
        <v>0</v>
      </c>
      <c r="Q558" t="n">
        <v>0</v>
      </c>
      <c r="R558" s="2" t="inlineStr"/>
    </row>
    <row r="559" ht="15" customHeight="1">
      <c r="A559" t="inlineStr">
        <is>
          <t>A 1983-2026</t>
        </is>
      </c>
      <c r="B559" s="1" t="n">
        <v>46035</v>
      </c>
      <c r="C559" s="1" t="n">
        <v>46074</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2853-2026</t>
        </is>
      </c>
      <c r="B560" s="1" t="n">
        <v>46038.48278935185</v>
      </c>
      <c r="C560" s="1" t="n">
        <v>46074</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3240-2026</t>
        </is>
      </c>
      <c r="B561" s="1" t="n">
        <v>46041.56834490741</v>
      </c>
      <c r="C561" s="1" t="n">
        <v>46074</v>
      </c>
      <c r="D561" t="inlineStr">
        <is>
          <t>DALARNAS LÄN</t>
        </is>
      </c>
      <c r="E561" t="inlineStr">
        <is>
          <t>LEKSAND</t>
        </is>
      </c>
      <c r="G561" t="n">
        <v>6.1</v>
      </c>
      <c r="H561" t="n">
        <v>0</v>
      </c>
      <c r="I561" t="n">
        <v>0</v>
      </c>
      <c r="J561" t="n">
        <v>0</v>
      </c>
      <c r="K561" t="n">
        <v>0</v>
      </c>
      <c r="L561" t="n">
        <v>0</v>
      </c>
      <c r="M561" t="n">
        <v>0</v>
      </c>
      <c r="N561" t="n">
        <v>0</v>
      </c>
      <c r="O561" t="n">
        <v>0</v>
      </c>
      <c r="P561" t="n">
        <v>0</v>
      </c>
      <c r="Q561" t="n">
        <v>0</v>
      </c>
      <c r="R561" s="2" t="inlineStr"/>
    </row>
    <row r="562" ht="15" customHeight="1">
      <c r="A562" t="inlineStr">
        <is>
          <t>A 46665-2023</t>
        </is>
      </c>
      <c r="B562" s="1" t="n">
        <v>45198.47399305556</v>
      </c>
      <c r="C562" s="1" t="n">
        <v>46074</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56943-2024</t>
        </is>
      </c>
      <c r="B563" s="1" t="n">
        <v>45625</v>
      </c>
      <c r="C563" s="1" t="n">
        <v>46074</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60715-2022</t>
        </is>
      </c>
      <c r="B564" s="1" t="n">
        <v>44912</v>
      </c>
      <c r="C564" s="1" t="n">
        <v>46074</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3244-2026</t>
        </is>
      </c>
      <c r="B565" s="1" t="n">
        <v>46041.5733912037</v>
      </c>
      <c r="C565" s="1" t="n">
        <v>46074</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3734-2026</t>
        </is>
      </c>
      <c r="B566" s="1" t="n">
        <v>46043.5185300926</v>
      </c>
      <c r="C566" s="1" t="n">
        <v>46074</v>
      </c>
      <c r="D566" t="inlineStr">
        <is>
          <t>DALARNAS LÄN</t>
        </is>
      </c>
      <c r="E566" t="inlineStr">
        <is>
          <t>LEKSAND</t>
        </is>
      </c>
      <c r="G566" t="n">
        <v>7.2</v>
      </c>
      <c r="H566" t="n">
        <v>0</v>
      </c>
      <c r="I566" t="n">
        <v>0</v>
      </c>
      <c r="J566" t="n">
        <v>0</v>
      </c>
      <c r="K566" t="n">
        <v>0</v>
      </c>
      <c r="L566" t="n">
        <v>0</v>
      </c>
      <c r="M566" t="n">
        <v>0</v>
      </c>
      <c r="N566" t="n">
        <v>0</v>
      </c>
      <c r="O566" t="n">
        <v>0</v>
      </c>
      <c r="P566" t="n">
        <v>0</v>
      </c>
      <c r="Q566" t="n">
        <v>0</v>
      </c>
      <c r="R566" s="2" t="inlineStr"/>
    </row>
    <row r="567" ht="15" customHeight="1">
      <c r="A567" t="inlineStr">
        <is>
          <t>A 3723-2026</t>
        </is>
      </c>
      <c r="B567" s="1" t="n">
        <v>46043.49631944444</v>
      </c>
      <c r="C567" s="1" t="n">
        <v>46074</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15619-2025</t>
        </is>
      </c>
      <c r="B568" s="1" t="n">
        <v>45747</v>
      </c>
      <c r="C568" s="1" t="n">
        <v>46074</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21954-2023</t>
        </is>
      </c>
      <c r="B569" s="1" t="n">
        <v>45068</v>
      </c>
      <c r="C569" s="1" t="n">
        <v>46074</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3525-2026</t>
        </is>
      </c>
      <c r="B570" s="1" t="n">
        <v>46042.60645833334</v>
      </c>
      <c r="C570" s="1" t="n">
        <v>46074</v>
      </c>
      <c r="D570" t="inlineStr">
        <is>
          <t>DALARNAS LÄN</t>
        </is>
      </c>
      <c r="E570" t="inlineStr">
        <is>
          <t>LEKSAND</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3728-2026</t>
        </is>
      </c>
      <c r="B571" s="1" t="n">
        <v>46043.50650462963</v>
      </c>
      <c r="C571" s="1" t="n">
        <v>46074</v>
      </c>
      <c r="D571" t="inlineStr">
        <is>
          <t>DALARNAS LÄN</t>
        </is>
      </c>
      <c r="E571" t="inlineStr">
        <is>
          <t>LEKSAND</t>
        </is>
      </c>
      <c r="G571" t="n">
        <v>7</v>
      </c>
      <c r="H571" t="n">
        <v>0</v>
      </c>
      <c r="I571" t="n">
        <v>0</v>
      </c>
      <c r="J571" t="n">
        <v>0</v>
      </c>
      <c r="K571" t="n">
        <v>0</v>
      </c>
      <c r="L571" t="n">
        <v>0</v>
      </c>
      <c r="M571" t="n">
        <v>0</v>
      </c>
      <c r="N571" t="n">
        <v>0</v>
      </c>
      <c r="O571" t="n">
        <v>0</v>
      </c>
      <c r="P571" t="n">
        <v>0</v>
      </c>
      <c r="Q571" t="n">
        <v>0</v>
      </c>
      <c r="R571" s="2" t="inlineStr"/>
    </row>
    <row r="572" ht="15" customHeight="1">
      <c r="A572" t="inlineStr">
        <is>
          <t>A 61491-2025</t>
        </is>
      </c>
      <c r="B572" s="1" t="n">
        <v>46001.63854166667</v>
      </c>
      <c r="C572" s="1" t="n">
        <v>46074</v>
      </c>
      <c r="D572" t="inlineStr">
        <is>
          <t>DALARNAS LÄN</t>
        </is>
      </c>
      <c r="E572" t="inlineStr">
        <is>
          <t>LEKSAND</t>
        </is>
      </c>
      <c r="G572" t="n">
        <v>1.8</v>
      </c>
      <c r="H572" t="n">
        <v>0</v>
      </c>
      <c r="I572" t="n">
        <v>0</v>
      </c>
      <c r="J572" t="n">
        <v>0</v>
      </c>
      <c r="K572" t="n">
        <v>0</v>
      </c>
      <c r="L572" t="n">
        <v>0</v>
      </c>
      <c r="M572" t="n">
        <v>0</v>
      </c>
      <c r="N572" t="n">
        <v>0</v>
      </c>
      <c r="O572" t="n">
        <v>0</v>
      </c>
      <c r="P572" t="n">
        <v>0</v>
      </c>
      <c r="Q572" t="n">
        <v>0</v>
      </c>
      <c r="R572" s="2" t="inlineStr"/>
    </row>
    <row r="573" ht="15" customHeight="1">
      <c r="A573" t="inlineStr">
        <is>
          <t>A 14797-2025</t>
        </is>
      </c>
      <c r="B573" s="1" t="n">
        <v>45742.90363425926</v>
      </c>
      <c r="C573" s="1" t="n">
        <v>46074</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59751-2024</t>
        </is>
      </c>
      <c r="B574" s="1" t="n">
        <v>45638</v>
      </c>
      <c r="C574" s="1" t="n">
        <v>46074</v>
      </c>
      <c r="D574" t="inlineStr">
        <is>
          <t>DALARNAS LÄN</t>
        </is>
      </c>
      <c r="E574" t="inlineStr">
        <is>
          <t>LEKSAND</t>
        </is>
      </c>
      <c r="G574" t="n">
        <v>5.2</v>
      </c>
      <c r="H574" t="n">
        <v>0</v>
      </c>
      <c r="I574" t="n">
        <v>0</v>
      </c>
      <c r="J574" t="n">
        <v>0</v>
      </c>
      <c r="K574" t="n">
        <v>0</v>
      </c>
      <c r="L574" t="n">
        <v>0</v>
      </c>
      <c r="M574" t="n">
        <v>0</v>
      </c>
      <c r="N574" t="n">
        <v>0</v>
      </c>
      <c r="O574" t="n">
        <v>0</v>
      </c>
      <c r="P574" t="n">
        <v>0</v>
      </c>
      <c r="Q574" t="n">
        <v>0</v>
      </c>
      <c r="R574" s="2" t="inlineStr"/>
    </row>
    <row r="575" ht="15" customHeight="1">
      <c r="A575" t="inlineStr">
        <is>
          <t>A 1441-2026</t>
        </is>
      </c>
      <c r="B575" s="1" t="n">
        <v>46032</v>
      </c>
      <c r="C575" s="1" t="n">
        <v>46074</v>
      </c>
      <c r="D575" t="inlineStr">
        <is>
          <t>DALARNAS LÄN</t>
        </is>
      </c>
      <c r="E575" t="inlineStr">
        <is>
          <t>LEKSAND</t>
        </is>
      </c>
      <c r="G575" t="n">
        <v>4.9</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46074</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46074</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3834-2026</t>
        </is>
      </c>
      <c r="B578" s="1" t="n">
        <v>46043.59221064814</v>
      </c>
      <c r="C578" s="1" t="n">
        <v>46074</v>
      </c>
      <c r="D578" t="inlineStr">
        <is>
          <t>DALARNAS LÄN</t>
        </is>
      </c>
      <c r="E578" t="inlineStr">
        <is>
          <t>LEKSAND</t>
        </is>
      </c>
      <c r="G578" t="n">
        <v>14.4</v>
      </c>
      <c r="H578" t="n">
        <v>0</v>
      </c>
      <c r="I578" t="n">
        <v>0</v>
      </c>
      <c r="J578" t="n">
        <v>0</v>
      </c>
      <c r="K578" t="n">
        <v>0</v>
      </c>
      <c r="L578" t="n">
        <v>0</v>
      </c>
      <c r="M578" t="n">
        <v>0</v>
      </c>
      <c r="N578" t="n">
        <v>0</v>
      </c>
      <c r="O578" t="n">
        <v>0</v>
      </c>
      <c r="P578" t="n">
        <v>0</v>
      </c>
      <c r="Q578" t="n">
        <v>0</v>
      </c>
      <c r="R578" s="2" t="inlineStr"/>
    </row>
    <row r="579" ht="15" customHeight="1">
      <c r="A579" t="inlineStr">
        <is>
          <t>A 61269-2022</t>
        </is>
      </c>
      <c r="B579" s="1" t="n">
        <v>44909</v>
      </c>
      <c r="C579" s="1" t="n">
        <v>46074</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4476-2026</t>
        </is>
      </c>
      <c r="B580" s="1" t="n">
        <v>46045.66344907408</v>
      </c>
      <c r="C580" s="1" t="n">
        <v>46074</v>
      </c>
      <c r="D580" t="inlineStr">
        <is>
          <t>DALARNAS LÄN</t>
        </is>
      </c>
      <c r="E580" t="inlineStr">
        <is>
          <t>LEKSAND</t>
        </is>
      </c>
      <c r="G580" t="n">
        <v>2.3</v>
      </c>
      <c r="H580" t="n">
        <v>0</v>
      </c>
      <c r="I580" t="n">
        <v>0</v>
      </c>
      <c r="J580" t="n">
        <v>0</v>
      </c>
      <c r="K580" t="n">
        <v>0</v>
      </c>
      <c r="L580" t="n">
        <v>0</v>
      </c>
      <c r="M580" t="n">
        <v>0</v>
      </c>
      <c r="N580" t="n">
        <v>0</v>
      </c>
      <c r="O580" t="n">
        <v>0</v>
      </c>
      <c r="P580" t="n">
        <v>0</v>
      </c>
      <c r="Q580" t="n">
        <v>0</v>
      </c>
      <c r="R580" s="2" t="inlineStr"/>
    </row>
    <row r="581" ht="15" customHeight="1">
      <c r="A581" t="inlineStr">
        <is>
          <t>A 64933-2023</t>
        </is>
      </c>
      <c r="B581" s="1" t="n">
        <v>45282</v>
      </c>
      <c r="C581" s="1" t="n">
        <v>46074</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24003-2024</t>
        </is>
      </c>
      <c r="B582" s="1" t="n">
        <v>45456.39003472222</v>
      </c>
      <c r="C582" s="1" t="n">
        <v>46074</v>
      </c>
      <c r="D582" t="inlineStr">
        <is>
          <t>DALARNAS LÄN</t>
        </is>
      </c>
      <c r="E582" t="inlineStr">
        <is>
          <t>LEKSAND</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3978-2026</t>
        </is>
      </c>
      <c r="B583" s="1" t="n">
        <v>46044.36024305555</v>
      </c>
      <c r="C583" s="1" t="n">
        <v>46074</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34585-2024</t>
        </is>
      </c>
      <c r="B584" s="1" t="n">
        <v>45526.37697916666</v>
      </c>
      <c r="C584" s="1" t="n">
        <v>46074</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3968-2026</t>
        </is>
      </c>
      <c r="B585" s="1" t="n">
        <v>46044.35184027778</v>
      </c>
      <c r="C585" s="1" t="n">
        <v>46074</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4210-2026</t>
        </is>
      </c>
      <c r="B586" s="1" t="n">
        <v>46044.72825231482</v>
      </c>
      <c r="C586" s="1" t="n">
        <v>46074</v>
      </c>
      <c r="D586" t="inlineStr">
        <is>
          <t>DALARNAS LÄN</t>
        </is>
      </c>
      <c r="E586" t="inlineStr">
        <is>
          <t>LEKSAND</t>
        </is>
      </c>
      <c r="G586" t="n">
        <v>4.2</v>
      </c>
      <c r="H586" t="n">
        <v>0</v>
      </c>
      <c r="I586" t="n">
        <v>0</v>
      </c>
      <c r="J586" t="n">
        <v>0</v>
      </c>
      <c r="K586" t="n">
        <v>0</v>
      </c>
      <c r="L586" t="n">
        <v>0</v>
      </c>
      <c r="M586" t="n">
        <v>0</v>
      </c>
      <c r="N586" t="n">
        <v>0</v>
      </c>
      <c r="O586" t="n">
        <v>0</v>
      </c>
      <c r="P586" t="n">
        <v>0</v>
      </c>
      <c r="Q586" t="n">
        <v>0</v>
      </c>
      <c r="R586" s="2" t="inlineStr"/>
    </row>
    <row r="587" ht="15" customHeight="1">
      <c r="A587" t="inlineStr">
        <is>
          <t>A 4338-2026</t>
        </is>
      </c>
      <c r="B587" s="1" t="n">
        <v>46045.5033912037</v>
      </c>
      <c r="C587" s="1" t="n">
        <v>46074</v>
      </c>
      <c r="D587" t="inlineStr">
        <is>
          <t>DALARNAS LÄN</t>
        </is>
      </c>
      <c r="E587" t="inlineStr">
        <is>
          <t>LEKSAND</t>
        </is>
      </c>
      <c r="G587" t="n">
        <v>6.9</v>
      </c>
      <c r="H587" t="n">
        <v>0</v>
      </c>
      <c r="I587" t="n">
        <v>0</v>
      </c>
      <c r="J587" t="n">
        <v>0</v>
      </c>
      <c r="K587" t="n">
        <v>0</v>
      </c>
      <c r="L587" t="n">
        <v>0</v>
      </c>
      <c r="M587" t="n">
        <v>0</v>
      </c>
      <c r="N587" t="n">
        <v>0</v>
      </c>
      <c r="O587" t="n">
        <v>0</v>
      </c>
      <c r="P587" t="n">
        <v>0</v>
      </c>
      <c r="Q587" t="n">
        <v>0</v>
      </c>
      <c r="R587" s="2" t="inlineStr"/>
    </row>
    <row r="588" ht="15" customHeight="1">
      <c r="A588" t="inlineStr">
        <is>
          <t>A 10743-2024</t>
        </is>
      </c>
      <c r="B588" s="1" t="n">
        <v>45369.52167824074</v>
      </c>
      <c r="C588" s="1" t="n">
        <v>46074</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10771-2024</t>
        </is>
      </c>
      <c r="B589" s="1" t="n">
        <v>45369.57342592593</v>
      </c>
      <c r="C589" s="1" t="n">
        <v>46074</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61684-2025</t>
        </is>
      </c>
      <c r="B590" s="1" t="n">
        <v>46002.49790509259</v>
      </c>
      <c r="C590" s="1" t="n">
        <v>46074</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4667-2026</t>
        </is>
      </c>
      <c r="B591" s="1" t="n">
        <v>46048.41368055555</v>
      </c>
      <c r="C591" s="1" t="n">
        <v>46074</v>
      </c>
      <c r="D591" t="inlineStr">
        <is>
          <t>DALARNAS LÄN</t>
        </is>
      </c>
      <c r="E591" t="inlineStr">
        <is>
          <t>LEKSAND</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56941-2024</t>
        </is>
      </c>
      <c r="B592" s="1" t="n">
        <v>45625</v>
      </c>
      <c r="C592" s="1" t="n">
        <v>46074</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4982-2026</t>
        </is>
      </c>
      <c r="B593" s="1" t="n">
        <v>46049.37361111111</v>
      </c>
      <c r="C593" s="1" t="n">
        <v>46074</v>
      </c>
      <c r="D593" t="inlineStr">
        <is>
          <t>DALARNAS LÄN</t>
        </is>
      </c>
      <c r="E593" t="inlineStr">
        <is>
          <t>LEKSAND</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16051-2023</t>
        </is>
      </c>
      <c r="B594" s="1" t="n">
        <v>45027</v>
      </c>
      <c r="C594" s="1" t="n">
        <v>46074</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63514-2023</t>
        </is>
      </c>
      <c r="B595" s="1" t="n">
        <v>45274</v>
      </c>
      <c r="C595" s="1" t="n">
        <v>46074</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46446-2023</t>
        </is>
      </c>
      <c r="B596" s="1" t="n">
        <v>45197.59344907408</v>
      </c>
      <c r="C596" s="1" t="n">
        <v>46074</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62301-2025</t>
        </is>
      </c>
      <c r="B597" s="1" t="n">
        <v>46006.65743055556</v>
      </c>
      <c r="C597" s="1" t="n">
        <v>46074</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62306-2025</t>
        </is>
      </c>
      <c r="B598" s="1" t="n">
        <v>46006.66878472222</v>
      </c>
      <c r="C598" s="1" t="n">
        <v>46074</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62337-2025</t>
        </is>
      </c>
      <c r="B599" s="1" t="n">
        <v>46006</v>
      </c>
      <c r="C599" s="1" t="n">
        <v>46074</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52100-2024</t>
        </is>
      </c>
      <c r="B600" s="1" t="n">
        <v>45608.41634259259</v>
      </c>
      <c r="C600" s="1" t="n">
        <v>46074</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62322-2025</t>
        </is>
      </c>
      <c r="B601" s="1" t="n">
        <v>46006</v>
      </c>
      <c r="C601" s="1" t="n">
        <v>46074</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53981-2024</t>
        </is>
      </c>
      <c r="B602" s="1" t="n">
        <v>45615</v>
      </c>
      <c r="C602" s="1" t="n">
        <v>46074</v>
      </c>
      <c r="D602" t="inlineStr">
        <is>
          <t>DALARNAS LÄN</t>
        </is>
      </c>
      <c r="E602" t="inlineStr">
        <is>
          <t>LEKSAND</t>
        </is>
      </c>
      <c r="G602" t="n">
        <v>5.4</v>
      </c>
      <c r="H602" t="n">
        <v>0</v>
      </c>
      <c r="I602" t="n">
        <v>0</v>
      </c>
      <c r="J602" t="n">
        <v>0</v>
      </c>
      <c r="K602" t="n">
        <v>0</v>
      </c>
      <c r="L602" t="n">
        <v>0</v>
      </c>
      <c r="M602" t="n">
        <v>0</v>
      </c>
      <c r="N602" t="n">
        <v>0</v>
      </c>
      <c r="O602" t="n">
        <v>0</v>
      </c>
      <c r="P602" t="n">
        <v>0</v>
      </c>
      <c r="Q602" t="n">
        <v>0</v>
      </c>
      <c r="R602" s="2" t="inlineStr"/>
    </row>
    <row r="603" ht="15" customHeight="1">
      <c r="A603" t="inlineStr">
        <is>
          <t>A 34033-2024</t>
        </is>
      </c>
      <c r="B603" s="1" t="n">
        <v>45523.59265046296</v>
      </c>
      <c r="C603" s="1" t="n">
        <v>46074</v>
      </c>
      <c r="D603" t="inlineStr">
        <is>
          <t>DALARNAS LÄN</t>
        </is>
      </c>
      <c r="E603" t="inlineStr">
        <is>
          <t>LEKSAND</t>
        </is>
      </c>
      <c r="G603" t="n">
        <v>2.6</v>
      </c>
      <c r="H603" t="n">
        <v>0</v>
      </c>
      <c r="I603" t="n">
        <v>0</v>
      </c>
      <c r="J603" t="n">
        <v>0</v>
      </c>
      <c r="K603" t="n">
        <v>0</v>
      </c>
      <c r="L603" t="n">
        <v>0</v>
      </c>
      <c r="M603" t="n">
        <v>0</v>
      </c>
      <c r="N603" t="n">
        <v>0</v>
      </c>
      <c r="O603" t="n">
        <v>0</v>
      </c>
      <c r="P603" t="n">
        <v>0</v>
      </c>
      <c r="Q603" t="n">
        <v>0</v>
      </c>
      <c r="R603" s="2" t="inlineStr"/>
    </row>
    <row r="604" ht="15" customHeight="1">
      <c r="A604" t="inlineStr">
        <is>
          <t>A 62574-2025</t>
        </is>
      </c>
      <c r="B604" s="1" t="n">
        <v>46007.73261574074</v>
      </c>
      <c r="C604" s="1" t="n">
        <v>46074</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62525-2025</t>
        </is>
      </c>
      <c r="B605" s="1" t="n">
        <v>46007.63509259259</v>
      </c>
      <c r="C605" s="1" t="n">
        <v>46074</v>
      </c>
      <c r="D605" t="inlineStr">
        <is>
          <t>DALARNAS LÄN</t>
        </is>
      </c>
      <c r="E605" t="inlineStr">
        <is>
          <t>LEKSAND</t>
        </is>
      </c>
      <c r="G605" t="n">
        <v>5.7</v>
      </c>
      <c r="H605" t="n">
        <v>0</v>
      </c>
      <c r="I605" t="n">
        <v>0</v>
      </c>
      <c r="J605" t="n">
        <v>0</v>
      </c>
      <c r="K605" t="n">
        <v>0</v>
      </c>
      <c r="L605" t="n">
        <v>0</v>
      </c>
      <c r="M605" t="n">
        <v>0</v>
      </c>
      <c r="N605" t="n">
        <v>0</v>
      </c>
      <c r="O605" t="n">
        <v>0</v>
      </c>
      <c r="P605" t="n">
        <v>0</v>
      </c>
      <c r="Q605" t="n">
        <v>0</v>
      </c>
      <c r="R605" s="2" t="inlineStr"/>
    </row>
    <row r="606" ht="15" customHeight="1">
      <c r="A606" t="inlineStr">
        <is>
          <t>A 59271-2025</t>
        </is>
      </c>
      <c r="B606" s="1" t="n">
        <v>45988.68571759259</v>
      </c>
      <c r="C606" s="1" t="n">
        <v>46074</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4885-2026</t>
        </is>
      </c>
      <c r="B607" s="1" t="n">
        <v>46048.66039351852</v>
      </c>
      <c r="C607" s="1" t="n">
        <v>46074</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62549-2025</t>
        </is>
      </c>
      <c r="B608" s="1" t="n">
        <v>46007.66886574074</v>
      </c>
      <c r="C608" s="1" t="n">
        <v>46074</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62556-2025</t>
        </is>
      </c>
      <c r="B609" s="1" t="n">
        <v>46007.68230324074</v>
      </c>
      <c r="C609" s="1" t="n">
        <v>46074</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62560-2025</t>
        </is>
      </c>
      <c r="B610" s="1" t="n">
        <v>46007.68733796296</v>
      </c>
      <c r="C610" s="1" t="n">
        <v>46074</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62557-2025</t>
        </is>
      </c>
      <c r="B611" s="1" t="n">
        <v>46007.68412037037</v>
      </c>
      <c r="C611" s="1" t="n">
        <v>46074</v>
      </c>
      <c r="D611" t="inlineStr">
        <is>
          <t>DALARNAS LÄN</t>
        </is>
      </c>
      <c r="E611" t="inlineStr">
        <is>
          <t>LEKSAND</t>
        </is>
      </c>
      <c r="G611" t="n">
        <v>0.8</v>
      </c>
      <c r="H611" t="n">
        <v>0</v>
      </c>
      <c r="I611" t="n">
        <v>0</v>
      </c>
      <c r="J611" t="n">
        <v>0</v>
      </c>
      <c r="K611" t="n">
        <v>0</v>
      </c>
      <c r="L611" t="n">
        <v>0</v>
      </c>
      <c r="M611" t="n">
        <v>0</v>
      </c>
      <c r="N611" t="n">
        <v>0</v>
      </c>
      <c r="O611" t="n">
        <v>0</v>
      </c>
      <c r="P611" t="n">
        <v>0</v>
      </c>
      <c r="Q611" t="n">
        <v>0</v>
      </c>
      <c r="R611" s="2" t="inlineStr"/>
    </row>
    <row r="612" ht="15" customHeight="1">
      <c r="A612" t="inlineStr">
        <is>
          <t>A 5040-2026</t>
        </is>
      </c>
      <c r="B612" s="1" t="n">
        <v>46049.46439814815</v>
      </c>
      <c r="C612" s="1" t="n">
        <v>46074</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5120-2026</t>
        </is>
      </c>
      <c r="B613" s="1" t="n">
        <v>46049.57993055556</v>
      </c>
      <c r="C613" s="1" t="n">
        <v>46074</v>
      </c>
      <c r="D613" t="inlineStr">
        <is>
          <t>DALARNAS LÄN</t>
        </is>
      </c>
      <c r="E613" t="inlineStr">
        <is>
          <t>LEKSAND</t>
        </is>
      </c>
      <c r="G613" t="n">
        <v>4.1</v>
      </c>
      <c r="H613" t="n">
        <v>0</v>
      </c>
      <c r="I613" t="n">
        <v>0</v>
      </c>
      <c r="J613" t="n">
        <v>0</v>
      </c>
      <c r="K613" t="n">
        <v>0</v>
      </c>
      <c r="L613" t="n">
        <v>0</v>
      </c>
      <c r="M613" t="n">
        <v>0</v>
      </c>
      <c r="N613" t="n">
        <v>0</v>
      </c>
      <c r="O613" t="n">
        <v>0</v>
      </c>
      <c r="P613" t="n">
        <v>0</v>
      </c>
      <c r="Q613" t="n">
        <v>0</v>
      </c>
      <c r="R613" s="2" t="inlineStr"/>
    </row>
    <row r="614" ht="15" customHeight="1">
      <c r="A614" t="inlineStr">
        <is>
          <t>A 1950-2026</t>
        </is>
      </c>
      <c r="B614" s="1" t="n">
        <v>46035</v>
      </c>
      <c r="C614" s="1" t="n">
        <v>46074</v>
      </c>
      <c r="D614" t="inlineStr">
        <is>
          <t>DALARNAS LÄN</t>
        </is>
      </c>
      <c r="E614" t="inlineStr">
        <is>
          <t>LEKSAND</t>
        </is>
      </c>
      <c r="G614" t="n">
        <v>5.3</v>
      </c>
      <c r="H614" t="n">
        <v>0</v>
      </c>
      <c r="I614" t="n">
        <v>0</v>
      </c>
      <c r="J614" t="n">
        <v>0</v>
      </c>
      <c r="K614" t="n">
        <v>0</v>
      </c>
      <c r="L614" t="n">
        <v>0</v>
      </c>
      <c r="M614" t="n">
        <v>0</v>
      </c>
      <c r="N614" t="n">
        <v>0</v>
      </c>
      <c r="O614" t="n">
        <v>0</v>
      </c>
      <c r="P614" t="n">
        <v>0</v>
      </c>
      <c r="Q614" t="n">
        <v>0</v>
      </c>
      <c r="R614" s="2" t="inlineStr"/>
    </row>
    <row r="615" ht="15" customHeight="1">
      <c r="A615" t="inlineStr">
        <is>
          <t>A 1960-2026</t>
        </is>
      </c>
      <c r="B615" s="1" t="n">
        <v>46035</v>
      </c>
      <c r="C615" s="1" t="n">
        <v>46074</v>
      </c>
      <c r="D615" t="inlineStr">
        <is>
          <t>DALARNAS LÄN</t>
        </is>
      </c>
      <c r="E615" t="inlineStr">
        <is>
          <t>LEKSAND</t>
        </is>
      </c>
      <c r="G615" t="n">
        <v>4.3</v>
      </c>
      <c r="H615" t="n">
        <v>0</v>
      </c>
      <c r="I615" t="n">
        <v>0</v>
      </c>
      <c r="J615" t="n">
        <v>0</v>
      </c>
      <c r="K615" t="n">
        <v>0</v>
      </c>
      <c r="L615" t="n">
        <v>0</v>
      </c>
      <c r="M615" t="n">
        <v>0</v>
      </c>
      <c r="N615" t="n">
        <v>0</v>
      </c>
      <c r="O615" t="n">
        <v>0</v>
      </c>
      <c r="P615" t="n">
        <v>0</v>
      </c>
      <c r="Q615" t="n">
        <v>0</v>
      </c>
      <c r="R615" s="2" t="inlineStr"/>
    </row>
    <row r="616" ht="15" customHeight="1">
      <c r="A616" t="inlineStr">
        <is>
          <t>A 4553-2026</t>
        </is>
      </c>
      <c r="B616" s="1" t="n">
        <v>46047.57818287037</v>
      </c>
      <c r="C616" s="1" t="n">
        <v>46074</v>
      </c>
      <c r="D616" t="inlineStr">
        <is>
          <t>DALARNAS LÄN</t>
        </is>
      </c>
      <c r="E616" t="inlineStr">
        <is>
          <t>LEKSAND</t>
        </is>
      </c>
      <c r="G616" t="n">
        <v>22.9</v>
      </c>
      <c r="H616" t="n">
        <v>0</v>
      </c>
      <c r="I616" t="n">
        <v>0</v>
      </c>
      <c r="J616" t="n">
        <v>0</v>
      </c>
      <c r="K616" t="n">
        <v>0</v>
      </c>
      <c r="L616" t="n">
        <v>0</v>
      </c>
      <c r="M616" t="n">
        <v>0</v>
      </c>
      <c r="N616" t="n">
        <v>0</v>
      </c>
      <c r="O616" t="n">
        <v>0</v>
      </c>
      <c r="P616" t="n">
        <v>0</v>
      </c>
      <c r="Q616" t="n">
        <v>0</v>
      </c>
      <c r="R616" s="2" t="inlineStr"/>
    </row>
    <row r="617" ht="15" customHeight="1">
      <c r="A617" t="inlineStr">
        <is>
          <t>A 5022-2026</t>
        </is>
      </c>
      <c r="B617" s="1" t="n">
        <v>46049.44449074074</v>
      </c>
      <c r="C617" s="1" t="n">
        <v>46074</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46074</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14504-2025</t>
        </is>
      </c>
      <c r="B619" s="1" t="n">
        <v>45741</v>
      </c>
      <c r="C619" s="1" t="n">
        <v>46074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5541-2026</t>
        </is>
      </c>
      <c r="B620" s="1" t="n">
        <v>46050.67326388889</v>
      </c>
      <c r="C620" s="1" t="n">
        <v>46074</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64516-2023</t>
        </is>
      </c>
      <c r="B621" s="1" t="n">
        <v>45280</v>
      </c>
      <c r="C621" s="1" t="n">
        <v>46074</v>
      </c>
      <c r="D621" t="inlineStr">
        <is>
          <t>DALARNAS LÄN</t>
        </is>
      </c>
      <c r="E621" t="inlineStr">
        <is>
          <t>LEKSAND</t>
        </is>
      </c>
      <c r="G621" t="n">
        <v>4.4</v>
      </c>
      <c r="H621" t="n">
        <v>0</v>
      </c>
      <c r="I621" t="n">
        <v>0</v>
      </c>
      <c r="J621" t="n">
        <v>0</v>
      </c>
      <c r="K621" t="n">
        <v>0</v>
      </c>
      <c r="L621" t="n">
        <v>0</v>
      </c>
      <c r="M621" t="n">
        <v>0</v>
      </c>
      <c r="N621" t="n">
        <v>0</v>
      </c>
      <c r="O621" t="n">
        <v>0</v>
      </c>
      <c r="P621" t="n">
        <v>0</v>
      </c>
      <c r="Q621" t="n">
        <v>0</v>
      </c>
      <c r="R621" s="2" t="inlineStr"/>
    </row>
    <row r="622" ht="15" customHeight="1">
      <c r="A622" t="inlineStr">
        <is>
          <t>A 45788-2021</t>
        </is>
      </c>
      <c r="B622" s="1" t="n">
        <v>44441</v>
      </c>
      <c r="C622" s="1" t="n">
        <v>46074</v>
      </c>
      <c r="D622" t="inlineStr">
        <is>
          <t>DALARNAS LÄN</t>
        </is>
      </c>
      <c r="E622" t="inlineStr">
        <is>
          <t>LEKSAND</t>
        </is>
      </c>
      <c r="G622" t="n">
        <v>3</v>
      </c>
      <c r="H622" t="n">
        <v>0</v>
      </c>
      <c r="I622" t="n">
        <v>0</v>
      </c>
      <c r="J622" t="n">
        <v>0</v>
      </c>
      <c r="K622" t="n">
        <v>0</v>
      </c>
      <c r="L622" t="n">
        <v>0</v>
      </c>
      <c r="M622" t="n">
        <v>0</v>
      </c>
      <c r="N622" t="n">
        <v>0</v>
      </c>
      <c r="O622" t="n">
        <v>0</v>
      </c>
      <c r="P622" t="n">
        <v>0</v>
      </c>
      <c r="Q622" t="n">
        <v>0</v>
      </c>
      <c r="R622" s="2" t="inlineStr"/>
    </row>
    <row r="623" ht="15" customHeight="1">
      <c r="A623" t="inlineStr">
        <is>
          <t>A 52977-2022</t>
        </is>
      </c>
      <c r="B623" s="1" t="n">
        <v>44875</v>
      </c>
      <c r="C623" s="1" t="n">
        <v>46074</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5615-2026</t>
        </is>
      </c>
      <c r="B624" s="1" t="n">
        <v>46051.36563657408</v>
      </c>
      <c r="C624" s="1" t="n">
        <v>46074</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43221-2024</t>
        </is>
      </c>
      <c r="B625" s="1" t="n">
        <v>45567.86695601852</v>
      </c>
      <c r="C625" s="1" t="n">
        <v>46074</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6249-2026</t>
        </is>
      </c>
      <c r="B626" s="1" t="n">
        <v>46055.47015046296</v>
      </c>
      <c r="C626" s="1" t="n">
        <v>46074</v>
      </c>
      <c r="D626" t="inlineStr">
        <is>
          <t>DALARNAS LÄN</t>
        </is>
      </c>
      <c r="E626" t="inlineStr">
        <is>
          <t>LEKSAND</t>
        </is>
      </c>
      <c r="G626" t="n">
        <v>3.4</v>
      </c>
      <c r="H626" t="n">
        <v>0</v>
      </c>
      <c r="I626" t="n">
        <v>0</v>
      </c>
      <c r="J626" t="n">
        <v>0</v>
      </c>
      <c r="K626" t="n">
        <v>0</v>
      </c>
      <c r="L626" t="n">
        <v>0</v>
      </c>
      <c r="M626" t="n">
        <v>0</v>
      </c>
      <c r="N626" t="n">
        <v>0</v>
      </c>
      <c r="O626" t="n">
        <v>0</v>
      </c>
      <c r="P626" t="n">
        <v>0</v>
      </c>
      <c r="Q626" t="n">
        <v>0</v>
      </c>
      <c r="R626" s="2" t="inlineStr"/>
    </row>
    <row r="627" ht="15" customHeight="1">
      <c r="A627" t="inlineStr">
        <is>
          <t>A 17589-2025</t>
        </is>
      </c>
      <c r="B627" s="1" t="n">
        <v>45757.67844907408</v>
      </c>
      <c r="C627" s="1" t="n">
        <v>46074</v>
      </c>
      <c r="D627" t="inlineStr">
        <is>
          <t>DALARNAS LÄN</t>
        </is>
      </c>
      <c r="E627" t="inlineStr">
        <is>
          <t>LEKSAND</t>
        </is>
      </c>
      <c r="G627" t="n">
        <v>5.8</v>
      </c>
      <c r="H627" t="n">
        <v>0</v>
      </c>
      <c r="I627" t="n">
        <v>0</v>
      </c>
      <c r="J627" t="n">
        <v>0</v>
      </c>
      <c r="K627" t="n">
        <v>0</v>
      </c>
      <c r="L627" t="n">
        <v>0</v>
      </c>
      <c r="M627" t="n">
        <v>0</v>
      </c>
      <c r="N627" t="n">
        <v>0</v>
      </c>
      <c r="O627" t="n">
        <v>0</v>
      </c>
      <c r="P627" t="n">
        <v>0</v>
      </c>
      <c r="Q627" t="n">
        <v>0</v>
      </c>
      <c r="R627" s="2" t="inlineStr"/>
    </row>
    <row r="628" ht="15" customHeight="1">
      <c r="A628" t="inlineStr">
        <is>
          <t>A 63360-2025</t>
        </is>
      </c>
      <c r="B628" s="1" t="n">
        <v>46010.67482638889</v>
      </c>
      <c r="C628" s="1" t="n">
        <v>46074</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6038-2026</t>
        </is>
      </c>
      <c r="B629" s="1" t="n">
        <v>46052.62013888889</v>
      </c>
      <c r="C629" s="1" t="n">
        <v>46074</v>
      </c>
      <c r="D629" t="inlineStr">
        <is>
          <t>DALARNAS LÄN</t>
        </is>
      </c>
      <c r="E629" t="inlineStr">
        <is>
          <t>LEKSAND</t>
        </is>
      </c>
      <c r="G629" t="n">
        <v>5.1</v>
      </c>
      <c r="H629" t="n">
        <v>0</v>
      </c>
      <c r="I629" t="n">
        <v>0</v>
      </c>
      <c r="J629" t="n">
        <v>0</v>
      </c>
      <c r="K629" t="n">
        <v>0</v>
      </c>
      <c r="L629" t="n">
        <v>0</v>
      </c>
      <c r="M629" t="n">
        <v>0</v>
      </c>
      <c r="N629" t="n">
        <v>0</v>
      </c>
      <c r="O629" t="n">
        <v>0</v>
      </c>
      <c r="P629" t="n">
        <v>0</v>
      </c>
      <c r="Q629" t="n">
        <v>0</v>
      </c>
      <c r="R629" s="2" t="inlineStr"/>
    </row>
    <row r="630" ht="15" customHeight="1">
      <c r="A630" t="inlineStr">
        <is>
          <t>A 29157-2022</t>
        </is>
      </c>
      <c r="B630" s="1" t="n">
        <v>44750.48355324074</v>
      </c>
      <c r="C630" s="1" t="n">
        <v>46074</v>
      </c>
      <c r="D630" t="inlineStr">
        <is>
          <t>DALARNAS LÄN</t>
        </is>
      </c>
      <c r="E630" t="inlineStr">
        <is>
          <t>LEKSAND</t>
        </is>
      </c>
      <c r="F630" t="inlineStr">
        <is>
          <t>Bergvik skog väst AB</t>
        </is>
      </c>
      <c r="G630" t="n">
        <v>2.7</v>
      </c>
      <c r="H630" t="n">
        <v>0</v>
      </c>
      <c r="I630" t="n">
        <v>0</v>
      </c>
      <c r="J630" t="n">
        <v>0</v>
      </c>
      <c r="K630" t="n">
        <v>0</v>
      </c>
      <c r="L630" t="n">
        <v>0</v>
      </c>
      <c r="M630" t="n">
        <v>0</v>
      </c>
      <c r="N630" t="n">
        <v>0</v>
      </c>
      <c r="O630" t="n">
        <v>0</v>
      </c>
      <c r="P630" t="n">
        <v>0</v>
      </c>
      <c r="Q630" t="n">
        <v>0</v>
      </c>
      <c r="R630" s="2" t="inlineStr"/>
    </row>
    <row r="631" ht="15" customHeight="1">
      <c r="A631" t="inlineStr">
        <is>
          <t>A 11080-2023</t>
        </is>
      </c>
      <c r="B631" s="1" t="n">
        <v>44992</v>
      </c>
      <c r="C631" s="1" t="n">
        <v>46074</v>
      </c>
      <c r="D631" t="inlineStr">
        <is>
          <t>DALARNAS LÄN</t>
        </is>
      </c>
      <c r="E631" t="inlineStr">
        <is>
          <t>LEKSAND</t>
        </is>
      </c>
      <c r="G631" t="n">
        <v>6.9</v>
      </c>
      <c r="H631" t="n">
        <v>0</v>
      </c>
      <c r="I631" t="n">
        <v>0</v>
      </c>
      <c r="J631" t="n">
        <v>0</v>
      </c>
      <c r="K631" t="n">
        <v>0</v>
      </c>
      <c r="L631" t="n">
        <v>0</v>
      </c>
      <c r="M631" t="n">
        <v>0</v>
      </c>
      <c r="N631" t="n">
        <v>0</v>
      </c>
      <c r="O631" t="n">
        <v>0</v>
      </c>
      <c r="P631" t="n">
        <v>0</v>
      </c>
      <c r="Q631" t="n">
        <v>0</v>
      </c>
      <c r="R631" s="2" t="inlineStr"/>
    </row>
    <row r="632" ht="15" customHeight="1">
      <c r="A632" t="inlineStr">
        <is>
          <t>A 6245-2026</t>
        </is>
      </c>
      <c r="B632" s="1" t="n">
        <v>46055.4678125</v>
      </c>
      <c r="C632" s="1" t="n">
        <v>46074</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320-2023</t>
        </is>
      </c>
      <c r="B633" s="1" t="n">
        <v>44929</v>
      </c>
      <c r="C633" s="1" t="n">
        <v>46074</v>
      </c>
      <c r="D633" t="inlineStr">
        <is>
          <t>DALARNAS LÄN</t>
        </is>
      </c>
      <c r="E633" t="inlineStr">
        <is>
          <t>LEKSAND</t>
        </is>
      </c>
      <c r="F633" t="inlineStr">
        <is>
          <t>Övriga Aktiebolag</t>
        </is>
      </c>
      <c r="G633" t="n">
        <v>5.4</v>
      </c>
      <c r="H633" t="n">
        <v>0</v>
      </c>
      <c r="I633" t="n">
        <v>0</v>
      </c>
      <c r="J633" t="n">
        <v>0</v>
      </c>
      <c r="K633" t="n">
        <v>0</v>
      </c>
      <c r="L633" t="n">
        <v>0</v>
      </c>
      <c r="M633" t="n">
        <v>0</v>
      </c>
      <c r="N633" t="n">
        <v>0</v>
      </c>
      <c r="O633" t="n">
        <v>0</v>
      </c>
      <c r="P633" t="n">
        <v>0</v>
      </c>
      <c r="Q633" t="n">
        <v>0</v>
      </c>
      <c r="R633" s="2" t="inlineStr"/>
    </row>
    <row r="634" ht="15" customHeight="1">
      <c r="A634" t="inlineStr">
        <is>
          <t>A 6212-2026</t>
        </is>
      </c>
      <c r="B634" s="1" t="n">
        <v>46055.42487268519</v>
      </c>
      <c r="C634" s="1" t="n">
        <v>46074</v>
      </c>
      <c r="D634" t="inlineStr">
        <is>
          <t>DALARNAS LÄN</t>
        </is>
      </c>
      <c r="E634" t="inlineStr">
        <is>
          <t>LEKSAND</t>
        </is>
      </c>
      <c r="G634" t="n">
        <v>3</v>
      </c>
      <c r="H634" t="n">
        <v>0</v>
      </c>
      <c r="I634" t="n">
        <v>0</v>
      </c>
      <c r="J634" t="n">
        <v>0</v>
      </c>
      <c r="K634" t="n">
        <v>0</v>
      </c>
      <c r="L634" t="n">
        <v>0</v>
      </c>
      <c r="M634" t="n">
        <v>0</v>
      </c>
      <c r="N634" t="n">
        <v>0</v>
      </c>
      <c r="O634" t="n">
        <v>0</v>
      </c>
      <c r="P634" t="n">
        <v>0</v>
      </c>
      <c r="Q634" t="n">
        <v>0</v>
      </c>
      <c r="R634" s="2" t="inlineStr"/>
    </row>
    <row r="635" ht="15" customHeight="1">
      <c r="A635" t="inlineStr">
        <is>
          <t>A 40181-2023</t>
        </is>
      </c>
      <c r="B635" s="1" t="n">
        <v>45169</v>
      </c>
      <c r="C635" s="1" t="n">
        <v>46074</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63544-2023</t>
        </is>
      </c>
      <c r="B636" s="1" t="n">
        <v>45275</v>
      </c>
      <c r="C636" s="1" t="n">
        <v>46074</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58877-2023</t>
        </is>
      </c>
      <c r="B637" s="1" t="n">
        <v>45252</v>
      </c>
      <c r="C637" s="1" t="n">
        <v>46074</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51377-2023</t>
        </is>
      </c>
      <c r="B638" s="1" t="n">
        <v>45219</v>
      </c>
      <c r="C638" s="1" t="n">
        <v>46074</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5989-2026</t>
        </is>
      </c>
      <c r="B639" s="1" t="n">
        <v>46052.56319444445</v>
      </c>
      <c r="C639" s="1" t="n">
        <v>46074</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63260-2025</t>
        </is>
      </c>
      <c r="B640" s="1" t="n">
        <v>46010.55725694444</v>
      </c>
      <c r="C640" s="1" t="n">
        <v>46074</v>
      </c>
      <c r="D640" t="inlineStr">
        <is>
          <t>DALARNAS LÄN</t>
        </is>
      </c>
      <c r="E640" t="inlineStr">
        <is>
          <t>LEKSAND</t>
        </is>
      </c>
      <c r="G640" t="n">
        <v>11.7</v>
      </c>
      <c r="H640" t="n">
        <v>0</v>
      </c>
      <c r="I640" t="n">
        <v>0</v>
      </c>
      <c r="J640" t="n">
        <v>0</v>
      </c>
      <c r="K640" t="n">
        <v>0</v>
      </c>
      <c r="L640" t="n">
        <v>0</v>
      </c>
      <c r="M640" t="n">
        <v>0</v>
      </c>
      <c r="N640" t="n">
        <v>0</v>
      </c>
      <c r="O640" t="n">
        <v>0</v>
      </c>
      <c r="P640" t="n">
        <v>0</v>
      </c>
      <c r="Q640" t="n">
        <v>0</v>
      </c>
      <c r="R640" s="2" t="inlineStr"/>
    </row>
    <row r="641" ht="15" customHeight="1">
      <c r="A641" t="inlineStr">
        <is>
          <t>A 5933-2026</t>
        </is>
      </c>
      <c r="B641" s="1" t="n">
        <v>46052.47052083333</v>
      </c>
      <c r="C641" s="1" t="n">
        <v>46074</v>
      </c>
      <c r="D641" t="inlineStr">
        <is>
          <t>DALARNAS LÄN</t>
        </is>
      </c>
      <c r="E641" t="inlineStr">
        <is>
          <t>LEKSAND</t>
        </is>
      </c>
      <c r="F641" t="inlineStr">
        <is>
          <t>Bergvik skog väst AB</t>
        </is>
      </c>
      <c r="G641" t="n">
        <v>14.4</v>
      </c>
      <c r="H641" t="n">
        <v>0</v>
      </c>
      <c r="I641" t="n">
        <v>0</v>
      </c>
      <c r="J641" t="n">
        <v>0</v>
      </c>
      <c r="K641" t="n">
        <v>0</v>
      </c>
      <c r="L641" t="n">
        <v>0</v>
      </c>
      <c r="M641" t="n">
        <v>0</v>
      </c>
      <c r="N641" t="n">
        <v>0</v>
      </c>
      <c r="O641" t="n">
        <v>0</v>
      </c>
      <c r="P641" t="n">
        <v>0</v>
      </c>
      <c r="Q641" t="n">
        <v>0</v>
      </c>
      <c r="R641" s="2" t="inlineStr"/>
    </row>
    <row r="642" ht="15" customHeight="1">
      <c r="A642" t="inlineStr">
        <is>
          <t>A 6937-2026</t>
        </is>
      </c>
      <c r="B642" s="1" t="n">
        <v>46057.56020833334</v>
      </c>
      <c r="C642" s="1" t="n">
        <v>46074</v>
      </c>
      <c r="D642" t="inlineStr">
        <is>
          <t>DALARNAS LÄN</t>
        </is>
      </c>
      <c r="E642" t="inlineStr">
        <is>
          <t>LEKSAND</t>
        </is>
      </c>
      <c r="F642" t="inlineStr">
        <is>
          <t>Bergvik skog väst AB</t>
        </is>
      </c>
      <c r="G642" t="n">
        <v>24.2</v>
      </c>
      <c r="H642" t="n">
        <v>0</v>
      </c>
      <c r="I642" t="n">
        <v>0</v>
      </c>
      <c r="J642" t="n">
        <v>0</v>
      </c>
      <c r="K642" t="n">
        <v>0</v>
      </c>
      <c r="L642" t="n">
        <v>0</v>
      </c>
      <c r="M642" t="n">
        <v>0</v>
      </c>
      <c r="N642" t="n">
        <v>0</v>
      </c>
      <c r="O642" t="n">
        <v>0</v>
      </c>
      <c r="P642" t="n">
        <v>0</v>
      </c>
      <c r="Q642" t="n">
        <v>0</v>
      </c>
      <c r="R642" s="2" t="inlineStr"/>
    </row>
    <row r="643" ht="15" customHeight="1">
      <c r="A643" t="inlineStr">
        <is>
          <t>A 52572-2024</t>
        </is>
      </c>
      <c r="B643" s="1" t="n">
        <v>45609.66488425926</v>
      </c>
      <c r="C643" s="1" t="n">
        <v>46074</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41853-2023</t>
        </is>
      </c>
      <c r="B644" s="1" t="n">
        <v>45176.62483796296</v>
      </c>
      <c r="C644" s="1" t="n">
        <v>46074</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27520-2023</t>
        </is>
      </c>
      <c r="B645" s="1" t="n">
        <v>45097</v>
      </c>
      <c r="C645" s="1" t="n">
        <v>46074</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63592-2025</t>
        </is>
      </c>
      <c r="B646" s="1" t="n">
        <v>46013.89994212963</v>
      </c>
      <c r="C646" s="1" t="n">
        <v>46074</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1946-2026</t>
        </is>
      </c>
      <c r="B647" s="1" t="n">
        <v>46035</v>
      </c>
      <c r="C647" s="1" t="n">
        <v>46074</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55926-2024</t>
        </is>
      </c>
      <c r="B648" s="1" t="n">
        <v>45623.601875</v>
      </c>
      <c r="C648" s="1" t="n">
        <v>46074</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49405-2024</t>
        </is>
      </c>
      <c r="B649" s="1" t="n">
        <v>45595</v>
      </c>
      <c r="C649" s="1" t="n">
        <v>46074</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5691-2026</t>
        </is>
      </c>
      <c r="B650" s="1" t="n">
        <v>46051.49348379629</v>
      </c>
      <c r="C650" s="1" t="n">
        <v>46074</v>
      </c>
      <c r="D650" t="inlineStr">
        <is>
          <t>DALARNAS LÄN</t>
        </is>
      </c>
      <c r="E650" t="inlineStr">
        <is>
          <t>LEKSAND</t>
        </is>
      </c>
      <c r="G650" t="n">
        <v>2.9</v>
      </c>
      <c r="H650" t="n">
        <v>0</v>
      </c>
      <c r="I650" t="n">
        <v>0</v>
      </c>
      <c r="J650" t="n">
        <v>0</v>
      </c>
      <c r="K650" t="n">
        <v>0</v>
      </c>
      <c r="L650" t="n">
        <v>0</v>
      </c>
      <c r="M650" t="n">
        <v>0</v>
      </c>
      <c r="N650" t="n">
        <v>0</v>
      </c>
      <c r="O650" t="n">
        <v>0</v>
      </c>
      <c r="P650" t="n">
        <v>0</v>
      </c>
      <c r="Q650" t="n">
        <v>0</v>
      </c>
      <c r="R650" s="2" t="inlineStr"/>
    </row>
    <row r="651" ht="15" customHeight="1">
      <c r="A651" t="inlineStr">
        <is>
          <t>A 6463-2026</t>
        </is>
      </c>
      <c r="B651" s="1" t="n">
        <v>46056.30674768519</v>
      </c>
      <c r="C651" s="1" t="n">
        <v>46074</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58674-2025</t>
        </is>
      </c>
      <c r="B652" s="1" t="n">
        <v>45986.55810185185</v>
      </c>
      <c r="C652" s="1" t="n">
        <v>46074</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17078-2023</t>
        </is>
      </c>
      <c r="B653" s="1" t="n">
        <v>45034</v>
      </c>
      <c r="C653" s="1" t="n">
        <v>46074</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11110-2023</t>
        </is>
      </c>
      <c r="B654" s="1" t="n">
        <v>44992</v>
      </c>
      <c r="C654" s="1" t="n">
        <v>46074</v>
      </c>
      <c r="D654" t="inlineStr">
        <is>
          <t>DALARNAS LÄN</t>
        </is>
      </c>
      <c r="E654" t="inlineStr">
        <is>
          <t>LEKSAND</t>
        </is>
      </c>
      <c r="G654" t="n">
        <v>11.2</v>
      </c>
      <c r="H654" t="n">
        <v>0</v>
      </c>
      <c r="I654" t="n">
        <v>0</v>
      </c>
      <c r="J654" t="n">
        <v>0</v>
      </c>
      <c r="K654" t="n">
        <v>0</v>
      </c>
      <c r="L654" t="n">
        <v>0</v>
      </c>
      <c r="M654" t="n">
        <v>0</v>
      </c>
      <c r="N654" t="n">
        <v>0</v>
      </c>
      <c r="O654" t="n">
        <v>0</v>
      </c>
      <c r="P654" t="n">
        <v>0</v>
      </c>
      <c r="Q654" t="n">
        <v>0</v>
      </c>
      <c r="R654" s="2" t="inlineStr"/>
    </row>
    <row r="655" ht="15" customHeight="1">
      <c r="A655" t="inlineStr">
        <is>
          <t>A 6926-2026</t>
        </is>
      </c>
      <c r="B655" s="1" t="n">
        <v>46057</v>
      </c>
      <c r="C655" s="1" t="n">
        <v>46074</v>
      </c>
      <c r="D655" t="inlineStr">
        <is>
          <t>DALARNAS LÄN</t>
        </is>
      </c>
      <c r="E655" t="inlineStr">
        <is>
          <t>LEKSAND</t>
        </is>
      </c>
      <c r="F655" t="inlineStr">
        <is>
          <t>Bergvik skog väst AB</t>
        </is>
      </c>
      <c r="G655" t="n">
        <v>22.7</v>
      </c>
      <c r="H655" t="n">
        <v>0</v>
      </c>
      <c r="I655" t="n">
        <v>0</v>
      </c>
      <c r="J655" t="n">
        <v>0</v>
      </c>
      <c r="K655" t="n">
        <v>0</v>
      </c>
      <c r="L655" t="n">
        <v>0</v>
      </c>
      <c r="M655" t="n">
        <v>0</v>
      </c>
      <c r="N655" t="n">
        <v>0</v>
      </c>
      <c r="O655" t="n">
        <v>0</v>
      </c>
      <c r="P655" t="n">
        <v>0</v>
      </c>
      <c r="Q655" t="n">
        <v>0</v>
      </c>
      <c r="R655" s="2" t="inlineStr"/>
    </row>
    <row r="656" ht="15" customHeight="1">
      <c r="A656" t="inlineStr">
        <is>
          <t>A 56059-2024</t>
        </is>
      </c>
      <c r="B656" s="1" t="n">
        <v>45624.36729166667</v>
      </c>
      <c r="C656" s="1" t="n">
        <v>46074</v>
      </c>
      <c r="D656" t="inlineStr">
        <is>
          <t>DALARNAS LÄN</t>
        </is>
      </c>
      <c r="E656" t="inlineStr">
        <is>
          <t>LEKSAND</t>
        </is>
      </c>
      <c r="G656" t="n">
        <v>3.1</v>
      </c>
      <c r="H656" t="n">
        <v>0</v>
      </c>
      <c r="I656" t="n">
        <v>0</v>
      </c>
      <c r="J656" t="n">
        <v>0</v>
      </c>
      <c r="K656" t="n">
        <v>0</v>
      </c>
      <c r="L656" t="n">
        <v>0</v>
      </c>
      <c r="M656" t="n">
        <v>0</v>
      </c>
      <c r="N656" t="n">
        <v>0</v>
      </c>
      <c r="O656" t="n">
        <v>0</v>
      </c>
      <c r="P656" t="n">
        <v>0</v>
      </c>
      <c r="Q656" t="n">
        <v>0</v>
      </c>
      <c r="R656" s="2" t="inlineStr"/>
    </row>
    <row r="657" ht="15" customHeight="1">
      <c r="A657" t="inlineStr">
        <is>
          <t>A 45943-2022</t>
        </is>
      </c>
      <c r="B657" s="1" t="n">
        <v>44846.64418981481</v>
      </c>
      <c r="C657" s="1" t="n">
        <v>46074</v>
      </c>
      <c r="D657" t="inlineStr">
        <is>
          <t>DALARNAS LÄN</t>
        </is>
      </c>
      <c r="E657" t="inlineStr">
        <is>
          <t>LEKSAND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7928-2023</t>
        </is>
      </c>
      <c r="B658" s="1" t="n">
        <v>44973</v>
      </c>
      <c r="C658" s="1" t="n">
        <v>46074</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63969-2025</t>
        </is>
      </c>
      <c r="B659" s="1" t="n">
        <v>46021</v>
      </c>
      <c r="C659" s="1" t="n">
        <v>46074</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60113-2022</t>
        </is>
      </c>
      <c r="B660" s="1" t="n">
        <v>44909</v>
      </c>
      <c r="C660" s="1" t="n">
        <v>46074</v>
      </c>
      <c r="D660" t="inlineStr">
        <is>
          <t>DALARNAS LÄN</t>
        </is>
      </c>
      <c r="E660" t="inlineStr">
        <is>
          <t>LEKSAND</t>
        </is>
      </c>
      <c r="G660" t="n">
        <v>3.7</v>
      </c>
      <c r="H660" t="n">
        <v>0</v>
      </c>
      <c r="I660" t="n">
        <v>0</v>
      </c>
      <c r="J660" t="n">
        <v>0</v>
      </c>
      <c r="K660" t="n">
        <v>0</v>
      </c>
      <c r="L660" t="n">
        <v>0</v>
      </c>
      <c r="M660" t="n">
        <v>0</v>
      </c>
      <c r="N660" t="n">
        <v>0</v>
      </c>
      <c r="O660" t="n">
        <v>0</v>
      </c>
      <c r="P660" t="n">
        <v>0</v>
      </c>
      <c r="Q660" t="n">
        <v>0</v>
      </c>
      <c r="R660" s="2" t="inlineStr"/>
    </row>
    <row r="661" ht="15" customHeight="1">
      <c r="A661" t="inlineStr">
        <is>
          <t>A 19550-2023</t>
        </is>
      </c>
      <c r="B661" s="1" t="n">
        <v>45049</v>
      </c>
      <c r="C661" s="1" t="n">
        <v>46074</v>
      </c>
      <c r="D661" t="inlineStr">
        <is>
          <t>DALARNAS LÄN</t>
        </is>
      </c>
      <c r="E661" t="inlineStr">
        <is>
          <t>LEKSAND</t>
        </is>
      </c>
      <c r="G661" t="n">
        <v>1.1</v>
      </c>
      <c r="H661" t="n">
        <v>0</v>
      </c>
      <c r="I661" t="n">
        <v>0</v>
      </c>
      <c r="J661" t="n">
        <v>0</v>
      </c>
      <c r="K661" t="n">
        <v>0</v>
      </c>
      <c r="L661" t="n">
        <v>0</v>
      </c>
      <c r="M661" t="n">
        <v>0</v>
      </c>
      <c r="N661" t="n">
        <v>0</v>
      </c>
      <c r="O661" t="n">
        <v>0</v>
      </c>
      <c r="P661" t="n">
        <v>0</v>
      </c>
      <c r="Q661" t="n">
        <v>0</v>
      </c>
      <c r="R661" s="2" t="inlineStr"/>
    </row>
    <row r="662" ht="15" customHeight="1">
      <c r="A662" t="inlineStr">
        <is>
          <t>A 31915-2024</t>
        </is>
      </c>
      <c r="B662" s="1" t="n">
        <v>45510.38956018518</v>
      </c>
      <c r="C662" s="1" t="n">
        <v>46074</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63757-2025</t>
        </is>
      </c>
      <c r="B663" s="1" t="n">
        <v>46018.42364583333</v>
      </c>
      <c r="C663" s="1" t="n">
        <v>46074</v>
      </c>
      <c r="D663" t="inlineStr">
        <is>
          <t>DALARNAS LÄN</t>
        </is>
      </c>
      <c r="E663" t="inlineStr">
        <is>
          <t>LEKSAND</t>
        </is>
      </c>
      <c r="G663" t="n">
        <v>4</v>
      </c>
      <c r="H663" t="n">
        <v>0</v>
      </c>
      <c r="I663" t="n">
        <v>0</v>
      </c>
      <c r="J663" t="n">
        <v>0</v>
      </c>
      <c r="K663" t="n">
        <v>0</v>
      </c>
      <c r="L663" t="n">
        <v>0</v>
      </c>
      <c r="M663" t="n">
        <v>0</v>
      </c>
      <c r="N663" t="n">
        <v>0</v>
      </c>
      <c r="O663" t="n">
        <v>0</v>
      </c>
      <c r="P663" t="n">
        <v>0</v>
      </c>
      <c r="Q663" t="n">
        <v>0</v>
      </c>
      <c r="R663" s="2" t="inlineStr"/>
    </row>
    <row r="664" ht="15" customHeight="1">
      <c r="A664" t="inlineStr">
        <is>
          <t>A 51480-2022</t>
        </is>
      </c>
      <c r="B664" s="1" t="n">
        <v>44869.57961805556</v>
      </c>
      <c r="C664" s="1" t="n">
        <v>46074</v>
      </c>
      <c r="D664" t="inlineStr">
        <is>
          <t>DALARNAS LÄN</t>
        </is>
      </c>
      <c r="E664" t="inlineStr">
        <is>
          <t>LEKSAND</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63906-2025</t>
        </is>
      </c>
      <c r="B665" s="1" t="n">
        <v>46020</v>
      </c>
      <c r="C665" s="1" t="n">
        <v>46074</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3516-2026</t>
        </is>
      </c>
      <c r="B666" s="1" t="n">
        <v>46042</v>
      </c>
      <c r="C666" s="1" t="n">
        <v>46074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43220-2024</t>
        </is>
      </c>
      <c r="B667" s="1" t="n">
        <v>45567.86112268519</v>
      </c>
      <c r="C667" s="1" t="n">
        <v>46074</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63961-2025</t>
        </is>
      </c>
      <c r="B668" s="1" t="n">
        <v>46020</v>
      </c>
      <c r="C668" s="1" t="n">
        <v>46074</v>
      </c>
      <c r="D668" t="inlineStr">
        <is>
          <t>DALARNAS LÄN</t>
        </is>
      </c>
      <c r="E668" t="inlineStr">
        <is>
          <t>LEKSAND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63968-2025</t>
        </is>
      </c>
      <c r="B669" s="1" t="n">
        <v>46021.32299768519</v>
      </c>
      <c r="C669" s="1" t="n">
        <v>46074</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63792-2025</t>
        </is>
      </c>
      <c r="B670" s="1" t="n">
        <v>46019</v>
      </c>
      <c r="C670" s="1" t="n">
        <v>46074</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63967-2025</t>
        </is>
      </c>
      <c r="B671" s="1" t="n">
        <v>46021.31668981481</v>
      </c>
      <c r="C671" s="1" t="n">
        <v>46074</v>
      </c>
      <c r="D671" t="inlineStr">
        <is>
          <t>DALARNAS LÄN</t>
        </is>
      </c>
      <c r="E671" t="inlineStr">
        <is>
          <t>LEKSAND</t>
        </is>
      </c>
      <c r="G671" t="n">
        <v>6.4</v>
      </c>
      <c r="H671" t="n">
        <v>0</v>
      </c>
      <c r="I671" t="n">
        <v>0</v>
      </c>
      <c r="J671" t="n">
        <v>0</v>
      </c>
      <c r="K671" t="n">
        <v>0</v>
      </c>
      <c r="L671" t="n">
        <v>0</v>
      </c>
      <c r="M671" t="n">
        <v>0</v>
      </c>
      <c r="N671" t="n">
        <v>0</v>
      </c>
      <c r="O671" t="n">
        <v>0</v>
      </c>
      <c r="P671" t="n">
        <v>0</v>
      </c>
      <c r="Q671" t="n">
        <v>0</v>
      </c>
      <c r="R671" s="2" t="inlineStr"/>
    </row>
    <row r="672" ht="15" customHeight="1">
      <c r="A672" t="inlineStr">
        <is>
          <t>A 7606-2026</t>
        </is>
      </c>
      <c r="B672" s="1" t="n">
        <v>46062.30232638889</v>
      </c>
      <c r="C672" s="1" t="n">
        <v>46074</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6658-2026</t>
        </is>
      </c>
      <c r="B673" s="1" t="n">
        <v>46056</v>
      </c>
      <c r="C673" s="1" t="n">
        <v>46074</v>
      </c>
      <c r="D673" t="inlineStr">
        <is>
          <t>DALARNAS LÄN</t>
        </is>
      </c>
      <c r="E673" t="inlineStr">
        <is>
          <t>LEKSAND</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63972-2025</t>
        </is>
      </c>
      <c r="B674" s="1" t="n">
        <v>46021</v>
      </c>
      <c r="C674" s="1" t="n">
        <v>46074</v>
      </c>
      <c r="D674" t="inlineStr">
        <is>
          <t>DALARNAS LÄN</t>
        </is>
      </c>
      <c r="E674" t="inlineStr">
        <is>
          <t>LEKSAND</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49397-2024</t>
        </is>
      </c>
      <c r="B675" s="1" t="n">
        <v>45595</v>
      </c>
      <c r="C675" s="1" t="n">
        <v>46074</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64101-2025</t>
        </is>
      </c>
      <c r="B676" s="1" t="n">
        <v>46021</v>
      </c>
      <c r="C676" s="1" t="n">
        <v>46074</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3831-2026</t>
        </is>
      </c>
      <c r="B677" s="1" t="n">
        <v>46043</v>
      </c>
      <c r="C677" s="1" t="n">
        <v>46074</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63905-2025</t>
        </is>
      </c>
      <c r="B678" s="1" t="n">
        <v>46020</v>
      </c>
      <c r="C678" s="1" t="n">
        <v>46074</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57907-2024</t>
        </is>
      </c>
      <c r="B679" s="1" t="n">
        <v>45630</v>
      </c>
      <c r="C679" s="1" t="n">
        <v>46074</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4184-2026</t>
        </is>
      </c>
      <c r="B680" s="1" t="n">
        <v>46044</v>
      </c>
      <c r="C680" s="1" t="n">
        <v>46074</v>
      </c>
      <c r="D680" t="inlineStr">
        <is>
          <t>DALARNAS LÄN</t>
        </is>
      </c>
      <c r="E680" t="inlineStr">
        <is>
          <t>LEKSAND</t>
        </is>
      </c>
      <c r="G680" t="n">
        <v>6</v>
      </c>
      <c r="H680" t="n">
        <v>0</v>
      </c>
      <c r="I680" t="n">
        <v>0</v>
      </c>
      <c r="J680" t="n">
        <v>0</v>
      </c>
      <c r="K680" t="n">
        <v>0</v>
      </c>
      <c r="L680" t="n">
        <v>0</v>
      </c>
      <c r="M680" t="n">
        <v>0</v>
      </c>
      <c r="N680" t="n">
        <v>0</v>
      </c>
      <c r="O680" t="n">
        <v>0</v>
      </c>
      <c r="P680" t="n">
        <v>0</v>
      </c>
      <c r="Q680" t="n">
        <v>0</v>
      </c>
      <c r="R680" s="2" t="inlineStr"/>
    </row>
    <row r="681" ht="15" customHeight="1">
      <c r="A681" t="inlineStr">
        <is>
          <t>A 63890-2025</t>
        </is>
      </c>
      <c r="B681" s="1" t="n">
        <v>46020.63613425926</v>
      </c>
      <c r="C681" s="1" t="n">
        <v>46074</v>
      </c>
      <c r="D681" t="inlineStr">
        <is>
          <t>DALARNAS LÄN</t>
        </is>
      </c>
      <c r="E681" t="inlineStr">
        <is>
          <t>LEKSAND</t>
        </is>
      </c>
      <c r="G681" t="n">
        <v>3.3</v>
      </c>
      <c r="H681" t="n">
        <v>0</v>
      </c>
      <c r="I681" t="n">
        <v>0</v>
      </c>
      <c r="J681" t="n">
        <v>0</v>
      </c>
      <c r="K681" t="n">
        <v>0</v>
      </c>
      <c r="L681" t="n">
        <v>0</v>
      </c>
      <c r="M681" t="n">
        <v>0</v>
      </c>
      <c r="N681" t="n">
        <v>0</v>
      </c>
      <c r="O681" t="n">
        <v>0</v>
      </c>
      <c r="P681" t="n">
        <v>0</v>
      </c>
      <c r="Q681" t="n">
        <v>0</v>
      </c>
      <c r="R681" s="2" t="inlineStr"/>
    </row>
    <row r="682" ht="15" customHeight="1">
      <c r="A682" t="inlineStr">
        <is>
          <t>A 1899-2026</t>
        </is>
      </c>
      <c r="B682" s="1" t="n">
        <v>46035</v>
      </c>
      <c r="C682" s="1" t="n">
        <v>46074</v>
      </c>
      <c r="D682" t="inlineStr">
        <is>
          <t>DALARNAS LÄN</t>
        </is>
      </c>
      <c r="E682" t="inlineStr">
        <is>
          <t>LEKSAND</t>
        </is>
      </c>
      <c r="G682" t="n">
        <v>3.6</v>
      </c>
      <c r="H682" t="n">
        <v>0</v>
      </c>
      <c r="I682" t="n">
        <v>0</v>
      </c>
      <c r="J682" t="n">
        <v>0</v>
      </c>
      <c r="K682" t="n">
        <v>0</v>
      </c>
      <c r="L682" t="n">
        <v>0</v>
      </c>
      <c r="M682" t="n">
        <v>0</v>
      </c>
      <c r="N682" t="n">
        <v>0</v>
      </c>
      <c r="O682" t="n">
        <v>0</v>
      </c>
      <c r="P682" t="n">
        <v>0</v>
      </c>
      <c r="Q682" t="n">
        <v>0</v>
      </c>
      <c r="R682" s="2" t="inlineStr"/>
    </row>
    <row r="683" ht="15" customHeight="1">
      <c r="A683" t="inlineStr">
        <is>
          <t>A 63894-2025</t>
        </is>
      </c>
      <c r="B683" s="1" t="n">
        <v>46020.6441087963</v>
      </c>
      <c r="C683" s="1" t="n">
        <v>46074</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63898-2025</t>
        </is>
      </c>
      <c r="B684" s="1" t="n">
        <v>46020</v>
      </c>
      <c r="C684" s="1" t="n">
        <v>46074</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64096-2025</t>
        </is>
      </c>
      <c r="B685" s="1" t="n">
        <v>46021</v>
      </c>
      <c r="C685" s="1" t="n">
        <v>46074</v>
      </c>
      <c r="D685" t="inlineStr">
        <is>
          <t>DALARNAS LÄN</t>
        </is>
      </c>
      <c r="E685" t="inlineStr">
        <is>
          <t>LEKSAND</t>
        </is>
      </c>
      <c r="G685" t="n">
        <v>4.5</v>
      </c>
      <c r="H685" t="n">
        <v>0</v>
      </c>
      <c r="I685" t="n">
        <v>0</v>
      </c>
      <c r="J685" t="n">
        <v>0</v>
      </c>
      <c r="K685" t="n">
        <v>0</v>
      </c>
      <c r="L685" t="n">
        <v>0</v>
      </c>
      <c r="M685" t="n">
        <v>0</v>
      </c>
      <c r="N685" t="n">
        <v>0</v>
      </c>
      <c r="O685" t="n">
        <v>0</v>
      </c>
      <c r="P685" t="n">
        <v>0</v>
      </c>
      <c r="Q685" t="n">
        <v>0</v>
      </c>
      <c r="R685" s="2" t="inlineStr"/>
    </row>
    <row r="686" ht="15" customHeight="1">
      <c r="A686" t="inlineStr">
        <is>
          <t>A 64099-2025</t>
        </is>
      </c>
      <c r="B686" s="1" t="n">
        <v>46021</v>
      </c>
      <c r="C686" s="1" t="n">
        <v>46074</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4460-2026</t>
        </is>
      </c>
      <c r="B687" s="1" t="n">
        <v>46045.64884259259</v>
      </c>
      <c r="C687" s="1" t="n">
        <v>46074</v>
      </c>
      <c r="D687" t="inlineStr">
        <is>
          <t>DALARNAS LÄN</t>
        </is>
      </c>
      <c r="E687" t="inlineStr">
        <is>
          <t>LEKSAND</t>
        </is>
      </c>
      <c r="G687" t="n">
        <v>11.6</v>
      </c>
      <c r="H687" t="n">
        <v>0</v>
      </c>
      <c r="I687" t="n">
        <v>0</v>
      </c>
      <c r="J687" t="n">
        <v>0</v>
      </c>
      <c r="K687" t="n">
        <v>0</v>
      </c>
      <c r="L687" t="n">
        <v>0</v>
      </c>
      <c r="M687" t="n">
        <v>0</v>
      </c>
      <c r="N687" t="n">
        <v>0</v>
      </c>
      <c r="O687" t="n">
        <v>0</v>
      </c>
      <c r="P687" t="n">
        <v>0</v>
      </c>
      <c r="Q687" t="n">
        <v>0</v>
      </c>
      <c r="R687" s="2" t="inlineStr"/>
    </row>
    <row r="688" ht="15" customHeight="1">
      <c r="A688" t="inlineStr">
        <is>
          <t>A 5590-2026</t>
        </is>
      </c>
      <c r="B688" s="1" t="n">
        <v>46051</v>
      </c>
      <c r="C688" s="1" t="n">
        <v>46074</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5597-2026</t>
        </is>
      </c>
      <c r="B689" s="1" t="n">
        <v>46051</v>
      </c>
      <c r="C689" s="1" t="n">
        <v>46074</v>
      </c>
      <c r="D689" t="inlineStr">
        <is>
          <t>DALARNAS LÄN</t>
        </is>
      </c>
      <c r="E689" t="inlineStr">
        <is>
          <t>LEKSAND</t>
        </is>
      </c>
      <c r="G689" t="n">
        <v>1.6</v>
      </c>
      <c r="H689" t="n">
        <v>0</v>
      </c>
      <c r="I689" t="n">
        <v>0</v>
      </c>
      <c r="J689" t="n">
        <v>0</v>
      </c>
      <c r="K689" t="n">
        <v>0</v>
      </c>
      <c r="L689" t="n">
        <v>0</v>
      </c>
      <c r="M689" t="n">
        <v>0</v>
      </c>
      <c r="N689" t="n">
        <v>0</v>
      </c>
      <c r="O689" t="n">
        <v>0</v>
      </c>
      <c r="P689" t="n">
        <v>0</v>
      </c>
      <c r="Q689" t="n">
        <v>0</v>
      </c>
      <c r="R689" s="2" t="inlineStr"/>
    </row>
    <row r="690" ht="15" customHeight="1">
      <c r="A690" t="inlineStr">
        <is>
          <t>A 9105-2024</t>
        </is>
      </c>
      <c r="B690" s="1" t="n">
        <v>45357</v>
      </c>
      <c r="C690" s="1" t="n">
        <v>46074</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8211-2026</t>
        </is>
      </c>
      <c r="B691" s="1" t="n">
        <v>46064</v>
      </c>
      <c r="C691" s="1" t="n">
        <v>46074</v>
      </c>
      <c r="D691" t="inlineStr">
        <is>
          <t>DALARNAS LÄN</t>
        </is>
      </c>
      <c r="E691" t="inlineStr">
        <is>
          <t>LEKSAND</t>
        </is>
      </c>
      <c r="G691" t="n">
        <v>4.9</v>
      </c>
      <c r="H691" t="n">
        <v>0</v>
      </c>
      <c r="I691" t="n">
        <v>0</v>
      </c>
      <c r="J691" t="n">
        <v>0</v>
      </c>
      <c r="K691" t="n">
        <v>0</v>
      </c>
      <c r="L691" t="n">
        <v>0</v>
      </c>
      <c r="M691" t="n">
        <v>0</v>
      </c>
      <c r="N691" t="n">
        <v>0</v>
      </c>
      <c r="O691" t="n">
        <v>0</v>
      </c>
      <c r="P691" t="n">
        <v>0</v>
      </c>
      <c r="Q691" t="n">
        <v>0</v>
      </c>
      <c r="R691" s="2" t="inlineStr"/>
    </row>
    <row r="692" ht="15" customHeight="1">
      <c r="A692" t="inlineStr">
        <is>
          <t>A 24005-2024</t>
        </is>
      </c>
      <c r="B692" s="1" t="n">
        <v>45456.39239583333</v>
      </c>
      <c r="C692" s="1" t="n">
        <v>46074</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61225-2023</t>
        </is>
      </c>
      <c r="B693" s="1" t="n">
        <v>45264</v>
      </c>
      <c r="C693" s="1" t="n">
        <v>46074</v>
      </c>
      <c r="D693" t="inlineStr">
        <is>
          <t>DALARNAS LÄN</t>
        </is>
      </c>
      <c r="E693" t="inlineStr">
        <is>
          <t>LEKSAND</t>
        </is>
      </c>
      <c r="G693" t="n">
        <v>7</v>
      </c>
      <c r="H693" t="n">
        <v>0</v>
      </c>
      <c r="I693" t="n">
        <v>0</v>
      </c>
      <c r="J693" t="n">
        <v>0</v>
      </c>
      <c r="K693" t="n">
        <v>0</v>
      </c>
      <c r="L693" t="n">
        <v>0</v>
      </c>
      <c r="M693" t="n">
        <v>0</v>
      </c>
      <c r="N693" t="n">
        <v>0</v>
      </c>
      <c r="O693" t="n">
        <v>0</v>
      </c>
      <c r="P693" t="n">
        <v>0</v>
      </c>
      <c r="Q693" t="n">
        <v>0</v>
      </c>
      <c r="R693" s="2" t="inlineStr"/>
    </row>
    <row r="694" ht="15" customHeight="1">
      <c r="A694" t="inlineStr">
        <is>
          <t>A 15968-2025</t>
        </is>
      </c>
      <c r="B694" s="1" t="n">
        <v>45749.54818287037</v>
      </c>
      <c r="C694" s="1" t="n">
        <v>46074</v>
      </c>
      <c r="D694" t="inlineStr">
        <is>
          <t>DALARNAS LÄN</t>
        </is>
      </c>
      <c r="E694" t="inlineStr">
        <is>
          <t>LEKSAND</t>
        </is>
      </c>
      <c r="G694" t="n">
        <v>3.2</v>
      </c>
      <c r="H694" t="n">
        <v>0</v>
      </c>
      <c r="I694" t="n">
        <v>0</v>
      </c>
      <c r="J694" t="n">
        <v>0</v>
      </c>
      <c r="K694" t="n">
        <v>0</v>
      </c>
      <c r="L694" t="n">
        <v>0</v>
      </c>
      <c r="M694" t="n">
        <v>0</v>
      </c>
      <c r="N694" t="n">
        <v>0</v>
      </c>
      <c r="O694" t="n">
        <v>0</v>
      </c>
      <c r="P694" t="n">
        <v>0</v>
      </c>
      <c r="Q694" t="n">
        <v>0</v>
      </c>
      <c r="R694" s="2" t="inlineStr"/>
    </row>
    <row r="695" ht="15" customHeight="1">
      <c r="A695" t="inlineStr">
        <is>
          <t>A 30196-2023</t>
        </is>
      </c>
      <c r="B695" s="1" t="n">
        <v>45110</v>
      </c>
      <c r="C695" s="1" t="n">
        <v>46074</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139-2026</t>
        </is>
      </c>
      <c r="B696" s="1" t="n">
        <v>46024</v>
      </c>
      <c r="C696" s="1" t="n">
        <v>46074</v>
      </c>
      <c r="D696" t="inlineStr">
        <is>
          <t>DALARNAS LÄN</t>
        </is>
      </c>
      <c r="E696" t="inlineStr">
        <is>
          <t>LEKSAND</t>
        </is>
      </c>
      <c r="G696" t="n">
        <v>4</v>
      </c>
      <c r="H696" t="n">
        <v>0</v>
      </c>
      <c r="I696" t="n">
        <v>0</v>
      </c>
      <c r="J696" t="n">
        <v>0</v>
      </c>
      <c r="K696" t="n">
        <v>0</v>
      </c>
      <c r="L696" t="n">
        <v>0</v>
      </c>
      <c r="M696" t="n">
        <v>0</v>
      </c>
      <c r="N696" t="n">
        <v>0</v>
      </c>
      <c r="O696" t="n">
        <v>0</v>
      </c>
      <c r="P696" t="n">
        <v>0</v>
      </c>
      <c r="Q696" t="n">
        <v>0</v>
      </c>
      <c r="R696" s="2" t="inlineStr"/>
    </row>
    <row r="697" ht="15" customHeight="1">
      <c r="A697" t="inlineStr">
        <is>
          <t>A 10833-2023</t>
        </is>
      </c>
      <c r="B697" s="1" t="n">
        <v>44990</v>
      </c>
      <c r="C697" s="1" t="n">
        <v>46074</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47121-2021</t>
        </is>
      </c>
      <c r="B698" s="1" t="n">
        <v>44446</v>
      </c>
      <c r="C698" s="1" t="n">
        <v>46074</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36444-2023</t>
        </is>
      </c>
      <c r="B699" s="1" t="n">
        <v>45152.63138888889</v>
      </c>
      <c r="C699" s="1" t="n">
        <v>46074</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21402-2023</t>
        </is>
      </c>
      <c r="B700" s="1" t="n">
        <v>45061</v>
      </c>
      <c r="C700" s="1" t="n">
        <v>46074</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31391-2024</t>
        </is>
      </c>
      <c r="B701" s="1" t="n">
        <v>45505.46616898148</v>
      </c>
      <c r="C701" s="1" t="n">
        <v>46074</v>
      </c>
      <c r="D701" t="inlineStr">
        <is>
          <t>DALARNAS LÄN</t>
        </is>
      </c>
      <c r="E701" t="inlineStr">
        <is>
          <t>LEKSAND</t>
        </is>
      </c>
      <c r="F701" t="inlineStr">
        <is>
          <t>Bergvik skog väst AB</t>
        </is>
      </c>
      <c r="G701" t="n">
        <v>2.7</v>
      </c>
      <c r="H701" t="n">
        <v>0</v>
      </c>
      <c r="I701" t="n">
        <v>0</v>
      </c>
      <c r="J701" t="n">
        <v>0</v>
      </c>
      <c r="K701" t="n">
        <v>0</v>
      </c>
      <c r="L701" t="n">
        <v>0</v>
      </c>
      <c r="M701" t="n">
        <v>0</v>
      </c>
      <c r="N701" t="n">
        <v>0</v>
      </c>
      <c r="O701" t="n">
        <v>0</v>
      </c>
      <c r="P701" t="n">
        <v>0</v>
      </c>
      <c r="Q701" t="n">
        <v>0</v>
      </c>
      <c r="R701" s="2" t="inlineStr"/>
    </row>
    <row r="702" ht="15" customHeight="1">
      <c r="A702" t="inlineStr">
        <is>
          <t>A 167-2023</t>
        </is>
      </c>
      <c r="B702" s="1" t="n">
        <v>44918</v>
      </c>
      <c r="C702" s="1" t="n">
        <v>46074</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133-2026</t>
        </is>
      </c>
      <c r="B703" s="1" t="n">
        <v>46024.60450231482</v>
      </c>
      <c r="C703" s="1" t="n">
        <v>46074</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8969-2026</t>
        </is>
      </c>
      <c r="B704" s="1" t="n">
        <v>46069.43306712963</v>
      </c>
      <c r="C704" s="1" t="n">
        <v>46074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8726-2026</t>
        </is>
      </c>
      <c r="B705" s="1" t="n">
        <v>46066.49141203704</v>
      </c>
      <c r="C705" s="1" t="n">
        <v>46074</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31850-2024</t>
        </is>
      </c>
      <c r="B706" s="1" t="n">
        <v>45509.67334490741</v>
      </c>
      <c r="C706" s="1" t="n">
        <v>46074</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4280-2026</t>
        </is>
      </c>
      <c r="B707" s="1" t="n">
        <v>46044</v>
      </c>
      <c r="C707" s="1" t="n">
        <v>46074</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5586-2026</t>
        </is>
      </c>
      <c r="B708" s="1" t="n">
        <v>46051</v>
      </c>
      <c r="C708" s="1" t="n">
        <v>46074</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94-2026</t>
        </is>
      </c>
      <c r="B709" s="1" t="n">
        <v>46024.49158564815</v>
      </c>
      <c r="C709" s="1" t="n">
        <v>46074</v>
      </c>
      <c r="D709" t="inlineStr">
        <is>
          <t>DALARNAS LÄN</t>
        </is>
      </c>
      <c r="E709" t="inlineStr">
        <is>
          <t>LEKSAND</t>
        </is>
      </c>
      <c r="G709" t="n">
        <v>2.6</v>
      </c>
      <c r="H709" t="n">
        <v>0</v>
      </c>
      <c r="I709" t="n">
        <v>0</v>
      </c>
      <c r="J709" t="n">
        <v>0</v>
      </c>
      <c r="K709" t="n">
        <v>0</v>
      </c>
      <c r="L709" t="n">
        <v>0</v>
      </c>
      <c r="M709" t="n">
        <v>0</v>
      </c>
      <c r="N709" t="n">
        <v>0</v>
      </c>
      <c r="O709" t="n">
        <v>0</v>
      </c>
      <c r="P709" t="n">
        <v>0</v>
      </c>
      <c r="Q709" t="n">
        <v>0</v>
      </c>
      <c r="R709" s="2" t="inlineStr"/>
    </row>
    <row r="710" ht="15" customHeight="1">
      <c r="A710" t="inlineStr">
        <is>
          <t>A 319-2026</t>
        </is>
      </c>
      <c r="B710" s="1" t="n">
        <v>46027</v>
      </c>
      <c r="C710" s="1" t="n">
        <v>46074</v>
      </c>
      <c r="D710" t="inlineStr">
        <is>
          <t>DALARNAS LÄN</t>
        </is>
      </c>
      <c r="E710" t="inlineStr">
        <is>
          <t>LEKSAND</t>
        </is>
      </c>
      <c r="G710" t="n">
        <v>12.9</v>
      </c>
      <c r="H710" t="n">
        <v>0</v>
      </c>
      <c r="I710" t="n">
        <v>0</v>
      </c>
      <c r="J710" t="n">
        <v>0</v>
      </c>
      <c r="K710" t="n">
        <v>0</v>
      </c>
      <c r="L710" t="n">
        <v>0</v>
      </c>
      <c r="M710" t="n">
        <v>0</v>
      </c>
      <c r="N710" t="n">
        <v>0</v>
      </c>
      <c r="O710" t="n">
        <v>0</v>
      </c>
      <c r="P710" t="n">
        <v>0</v>
      </c>
      <c r="Q710" t="n">
        <v>0</v>
      </c>
      <c r="R710" s="2" t="inlineStr"/>
    </row>
    <row r="711" ht="15" customHeight="1">
      <c r="A711" t="inlineStr">
        <is>
          <t>A 367-2026</t>
        </is>
      </c>
      <c r="B711" s="1" t="n">
        <v>46027</v>
      </c>
      <c r="C711" s="1" t="n">
        <v>46074</v>
      </c>
      <c r="D711" t="inlineStr">
        <is>
          <t>DALARNAS LÄN</t>
        </is>
      </c>
      <c r="E711" t="inlineStr">
        <is>
          <t>LEKSAND</t>
        </is>
      </c>
      <c r="G711" t="n">
        <v>4.3</v>
      </c>
      <c r="H711" t="n">
        <v>0</v>
      </c>
      <c r="I711" t="n">
        <v>0</v>
      </c>
      <c r="J711" t="n">
        <v>0</v>
      </c>
      <c r="K711" t="n">
        <v>0</v>
      </c>
      <c r="L711" t="n">
        <v>0</v>
      </c>
      <c r="M711" t="n">
        <v>0</v>
      </c>
      <c r="N711" t="n">
        <v>0</v>
      </c>
      <c r="O711" t="n">
        <v>0</v>
      </c>
      <c r="P711" t="n">
        <v>0</v>
      </c>
      <c r="Q711" t="n">
        <v>0</v>
      </c>
      <c r="R711" s="2" t="inlineStr"/>
    </row>
    <row r="712" ht="15" customHeight="1">
      <c r="A712" t="inlineStr">
        <is>
          <t>A 368-2026</t>
        </is>
      </c>
      <c r="B712" s="1" t="n">
        <v>46027</v>
      </c>
      <c r="C712" s="1" t="n">
        <v>46074</v>
      </c>
      <c r="D712" t="inlineStr">
        <is>
          <t>DALARNAS LÄN</t>
        </is>
      </c>
      <c r="E712" t="inlineStr">
        <is>
          <t>LEKSAND</t>
        </is>
      </c>
      <c r="G712" t="n">
        <v>3.2</v>
      </c>
      <c r="H712" t="n">
        <v>0</v>
      </c>
      <c r="I712" t="n">
        <v>0</v>
      </c>
      <c r="J712" t="n">
        <v>0</v>
      </c>
      <c r="K712" t="n">
        <v>0</v>
      </c>
      <c r="L712" t="n">
        <v>0</v>
      </c>
      <c r="M712" t="n">
        <v>0</v>
      </c>
      <c r="N712" t="n">
        <v>0</v>
      </c>
      <c r="O712" t="n">
        <v>0</v>
      </c>
      <c r="P712" t="n">
        <v>0</v>
      </c>
      <c r="Q712" t="n">
        <v>0</v>
      </c>
      <c r="R712" s="2" t="inlineStr"/>
    </row>
    <row r="713" ht="15" customHeight="1">
      <c r="A713" t="inlineStr">
        <is>
          <t>A 581-2026</t>
        </is>
      </c>
      <c r="B713" s="1" t="n">
        <v>46029.48001157407</v>
      </c>
      <c r="C713" s="1" t="n">
        <v>46074</v>
      </c>
      <c r="D713" t="inlineStr">
        <is>
          <t>DALARNAS LÄN</t>
        </is>
      </c>
      <c r="E713" t="inlineStr">
        <is>
          <t>LEKSAND</t>
        </is>
      </c>
      <c r="G713" t="n">
        <v>1.5</v>
      </c>
      <c r="H713" t="n">
        <v>0</v>
      </c>
      <c r="I713" t="n">
        <v>0</v>
      </c>
      <c r="J713" t="n">
        <v>0</v>
      </c>
      <c r="K713" t="n">
        <v>0</v>
      </c>
      <c r="L713" t="n">
        <v>0</v>
      </c>
      <c r="M713" t="n">
        <v>0</v>
      </c>
      <c r="N713" t="n">
        <v>0</v>
      </c>
      <c r="O713" t="n">
        <v>0</v>
      </c>
      <c r="P713" t="n">
        <v>0</v>
      </c>
      <c r="Q713" t="n">
        <v>0</v>
      </c>
      <c r="R713" s="2" t="inlineStr"/>
    </row>
    <row r="714" ht="15" customHeight="1">
      <c r="A714" t="inlineStr">
        <is>
          <t>A 9163-2026</t>
        </is>
      </c>
      <c r="B714" s="1" t="n">
        <v>46070.34811342593</v>
      </c>
      <c r="C714" s="1" t="n">
        <v>46074</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27244-2023</t>
        </is>
      </c>
      <c r="B715" s="1" t="n">
        <v>45096</v>
      </c>
      <c r="C715" s="1" t="n">
        <v>46074</v>
      </c>
      <c r="D715" t="inlineStr">
        <is>
          <t>DALARNAS LÄN</t>
        </is>
      </c>
      <c r="E715" t="inlineStr">
        <is>
          <t>LEKSAND</t>
        </is>
      </c>
      <c r="G715" t="n">
        <v>5</v>
      </c>
      <c r="H715" t="n">
        <v>0</v>
      </c>
      <c r="I715" t="n">
        <v>0</v>
      </c>
      <c r="J715" t="n">
        <v>0</v>
      </c>
      <c r="K715" t="n">
        <v>0</v>
      </c>
      <c r="L715" t="n">
        <v>0</v>
      </c>
      <c r="M715" t="n">
        <v>0</v>
      </c>
      <c r="N715" t="n">
        <v>0</v>
      </c>
      <c r="O715" t="n">
        <v>0</v>
      </c>
      <c r="P715" t="n">
        <v>0</v>
      </c>
      <c r="Q715" t="n">
        <v>0</v>
      </c>
      <c r="R715" s="2" t="inlineStr"/>
    </row>
    <row r="716" ht="15" customHeight="1">
      <c r="A716" t="inlineStr">
        <is>
          <t>A 9360-2026</t>
        </is>
      </c>
      <c r="B716" s="1" t="n">
        <v>46070.72917824074</v>
      </c>
      <c r="C716" s="1" t="n">
        <v>46074</v>
      </c>
      <c r="D716" t="inlineStr">
        <is>
          <t>DALARNAS LÄN</t>
        </is>
      </c>
      <c r="E716" t="inlineStr">
        <is>
          <t>LEKSAND</t>
        </is>
      </c>
      <c r="G716" t="n">
        <v>2.1</v>
      </c>
      <c r="H716" t="n">
        <v>0</v>
      </c>
      <c r="I716" t="n">
        <v>0</v>
      </c>
      <c r="J716" t="n">
        <v>0</v>
      </c>
      <c r="K716" t="n">
        <v>0</v>
      </c>
      <c r="L716" t="n">
        <v>0</v>
      </c>
      <c r="M716" t="n">
        <v>0</v>
      </c>
      <c r="N716" t="n">
        <v>0</v>
      </c>
      <c r="O716" t="n">
        <v>0</v>
      </c>
      <c r="P716" t="n">
        <v>0</v>
      </c>
      <c r="Q716" t="n">
        <v>0</v>
      </c>
      <c r="R716" s="2" t="inlineStr"/>
    </row>
    <row r="717" ht="15" customHeight="1">
      <c r="A717" t="inlineStr">
        <is>
          <t>A 3183-2025</t>
        </is>
      </c>
      <c r="B717" s="1" t="n">
        <v>45679.40298611111</v>
      </c>
      <c r="C717" s="1" t="n">
        <v>46074</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720-2026</t>
        </is>
      </c>
      <c r="B718" s="1" t="n">
        <v>46029.635</v>
      </c>
      <c r="C718" s="1" t="n">
        <v>46074</v>
      </c>
      <c r="D718" t="inlineStr">
        <is>
          <t>DALARNAS LÄN</t>
        </is>
      </c>
      <c r="E718" t="inlineStr">
        <is>
          <t>LEKSAND</t>
        </is>
      </c>
      <c r="G718" t="n">
        <v>6.7</v>
      </c>
      <c r="H718" t="n">
        <v>0</v>
      </c>
      <c r="I718" t="n">
        <v>0</v>
      </c>
      <c r="J718" t="n">
        <v>0</v>
      </c>
      <c r="K718" t="n">
        <v>0</v>
      </c>
      <c r="L718" t="n">
        <v>0</v>
      </c>
      <c r="M718" t="n">
        <v>0</v>
      </c>
      <c r="N718" t="n">
        <v>0</v>
      </c>
      <c r="O718" t="n">
        <v>0</v>
      </c>
      <c r="P718" t="n">
        <v>0</v>
      </c>
      <c r="Q718" t="n">
        <v>0</v>
      </c>
      <c r="R718" s="2" t="inlineStr"/>
    </row>
    <row r="719" ht="15" customHeight="1">
      <c r="A719" t="inlineStr">
        <is>
          <t>A 9170-2026</t>
        </is>
      </c>
      <c r="B719" s="1" t="n">
        <v>46070.36207175926</v>
      </c>
      <c r="C719" s="1" t="n">
        <v>46074</v>
      </c>
      <c r="D719" t="inlineStr">
        <is>
          <t>DALARNAS LÄN</t>
        </is>
      </c>
      <c r="E719" t="inlineStr">
        <is>
          <t>LEKSAND</t>
        </is>
      </c>
      <c r="G719" t="n">
        <v>2.9</v>
      </c>
      <c r="H719" t="n">
        <v>0</v>
      </c>
      <c r="I719" t="n">
        <v>0</v>
      </c>
      <c r="J719" t="n">
        <v>0</v>
      </c>
      <c r="K719" t="n">
        <v>0</v>
      </c>
      <c r="L719" t="n">
        <v>0</v>
      </c>
      <c r="M719" t="n">
        <v>0</v>
      </c>
      <c r="N719" t="n">
        <v>0</v>
      </c>
      <c r="O719" t="n">
        <v>0</v>
      </c>
      <c r="P719" t="n">
        <v>0</v>
      </c>
      <c r="Q719" t="n">
        <v>0</v>
      </c>
      <c r="R719" s="2" t="inlineStr"/>
    </row>
    <row r="720" ht="15" customHeight="1">
      <c r="A720" t="inlineStr">
        <is>
          <t>A 16592-2023</t>
        </is>
      </c>
      <c r="B720" s="1" t="n">
        <v>45030</v>
      </c>
      <c r="C720" s="1" t="n">
        <v>46074</v>
      </c>
      <c r="D720" t="inlineStr">
        <is>
          <t>DALARNAS LÄN</t>
        </is>
      </c>
      <c r="E720" t="inlineStr">
        <is>
          <t>LEKSAND</t>
        </is>
      </c>
      <c r="G720" t="n">
        <v>11.5</v>
      </c>
      <c r="H720" t="n">
        <v>0</v>
      </c>
      <c r="I720" t="n">
        <v>0</v>
      </c>
      <c r="J720" t="n">
        <v>0</v>
      </c>
      <c r="K720" t="n">
        <v>0</v>
      </c>
      <c r="L720" t="n">
        <v>0</v>
      </c>
      <c r="M720" t="n">
        <v>0</v>
      </c>
      <c r="N720" t="n">
        <v>0</v>
      </c>
      <c r="O720" t="n">
        <v>0</v>
      </c>
      <c r="P720" t="n">
        <v>0</v>
      </c>
      <c r="Q720" t="n">
        <v>0</v>
      </c>
      <c r="R720" s="2" t="inlineStr"/>
    </row>
    <row r="721" ht="15" customHeight="1">
      <c r="A721" t="inlineStr">
        <is>
          <t>A 12290-2024</t>
        </is>
      </c>
      <c r="B721" s="1" t="n">
        <v>45378.57877314815</v>
      </c>
      <c r="C721" s="1" t="n">
        <v>46074</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4847-2026</t>
        </is>
      </c>
      <c r="B722" s="1" t="n">
        <v>46048</v>
      </c>
      <c r="C722" s="1" t="n">
        <v>46074</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593-2026</t>
        </is>
      </c>
      <c r="B723" s="1" t="n">
        <v>46029</v>
      </c>
      <c r="C723" s="1" t="n">
        <v>46074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17606-2024</t>
        </is>
      </c>
      <c r="B724" s="1" t="n">
        <v>45415</v>
      </c>
      <c r="C724" s="1" t="n">
        <v>46074</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39819-2024</t>
        </is>
      </c>
      <c r="B725" s="1" t="n">
        <v>45553.38774305556</v>
      </c>
      <c r="C725" s="1" t="n">
        <v>46074</v>
      </c>
      <c r="D725" t="inlineStr">
        <is>
          <t>DALARNAS LÄN</t>
        </is>
      </c>
      <c r="E725" t="inlineStr">
        <is>
          <t>LEKSAND</t>
        </is>
      </c>
      <c r="F725" t="inlineStr">
        <is>
          <t>Bergvik skog väst AB</t>
        </is>
      </c>
      <c r="G725" t="n">
        <v>3.7</v>
      </c>
      <c r="H725" t="n">
        <v>0</v>
      </c>
      <c r="I725" t="n">
        <v>0</v>
      </c>
      <c r="J725" t="n">
        <v>0</v>
      </c>
      <c r="K725" t="n">
        <v>0</v>
      </c>
      <c r="L725" t="n">
        <v>0</v>
      </c>
      <c r="M725" t="n">
        <v>0</v>
      </c>
      <c r="N725" t="n">
        <v>0</v>
      </c>
      <c r="O725" t="n">
        <v>0</v>
      </c>
      <c r="P725" t="n">
        <v>0</v>
      </c>
      <c r="Q725" t="n">
        <v>0</v>
      </c>
      <c r="R725" s="2" t="inlineStr"/>
    </row>
    <row r="726" ht="15" customHeight="1">
      <c r="A726" t="inlineStr">
        <is>
          <t>A 489-2026</t>
        </is>
      </c>
      <c r="B726" s="1" t="n">
        <v>46029.42424768519</v>
      </c>
      <c r="C726" s="1" t="n">
        <v>46074</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435-2026</t>
        </is>
      </c>
      <c r="B727" s="1" t="n">
        <v>46029.33446759259</v>
      </c>
      <c r="C727" s="1" t="n">
        <v>46074</v>
      </c>
      <c r="D727" t="inlineStr">
        <is>
          <t>DALARNAS LÄN</t>
        </is>
      </c>
      <c r="E727" t="inlineStr">
        <is>
          <t>LEKSAND</t>
        </is>
      </c>
      <c r="G727" t="n">
        <v>3.5</v>
      </c>
      <c r="H727" t="n">
        <v>0</v>
      </c>
      <c r="I727" t="n">
        <v>0</v>
      </c>
      <c r="J727" t="n">
        <v>0</v>
      </c>
      <c r="K727" t="n">
        <v>0</v>
      </c>
      <c r="L727" t="n">
        <v>0</v>
      </c>
      <c r="M727" t="n">
        <v>0</v>
      </c>
      <c r="N727" t="n">
        <v>0</v>
      </c>
      <c r="O727" t="n">
        <v>0</v>
      </c>
      <c r="P727" t="n">
        <v>0</v>
      </c>
      <c r="Q727" t="n">
        <v>0</v>
      </c>
      <c r="R727" s="2" t="inlineStr"/>
    </row>
    <row r="728" ht="15" customHeight="1">
      <c r="A728" t="inlineStr">
        <is>
          <t>A 9541-2026</t>
        </is>
      </c>
      <c r="B728" s="1" t="n">
        <v>46071.62190972222</v>
      </c>
      <c r="C728" s="1" t="n">
        <v>46074</v>
      </c>
      <c r="D728" t="inlineStr">
        <is>
          <t>DALARNAS LÄN</t>
        </is>
      </c>
      <c r="E728" t="inlineStr">
        <is>
          <t>LEKSAND</t>
        </is>
      </c>
      <c r="G728" t="n">
        <v>10.8</v>
      </c>
      <c r="H728" t="n">
        <v>0</v>
      </c>
      <c r="I728" t="n">
        <v>0</v>
      </c>
      <c r="J728" t="n">
        <v>0</v>
      </c>
      <c r="K728" t="n">
        <v>0</v>
      </c>
      <c r="L728" t="n">
        <v>0</v>
      </c>
      <c r="M728" t="n">
        <v>0</v>
      </c>
      <c r="N728" t="n">
        <v>0</v>
      </c>
      <c r="O728" t="n">
        <v>0</v>
      </c>
      <c r="P728" t="n">
        <v>0</v>
      </c>
      <c r="Q728" t="n">
        <v>0</v>
      </c>
      <c r="R728" s="2" t="inlineStr"/>
    </row>
    <row r="729" ht="15" customHeight="1">
      <c r="A729" t="inlineStr">
        <is>
          <t>A 521-2026</t>
        </is>
      </c>
      <c r="B729" s="1" t="n">
        <v>46029.44782407407</v>
      </c>
      <c r="C729" s="1" t="n">
        <v>46074</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36450-2023</t>
        </is>
      </c>
      <c r="B730" s="1" t="n">
        <v>45152.64842592592</v>
      </c>
      <c r="C730" s="1" t="n">
        <v>46074</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519-2026</t>
        </is>
      </c>
      <c r="B731" s="1" t="n">
        <v>46029.44658564815</v>
      </c>
      <c r="C731" s="1" t="n">
        <v>46074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19559-2023</t>
        </is>
      </c>
      <c r="B732" s="1" t="n">
        <v>45050</v>
      </c>
      <c r="C732" s="1" t="n">
        <v>46074</v>
      </c>
      <c r="D732" t="inlineStr">
        <is>
          <t>DALARNAS LÄN</t>
        </is>
      </c>
      <c r="E732" t="inlineStr">
        <is>
          <t>LEKSAND</t>
        </is>
      </c>
      <c r="G732" t="n">
        <v>0.1</v>
      </c>
      <c r="H732" t="n">
        <v>0</v>
      </c>
      <c r="I732" t="n">
        <v>0</v>
      </c>
      <c r="J732" t="n">
        <v>0</v>
      </c>
      <c r="K732" t="n">
        <v>0</v>
      </c>
      <c r="L732" t="n">
        <v>0</v>
      </c>
      <c r="M732" t="n">
        <v>0</v>
      </c>
      <c r="N732" t="n">
        <v>0</v>
      </c>
      <c r="O732" t="n">
        <v>0</v>
      </c>
      <c r="P732" t="n">
        <v>0</v>
      </c>
      <c r="Q732" t="n">
        <v>0</v>
      </c>
      <c r="R732" s="2" t="inlineStr"/>
    </row>
    <row r="733" ht="15" customHeight="1">
      <c r="A733" t="inlineStr">
        <is>
          <t>A 48721-2023</t>
        </is>
      </c>
      <c r="B733" s="1" t="n">
        <v>45203</v>
      </c>
      <c r="C733" s="1" t="n">
        <v>46074</v>
      </c>
      <c r="D733" t="inlineStr">
        <is>
          <t>DALARNAS LÄN</t>
        </is>
      </c>
      <c r="E733" t="inlineStr">
        <is>
          <t>LEKSAND</t>
        </is>
      </c>
      <c r="G733" t="n">
        <v>2.9</v>
      </c>
      <c r="H733" t="n">
        <v>0</v>
      </c>
      <c r="I733" t="n">
        <v>0</v>
      </c>
      <c r="J733" t="n">
        <v>0</v>
      </c>
      <c r="K733" t="n">
        <v>0</v>
      </c>
      <c r="L733" t="n">
        <v>0</v>
      </c>
      <c r="M733" t="n">
        <v>0</v>
      </c>
      <c r="N733" t="n">
        <v>0</v>
      </c>
      <c r="O733" t="n">
        <v>0</v>
      </c>
      <c r="P733" t="n">
        <v>0</v>
      </c>
      <c r="Q733" t="n">
        <v>0</v>
      </c>
      <c r="R733" s="2" t="inlineStr"/>
    </row>
    <row r="734" ht="15" customHeight="1">
      <c r="A734" t="inlineStr">
        <is>
          <t>A 43142-2024</t>
        </is>
      </c>
      <c r="B734" s="1" t="n">
        <v>45567.62144675926</v>
      </c>
      <c r="C734" s="1" t="n">
        <v>46074</v>
      </c>
      <c r="D734" t="inlineStr">
        <is>
          <t>DALARNAS LÄN</t>
        </is>
      </c>
      <c r="E734" t="inlineStr">
        <is>
          <t>LEKSAND</t>
        </is>
      </c>
      <c r="F734" t="inlineStr">
        <is>
          <t>Bergvik skog väst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1984-2025</t>
        </is>
      </c>
      <c r="B735" s="1" t="n">
        <v>45670</v>
      </c>
      <c r="C735" s="1" t="n">
        <v>46074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1443-2024</t>
        </is>
      </c>
      <c r="B736" s="1" t="n">
        <v>45303</v>
      </c>
      <c r="C736" s="1" t="n">
        <v>46074</v>
      </c>
      <c r="D736" t="inlineStr">
        <is>
          <t>DALARNAS LÄN</t>
        </is>
      </c>
      <c r="E736" t="inlineStr">
        <is>
          <t>LEKSAND</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1220-2026</t>
        </is>
      </c>
      <c r="B737" s="1" t="n">
        <v>46031.40140046296</v>
      </c>
      <c r="C737" s="1" t="n">
        <v>46074</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27446-2024</t>
        </is>
      </c>
      <c r="B738" s="1" t="n">
        <v>45474.42671296297</v>
      </c>
      <c r="C738" s="1" t="n">
        <v>46074</v>
      </c>
      <c r="D738" t="inlineStr">
        <is>
          <t>DALARNAS LÄN</t>
        </is>
      </c>
      <c r="E738" t="inlineStr">
        <is>
          <t>LEKSAND</t>
        </is>
      </c>
      <c r="G738" t="n">
        <v>2.9</v>
      </c>
      <c r="H738" t="n">
        <v>0</v>
      </c>
      <c r="I738" t="n">
        <v>0</v>
      </c>
      <c r="J738" t="n">
        <v>0</v>
      </c>
      <c r="K738" t="n">
        <v>0</v>
      </c>
      <c r="L738" t="n">
        <v>0</v>
      </c>
      <c r="M738" t="n">
        <v>0</v>
      </c>
      <c r="N738" t="n">
        <v>0</v>
      </c>
      <c r="O738" t="n">
        <v>0</v>
      </c>
      <c r="P738" t="n">
        <v>0</v>
      </c>
      <c r="Q738" t="n">
        <v>0</v>
      </c>
      <c r="R738" s="2" t="inlineStr"/>
    </row>
    <row r="739" ht="15" customHeight="1">
      <c r="A739" t="inlineStr">
        <is>
          <t>A 53817-2023</t>
        </is>
      </c>
      <c r="B739" s="1" t="n">
        <v>45231.40488425926</v>
      </c>
      <c r="C739" s="1" t="n">
        <v>46074</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46072.35024305555</v>
      </c>
      <c r="C740" s="1" t="n">
        <v>46074</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10081-2026</t>
        </is>
      </c>
      <c r="B741" s="1" t="n">
        <v>46073</v>
      </c>
      <c r="C741" s="1" t="n">
        <v>46074</v>
      </c>
      <c r="D741" t="inlineStr">
        <is>
          <t>DALARNAS LÄN</t>
        </is>
      </c>
      <c r="E741" t="inlineStr">
        <is>
          <t>LEKSAND</t>
        </is>
      </c>
      <c r="G741" t="n">
        <v>2.5</v>
      </c>
      <c r="H741" t="n">
        <v>0</v>
      </c>
      <c r="I741" t="n">
        <v>0</v>
      </c>
      <c r="J741" t="n">
        <v>0</v>
      </c>
      <c r="K741" t="n">
        <v>0</v>
      </c>
      <c r="L741" t="n">
        <v>0</v>
      </c>
      <c r="M741" t="n">
        <v>0</v>
      </c>
      <c r="N741" t="n">
        <v>0</v>
      </c>
      <c r="O741" t="n">
        <v>0</v>
      </c>
      <c r="P741" t="n">
        <v>0</v>
      </c>
      <c r="Q741" t="n">
        <v>0</v>
      </c>
      <c r="R741" s="2" t="inlineStr"/>
    </row>
    <row r="742" ht="15" customHeight="1">
      <c r="A742" t="inlineStr">
        <is>
          <t>A 62993-2023</t>
        </is>
      </c>
      <c r="B742" s="1" t="n">
        <v>45272</v>
      </c>
      <c r="C742" s="1" t="n">
        <v>46074</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989-2026</t>
        </is>
      </c>
      <c r="B743" s="1" t="n">
        <v>46030</v>
      </c>
      <c r="C743" s="1" t="n">
        <v>46074</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17455-2022</t>
        </is>
      </c>
      <c r="B744" s="1" t="n">
        <v>44679.3775</v>
      </c>
      <c r="C744" s="1" t="n">
        <v>46074</v>
      </c>
      <c r="D744" t="inlineStr">
        <is>
          <t>DALARNAS LÄN</t>
        </is>
      </c>
      <c r="E744" t="inlineStr">
        <is>
          <t>LEKSAND</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1149-2026</t>
        </is>
      </c>
      <c r="B745" s="1" t="n">
        <v>46030.92302083333</v>
      </c>
      <c r="C745" s="1" t="n">
        <v>46074</v>
      </c>
      <c r="D745" t="inlineStr">
        <is>
          <t>DALARNAS LÄN</t>
        </is>
      </c>
      <c r="E745" t="inlineStr">
        <is>
          <t>LEKSAND</t>
        </is>
      </c>
      <c r="G745" t="n">
        <v>11.7</v>
      </c>
      <c r="H745" t="n">
        <v>0</v>
      </c>
      <c r="I745" t="n">
        <v>0</v>
      </c>
      <c r="J745" t="n">
        <v>0</v>
      </c>
      <c r="K745" t="n">
        <v>0</v>
      </c>
      <c r="L745" t="n">
        <v>0</v>
      </c>
      <c r="M745" t="n">
        <v>0</v>
      </c>
      <c r="N745" t="n">
        <v>0</v>
      </c>
      <c r="O745" t="n">
        <v>0</v>
      </c>
      <c r="P745" t="n">
        <v>0</v>
      </c>
      <c r="Q745" t="n">
        <v>0</v>
      </c>
      <c r="R745" s="2" t="inlineStr"/>
    </row>
    <row r="746" ht="15" customHeight="1">
      <c r="A746" t="inlineStr">
        <is>
          <t>A 9802-2026</t>
        </is>
      </c>
      <c r="B746" s="1" t="n">
        <v>46072.62042824074</v>
      </c>
      <c r="C746" s="1" t="n">
        <v>46074</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9858-2026</t>
        </is>
      </c>
      <c r="B747" s="1" t="n">
        <v>46072.9233912037</v>
      </c>
      <c r="C747" s="1" t="n">
        <v>46074</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7417-2024</t>
        </is>
      </c>
      <c r="B748" s="1" t="n">
        <v>45345.62378472222</v>
      </c>
      <c r="C748" s="1" t="n">
        <v>46074</v>
      </c>
      <c r="D748" t="inlineStr">
        <is>
          <t>DALARNAS LÄN</t>
        </is>
      </c>
      <c r="E748" t="inlineStr">
        <is>
          <t>LEKSAND</t>
        </is>
      </c>
      <c r="G748" t="n">
        <v>2.8</v>
      </c>
      <c r="H748" t="n">
        <v>0</v>
      </c>
      <c r="I748" t="n">
        <v>0</v>
      </c>
      <c r="J748" t="n">
        <v>0</v>
      </c>
      <c r="K748" t="n">
        <v>0</v>
      </c>
      <c r="L748" t="n">
        <v>0</v>
      </c>
      <c r="M748" t="n">
        <v>0</v>
      </c>
      <c r="N748" t="n">
        <v>0</v>
      </c>
      <c r="O748" t="n">
        <v>0</v>
      </c>
      <c r="P748" t="n">
        <v>0</v>
      </c>
      <c r="Q748" t="n">
        <v>0</v>
      </c>
      <c r="R748" s="2" t="inlineStr"/>
    </row>
    <row r="749" ht="15" customHeight="1">
      <c r="A749" t="inlineStr">
        <is>
          <t>A 5574-2024</t>
        </is>
      </c>
      <c r="B749" s="1" t="n">
        <v>45334</v>
      </c>
      <c r="C749" s="1" t="n">
        <v>46074</v>
      </c>
      <c r="D749" t="inlineStr">
        <is>
          <t>DALARNAS LÄN</t>
        </is>
      </c>
      <c r="E749" t="inlineStr">
        <is>
          <t>LEKSAND</t>
        </is>
      </c>
      <c r="G749" t="n">
        <v>0.4</v>
      </c>
      <c r="H749" t="n">
        <v>0</v>
      </c>
      <c r="I749" t="n">
        <v>0</v>
      </c>
      <c r="J749" t="n">
        <v>0</v>
      </c>
      <c r="K749" t="n">
        <v>0</v>
      </c>
      <c r="L749" t="n">
        <v>0</v>
      </c>
      <c r="M749" t="n">
        <v>0</v>
      </c>
      <c r="N749" t="n">
        <v>0</v>
      </c>
      <c r="O749" t="n">
        <v>0</v>
      </c>
      <c r="P749" t="n">
        <v>0</v>
      </c>
      <c r="Q749" t="n">
        <v>0</v>
      </c>
      <c r="R749" s="2" t="inlineStr"/>
    </row>
    <row r="750" ht="15" customHeight="1">
      <c r="A750" t="inlineStr">
        <is>
          <t>A 4121-2024</t>
        </is>
      </c>
      <c r="B750" s="1" t="n">
        <v>45323</v>
      </c>
      <c r="C750" s="1" t="n">
        <v>46074</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57665-2023</t>
        </is>
      </c>
      <c r="B751" s="1" t="n">
        <v>45246</v>
      </c>
      <c r="C751" s="1" t="n">
        <v>46074</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30858-2024</t>
        </is>
      </c>
      <c r="B752" s="1" t="n">
        <v>45497.67601851852</v>
      </c>
      <c r="C752" s="1" t="n">
        <v>46074</v>
      </c>
      <c r="D752" t="inlineStr">
        <is>
          <t>DALARNAS LÄN</t>
        </is>
      </c>
      <c r="E752" t="inlineStr">
        <is>
          <t>LEKSAND</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25921-2024</t>
        </is>
      </c>
      <c r="B753" s="1" t="n">
        <v>45467.6053587963</v>
      </c>
      <c r="C753" s="1" t="n">
        <v>46074</v>
      </c>
      <c r="D753" t="inlineStr">
        <is>
          <t>DALARNAS LÄN</t>
        </is>
      </c>
      <c r="E753" t="inlineStr">
        <is>
          <t>LEKSAND</t>
        </is>
      </c>
      <c r="G753" t="n">
        <v>2.8</v>
      </c>
      <c r="H753" t="n">
        <v>0</v>
      </c>
      <c r="I753" t="n">
        <v>0</v>
      </c>
      <c r="J753" t="n">
        <v>0</v>
      </c>
      <c r="K753" t="n">
        <v>0</v>
      </c>
      <c r="L753" t="n">
        <v>0</v>
      </c>
      <c r="M753" t="n">
        <v>0</v>
      </c>
      <c r="N753" t="n">
        <v>0</v>
      </c>
      <c r="O753" t="n">
        <v>0</v>
      </c>
      <c r="P753" t="n">
        <v>0</v>
      </c>
      <c r="Q753" t="n">
        <v>0</v>
      </c>
      <c r="R753" s="2" t="inlineStr"/>
    </row>
    <row r="754" ht="15" customHeight="1">
      <c r="A754" t="inlineStr">
        <is>
          <t>A 41306-2024</t>
        </is>
      </c>
      <c r="B754" s="1" t="n">
        <v>45559.62550925926</v>
      </c>
      <c r="C754" s="1" t="n">
        <v>46074</v>
      </c>
      <c r="D754" t="inlineStr">
        <is>
          <t>DALARNAS LÄN</t>
        </is>
      </c>
      <c r="E754" t="inlineStr">
        <is>
          <t>LEKSAND</t>
        </is>
      </c>
      <c r="G754" t="n">
        <v>0.5</v>
      </c>
      <c r="H754" t="n">
        <v>0</v>
      </c>
      <c r="I754" t="n">
        <v>0</v>
      </c>
      <c r="J754" t="n">
        <v>0</v>
      </c>
      <c r="K754" t="n">
        <v>0</v>
      </c>
      <c r="L754" t="n">
        <v>0</v>
      </c>
      <c r="M754" t="n">
        <v>0</v>
      </c>
      <c r="N754" t="n">
        <v>0</v>
      </c>
      <c r="O754" t="n">
        <v>0</v>
      </c>
      <c r="P754" t="n">
        <v>0</v>
      </c>
      <c r="Q754" t="n">
        <v>0</v>
      </c>
      <c r="R754" s="2" t="inlineStr"/>
    </row>
    <row r="755" ht="15" customHeight="1">
      <c r="A755" t="inlineStr">
        <is>
          <t>A 17377-2025</t>
        </is>
      </c>
      <c r="B755" s="1" t="n">
        <v>45756.983125</v>
      </c>
      <c r="C755" s="1" t="n">
        <v>46074</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13288-2023</t>
        </is>
      </c>
      <c r="B756" s="1" t="n">
        <v>45004.8160300926</v>
      </c>
      <c r="C756" s="1" t="n">
        <v>46074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17233-2023</t>
        </is>
      </c>
      <c r="B757" s="1" t="n">
        <v>45035</v>
      </c>
      <c r="C757" s="1" t="n">
        <v>46074</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46931-2023</t>
        </is>
      </c>
      <c r="B758" s="1" t="n">
        <v>45201</v>
      </c>
      <c r="C758" s="1" t="n">
        <v>46074</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11740-2025</t>
        </is>
      </c>
      <c r="B759" s="1" t="n">
        <v>45727.62582175926</v>
      </c>
      <c r="C759" s="1" t="n">
        <v>46074</v>
      </c>
      <c r="D759" t="inlineStr">
        <is>
          <t>DALARNAS LÄN</t>
        </is>
      </c>
      <c r="E759" t="inlineStr">
        <is>
          <t>LEKSAND</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10373-2023</t>
        </is>
      </c>
      <c r="B760" s="1" t="n">
        <v>44987</v>
      </c>
      <c r="C760" s="1" t="n">
        <v>46074</v>
      </c>
      <c r="D760" t="inlineStr">
        <is>
          <t>DALARNAS LÄN</t>
        </is>
      </c>
      <c r="E760" t="inlineStr">
        <is>
          <t>LEKSAND</t>
        </is>
      </c>
      <c r="G760" t="n">
        <v>0.3</v>
      </c>
      <c r="H760" t="n">
        <v>0</v>
      </c>
      <c r="I760" t="n">
        <v>0</v>
      </c>
      <c r="J760" t="n">
        <v>0</v>
      </c>
      <c r="K760" t="n">
        <v>0</v>
      </c>
      <c r="L760" t="n">
        <v>0</v>
      </c>
      <c r="M760" t="n">
        <v>0</v>
      </c>
      <c r="N760" t="n">
        <v>0</v>
      </c>
      <c r="O760" t="n">
        <v>0</v>
      </c>
      <c r="P760" t="n">
        <v>0</v>
      </c>
      <c r="Q760" t="n">
        <v>0</v>
      </c>
      <c r="R760" s="2" t="inlineStr"/>
    </row>
    <row r="761" ht="15" customHeight="1">
      <c r="A761" t="inlineStr">
        <is>
          <t>A 2820-2024</t>
        </is>
      </c>
      <c r="B761" s="1" t="n">
        <v>45314.76287037037</v>
      </c>
      <c r="C761" s="1" t="n">
        <v>46074</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2822-2024</t>
        </is>
      </c>
      <c r="B762" s="1" t="n">
        <v>45314.76622685185</v>
      </c>
      <c r="C762" s="1" t="n">
        <v>46074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37952-2024</t>
        </is>
      </c>
      <c r="B763" s="1" t="n">
        <v>45544.5200462963</v>
      </c>
      <c r="C763" s="1" t="n">
        <v>46074</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15257-2025</t>
        </is>
      </c>
      <c r="B764" s="1" t="n">
        <v>45744</v>
      </c>
      <c r="C764" s="1" t="n">
        <v>46074</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46834-2023</t>
        </is>
      </c>
      <c r="B765" s="1" t="n">
        <v>45199.35668981481</v>
      </c>
      <c r="C765" s="1" t="n">
        <v>46074</v>
      </c>
      <c r="D765" t="inlineStr">
        <is>
          <t>DALARNAS LÄN</t>
        </is>
      </c>
      <c r="E765" t="inlineStr">
        <is>
          <t>LEKSAND</t>
        </is>
      </c>
      <c r="G765" t="n">
        <v>16.3</v>
      </c>
      <c r="H765" t="n">
        <v>0</v>
      </c>
      <c r="I765" t="n">
        <v>0</v>
      </c>
      <c r="J765" t="n">
        <v>0</v>
      </c>
      <c r="K765" t="n">
        <v>0</v>
      </c>
      <c r="L765" t="n">
        <v>0</v>
      </c>
      <c r="M765" t="n">
        <v>0</v>
      </c>
      <c r="N765" t="n">
        <v>0</v>
      </c>
      <c r="O765" t="n">
        <v>0</v>
      </c>
      <c r="P765" t="n">
        <v>0</v>
      </c>
      <c r="Q765" t="n">
        <v>0</v>
      </c>
      <c r="R765" s="2" t="inlineStr"/>
    </row>
    <row r="766" ht="15" customHeight="1">
      <c r="A766" t="inlineStr">
        <is>
          <t>A 12851-2023</t>
        </is>
      </c>
      <c r="B766" s="1" t="n">
        <v>45001.49347222222</v>
      </c>
      <c r="C766" s="1" t="n">
        <v>46074</v>
      </c>
      <c r="D766" t="inlineStr">
        <is>
          <t>DALARNAS LÄN</t>
        </is>
      </c>
      <c r="E766" t="inlineStr">
        <is>
          <t>LEKSAND</t>
        </is>
      </c>
      <c r="G766" t="n">
        <v>1.9</v>
      </c>
      <c r="H766" t="n">
        <v>0</v>
      </c>
      <c r="I766" t="n">
        <v>0</v>
      </c>
      <c r="J766" t="n">
        <v>0</v>
      </c>
      <c r="K766" t="n">
        <v>0</v>
      </c>
      <c r="L766" t="n">
        <v>0</v>
      </c>
      <c r="M766" t="n">
        <v>0</v>
      </c>
      <c r="N766" t="n">
        <v>0</v>
      </c>
      <c r="O766" t="n">
        <v>0</v>
      </c>
      <c r="P766" t="n">
        <v>0</v>
      </c>
      <c r="Q766" t="n">
        <v>0</v>
      </c>
      <c r="R766" s="2" t="inlineStr"/>
    </row>
    <row r="767" ht="15" customHeight="1">
      <c r="A767" t="inlineStr">
        <is>
          <t>A 34482-2022</t>
        </is>
      </c>
      <c r="B767" s="1" t="n">
        <v>44792</v>
      </c>
      <c r="C767" s="1" t="n">
        <v>46074</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5584-2024</t>
        </is>
      </c>
      <c r="B768" s="1" t="n">
        <v>45334</v>
      </c>
      <c r="C768" s="1" t="n">
        <v>46074</v>
      </c>
      <c r="D768" t="inlineStr">
        <is>
          <t>DALARNAS LÄN</t>
        </is>
      </c>
      <c r="E768" t="inlineStr">
        <is>
          <t>LEKSAND</t>
        </is>
      </c>
      <c r="F768" t="inlineStr">
        <is>
          <t>Kyrkan</t>
        </is>
      </c>
      <c r="G768" t="n">
        <v>0.4</v>
      </c>
      <c r="H768" t="n">
        <v>0</v>
      </c>
      <c r="I768" t="n">
        <v>0</v>
      </c>
      <c r="J768" t="n">
        <v>0</v>
      </c>
      <c r="K768" t="n">
        <v>0</v>
      </c>
      <c r="L768" t="n">
        <v>0</v>
      </c>
      <c r="M768" t="n">
        <v>0</v>
      </c>
      <c r="N768" t="n">
        <v>0</v>
      </c>
      <c r="O768" t="n">
        <v>0</v>
      </c>
      <c r="P768" t="n">
        <v>0</v>
      </c>
      <c r="Q768" t="n">
        <v>0</v>
      </c>
      <c r="R768" s="2" t="inlineStr"/>
    </row>
    <row r="769" ht="15" customHeight="1">
      <c r="A769" t="inlineStr">
        <is>
          <t>A 51860-2024</t>
        </is>
      </c>
      <c r="B769" s="1" t="n">
        <v>45607.54511574074</v>
      </c>
      <c r="C769" s="1" t="n">
        <v>46074</v>
      </c>
      <c r="D769" t="inlineStr">
        <is>
          <t>DALARNAS LÄN</t>
        </is>
      </c>
      <c r="E769" t="inlineStr">
        <is>
          <t>LEKSAND</t>
        </is>
      </c>
      <c r="F769" t="inlineStr">
        <is>
          <t>Bergvik skog väst AB</t>
        </is>
      </c>
      <c r="G769" t="n">
        <v>3.4</v>
      </c>
      <c r="H769" t="n">
        <v>0</v>
      </c>
      <c r="I769" t="n">
        <v>0</v>
      </c>
      <c r="J769" t="n">
        <v>0</v>
      </c>
      <c r="K769" t="n">
        <v>0</v>
      </c>
      <c r="L769" t="n">
        <v>0</v>
      </c>
      <c r="M769" t="n">
        <v>0</v>
      </c>
      <c r="N769" t="n">
        <v>0</v>
      </c>
      <c r="O769" t="n">
        <v>0</v>
      </c>
      <c r="P769" t="n">
        <v>0</v>
      </c>
      <c r="Q769" t="n">
        <v>0</v>
      </c>
      <c r="R769" s="2" t="inlineStr"/>
    </row>
    <row r="770" ht="15" customHeight="1">
      <c r="A770" t="inlineStr">
        <is>
          <t>A 22681-2022</t>
        </is>
      </c>
      <c r="B770" s="1" t="n">
        <v>44714.50961805556</v>
      </c>
      <c r="C770" s="1" t="n">
        <v>46074</v>
      </c>
      <c r="D770" t="inlineStr">
        <is>
          <t>DALARNAS LÄN</t>
        </is>
      </c>
      <c r="E770" t="inlineStr">
        <is>
          <t>LEKSAND</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1457-2024</t>
        </is>
      </c>
      <c r="B771" s="1" t="n">
        <v>45303</v>
      </c>
      <c r="C771" s="1" t="n">
        <v>46074</v>
      </c>
      <c r="D771" t="inlineStr">
        <is>
          <t>DALARNAS LÄN</t>
        </is>
      </c>
      <c r="E771" t="inlineStr">
        <is>
          <t>LEKSAND</t>
        </is>
      </c>
      <c r="G771" t="n">
        <v>4.4</v>
      </c>
      <c r="H771" t="n">
        <v>0</v>
      </c>
      <c r="I771" t="n">
        <v>0</v>
      </c>
      <c r="J771" t="n">
        <v>0</v>
      </c>
      <c r="K771" t="n">
        <v>0</v>
      </c>
      <c r="L771" t="n">
        <v>0</v>
      </c>
      <c r="M771" t="n">
        <v>0</v>
      </c>
      <c r="N771" t="n">
        <v>0</v>
      </c>
      <c r="O771" t="n">
        <v>0</v>
      </c>
      <c r="P771" t="n">
        <v>0</v>
      </c>
      <c r="Q771" t="n">
        <v>0</v>
      </c>
      <c r="R771" s="2" t="inlineStr"/>
    </row>
    <row r="772" ht="15" customHeight="1">
      <c r="A772" t="inlineStr">
        <is>
          <t>A 40007-2024</t>
        </is>
      </c>
      <c r="B772" s="1" t="n">
        <v>45553.6516550926</v>
      </c>
      <c r="C772" s="1" t="n">
        <v>46074</v>
      </c>
      <c r="D772" t="inlineStr">
        <is>
          <t>DALARNAS LÄN</t>
        </is>
      </c>
      <c r="E772" t="inlineStr">
        <is>
          <t>LEKSAND</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33198-2022</t>
        </is>
      </c>
      <c r="B773" s="1" t="n">
        <v>44785.68597222222</v>
      </c>
      <c r="C773" s="1" t="n">
        <v>46074</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9938-2023</t>
        </is>
      </c>
      <c r="B774" s="1" t="n">
        <v>44985</v>
      </c>
      <c r="C774" s="1" t="n">
        <v>46074</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31726-2024</t>
        </is>
      </c>
      <c r="B775" s="1" t="n">
        <v>45509.33908564815</v>
      </c>
      <c r="C775" s="1" t="n">
        <v>46074</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26957-2023</t>
        </is>
      </c>
      <c r="B776" s="1" t="n">
        <v>45093</v>
      </c>
      <c r="C776" s="1" t="n">
        <v>46074</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39595-2023</t>
        </is>
      </c>
      <c r="B777" s="1" t="n">
        <v>45167</v>
      </c>
      <c r="C777" s="1" t="n">
        <v>46074</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40642-2023</t>
        </is>
      </c>
      <c r="B778" s="1" t="n">
        <v>45169</v>
      </c>
      <c r="C778" s="1" t="n">
        <v>46074</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57933-2024</t>
        </is>
      </c>
      <c r="B779" s="1" t="n">
        <v>45630</v>
      </c>
      <c r="C779" s="1" t="n">
        <v>46074</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60095-2022</t>
        </is>
      </c>
      <c r="B780" s="1" t="n">
        <v>44909</v>
      </c>
      <c r="C780" s="1" t="n">
        <v>46074</v>
      </c>
      <c r="D780" t="inlineStr">
        <is>
          <t>DALARNAS LÄN</t>
        </is>
      </c>
      <c r="E780" t="inlineStr">
        <is>
          <t>LEKSAND</t>
        </is>
      </c>
      <c r="G780" t="n">
        <v>2.4</v>
      </c>
      <c r="H780" t="n">
        <v>0</v>
      </c>
      <c r="I780" t="n">
        <v>0</v>
      </c>
      <c r="J780" t="n">
        <v>0</v>
      </c>
      <c r="K780" t="n">
        <v>0</v>
      </c>
      <c r="L780" t="n">
        <v>0</v>
      </c>
      <c r="M780" t="n">
        <v>0</v>
      </c>
      <c r="N780" t="n">
        <v>0</v>
      </c>
      <c r="O780" t="n">
        <v>0</v>
      </c>
      <c r="P780" t="n">
        <v>0</v>
      </c>
      <c r="Q780" t="n">
        <v>0</v>
      </c>
      <c r="R780" s="2" t="inlineStr"/>
    </row>
    <row r="781" ht="15" customHeight="1">
      <c r="A781" t="inlineStr">
        <is>
          <t>A 30595-2023</t>
        </is>
      </c>
      <c r="B781" s="1" t="n">
        <v>45112</v>
      </c>
      <c r="C781" s="1" t="n">
        <v>46074</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6519-2025</t>
        </is>
      </c>
      <c r="B782" s="1" t="n">
        <v>45699</v>
      </c>
      <c r="C782" s="1" t="n">
        <v>46074</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40755-2024</t>
        </is>
      </c>
      <c r="B783" s="1" t="n">
        <v>45558.45815972222</v>
      </c>
      <c r="C783" s="1" t="n">
        <v>46074</v>
      </c>
      <c r="D783" t="inlineStr">
        <is>
          <t>DALARNAS LÄN</t>
        </is>
      </c>
      <c r="E783" t="inlineStr">
        <is>
          <t>LEKSAND</t>
        </is>
      </c>
      <c r="G783" t="n">
        <v>0.8</v>
      </c>
      <c r="H783" t="n">
        <v>0</v>
      </c>
      <c r="I783" t="n">
        <v>0</v>
      </c>
      <c r="J783" t="n">
        <v>0</v>
      </c>
      <c r="K783" t="n">
        <v>0</v>
      </c>
      <c r="L783" t="n">
        <v>0</v>
      </c>
      <c r="M783" t="n">
        <v>0</v>
      </c>
      <c r="N783" t="n">
        <v>0</v>
      </c>
      <c r="O783" t="n">
        <v>0</v>
      </c>
      <c r="P783" t="n">
        <v>0</v>
      </c>
      <c r="Q783" t="n">
        <v>0</v>
      </c>
      <c r="R783" s="2" t="inlineStr"/>
    </row>
    <row r="784" ht="15" customHeight="1">
      <c r="A784" t="inlineStr">
        <is>
          <t>A 61680-2024</t>
        </is>
      </c>
      <c r="B784" s="1" t="n">
        <v>45647.42890046296</v>
      </c>
      <c r="C784" s="1" t="n">
        <v>46074</v>
      </c>
      <c r="D784" t="inlineStr">
        <is>
          <t>DALARNAS LÄN</t>
        </is>
      </c>
      <c r="E784" t="inlineStr">
        <is>
          <t>LEKSAND</t>
        </is>
      </c>
      <c r="G784" t="n">
        <v>3.6</v>
      </c>
      <c r="H784" t="n">
        <v>0</v>
      </c>
      <c r="I784" t="n">
        <v>0</v>
      </c>
      <c r="J784" t="n">
        <v>0</v>
      </c>
      <c r="K784" t="n">
        <v>0</v>
      </c>
      <c r="L784" t="n">
        <v>0</v>
      </c>
      <c r="M784" t="n">
        <v>0</v>
      </c>
      <c r="N784" t="n">
        <v>0</v>
      </c>
      <c r="O784" t="n">
        <v>0</v>
      </c>
      <c r="P784" t="n">
        <v>0</v>
      </c>
      <c r="Q784" t="n">
        <v>0</v>
      </c>
      <c r="R784" s="2" t="inlineStr"/>
    </row>
    <row r="785" ht="15" customHeight="1">
      <c r="A785" t="inlineStr">
        <is>
          <t>A 62295-2023</t>
        </is>
      </c>
      <c r="B785" s="1" t="n">
        <v>45267</v>
      </c>
      <c r="C785" s="1" t="n">
        <v>46074</v>
      </c>
      <c r="D785" t="inlineStr">
        <is>
          <t>DALARNAS LÄN</t>
        </is>
      </c>
      <c r="E785" t="inlineStr">
        <is>
          <t>LEKSAND</t>
        </is>
      </c>
      <c r="G785" t="n">
        <v>2.5</v>
      </c>
      <c r="H785" t="n">
        <v>0</v>
      </c>
      <c r="I785" t="n">
        <v>0</v>
      </c>
      <c r="J785" t="n">
        <v>0</v>
      </c>
      <c r="K785" t="n">
        <v>0</v>
      </c>
      <c r="L785" t="n">
        <v>0</v>
      </c>
      <c r="M785" t="n">
        <v>0</v>
      </c>
      <c r="N785" t="n">
        <v>0</v>
      </c>
      <c r="O785" t="n">
        <v>0</v>
      </c>
      <c r="P785" t="n">
        <v>0</v>
      </c>
      <c r="Q785" t="n">
        <v>0</v>
      </c>
      <c r="R785" s="2" t="inlineStr"/>
    </row>
    <row r="786" ht="15" customHeight="1">
      <c r="A786" t="inlineStr">
        <is>
          <t>A 15173-2025</t>
        </is>
      </c>
      <c r="B786" s="1" t="n">
        <v>45744.50858796296</v>
      </c>
      <c r="C786" s="1" t="n">
        <v>46074</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46074</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46074</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6846-2023</t>
        </is>
      </c>
      <c r="B789" s="1" t="n">
        <v>44967.43953703704</v>
      </c>
      <c r="C789" s="1" t="n">
        <v>46074</v>
      </c>
      <c r="D789" t="inlineStr">
        <is>
          <t>DALARNAS LÄN</t>
        </is>
      </c>
      <c r="E789" t="inlineStr">
        <is>
          <t>LEKSAND</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17413-2023</t>
        </is>
      </c>
      <c r="B790" s="1" t="n">
        <v>45035</v>
      </c>
      <c r="C790" s="1" t="n">
        <v>46074</v>
      </c>
      <c r="D790" t="inlineStr">
        <is>
          <t>DALARNAS LÄN</t>
        </is>
      </c>
      <c r="E790" t="inlineStr">
        <is>
          <t>LEKSAND</t>
        </is>
      </c>
      <c r="G790" t="n">
        <v>1.7</v>
      </c>
      <c r="H790" t="n">
        <v>0</v>
      </c>
      <c r="I790" t="n">
        <v>0</v>
      </c>
      <c r="J790" t="n">
        <v>0</v>
      </c>
      <c r="K790" t="n">
        <v>0</v>
      </c>
      <c r="L790" t="n">
        <v>0</v>
      </c>
      <c r="M790" t="n">
        <v>0</v>
      </c>
      <c r="N790" t="n">
        <v>0</v>
      </c>
      <c r="O790" t="n">
        <v>0</v>
      </c>
      <c r="P790" t="n">
        <v>0</v>
      </c>
      <c r="Q790" t="n">
        <v>0</v>
      </c>
      <c r="R790" s="2" t="inlineStr"/>
    </row>
    <row r="791" ht="15" customHeight="1">
      <c r="A791" t="inlineStr">
        <is>
          <t>A 1775-2022</t>
        </is>
      </c>
      <c r="B791" s="1" t="n">
        <v>44574</v>
      </c>
      <c r="C791" s="1" t="n">
        <v>46074</v>
      </c>
      <c r="D791" t="inlineStr">
        <is>
          <t>DALARNAS LÄN</t>
        </is>
      </c>
      <c r="E791" t="inlineStr">
        <is>
          <t>LEKSAND</t>
        </is>
      </c>
      <c r="G791" t="n">
        <v>2</v>
      </c>
      <c r="H791" t="n">
        <v>0</v>
      </c>
      <c r="I791" t="n">
        <v>0</v>
      </c>
      <c r="J791" t="n">
        <v>0</v>
      </c>
      <c r="K791" t="n">
        <v>0</v>
      </c>
      <c r="L791" t="n">
        <v>0</v>
      </c>
      <c r="M791" t="n">
        <v>0</v>
      </c>
      <c r="N791" t="n">
        <v>0</v>
      </c>
      <c r="O791" t="n">
        <v>0</v>
      </c>
      <c r="P791" t="n">
        <v>0</v>
      </c>
      <c r="Q791" t="n">
        <v>0</v>
      </c>
      <c r="R791" s="2" t="inlineStr"/>
    </row>
    <row r="792" ht="15" customHeight="1">
      <c r="A792" t="inlineStr">
        <is>
          <t>A 56753-2023</t>
        </is>
      </c>
      <c r="B792" s="1" t="n">
        <v>45244.37094907407</v>
      </c>
      <c r="C792" s="1" t="n">
        <v>46074</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43077-2024</t>
        </is>
      </c>
      <c r="B793" s="1" t="n">
        <v>45567.50030092592</v>
      </c>
      <c r="C793" s="1" t="n">
        <v>46074</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57899-2024</t>
        </is>
      </c>
      <c r="B794" s="1" t="n">
        <v>45630</v>
      </c>
      <c r="C794" s="1" t="n">
        <v>46074</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60873-2023</t>
        </is>
      </c>
      <c r="B795" s="1" t="n">
        <v>45261.03266203704</v>
      </c>
      <c r="C795" s="1" t="n">
        <v>46074</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12581-2025</t>
        </is>
      </c>
      <c r="B796" s="1" t="n">
        <v>45732.62201388889</v>
      </c>
      <c r="C796" s="1" t="n">
        <v>46074</v>
      </c>
      <c r="D796" t="inlineStr">
        <is>
          <t>DALARNAS LÄN</t>
        </is>
      </c>
      <c r="E796" t="inlineStr">
        <is>
          <t>LEKSAND</t>
        </is>
      </c>
      <c r="G796" t="n">
        <v>5.1</v>
      </c>
      <c r="H796" t="n">
        <v>0</v>
      </c>
      <c r="I796" t="n">
        <v>0</v>
      </c>
      <c r="J796" t="n">
        <v>0</v>
      </c>
      <c r="K796" t="n">
        <v>0</v>
      </c>
      <c r="L796" t="n">
        <v>0</v>
      </c>
      <c r="M796" t="n">
        <v>0</v>
      </c>
      <c r="N796" t="n">
        <v>0</v>
      </c>
      <c r="O796" t="n">
        <v>0</v>
      </c>
      <c r="P796" t="n">
        <v>0</v>
      </c>
      <c r="Q796" t="n">
        <v>0</v>
      </c>
      <c r="R796" s="2" t="inlineStr"/>
    </row>
    <row r="797" ht="15" customHeight="1">
      <c r="A797" t="inlineStr">
        <is>
          <t>A 12620-2025</t>
        </is>
      </c>
      <c r="B797" s="1" t="n">
        <v>45733.35498842593</v>
      </c>
      <c r="C797" s="1" t="n">
        <v>46074</v>
      </c>
      <c r="D797" t="inlineStr">
        <is>
          <t>DALARNAS LÄN</t>
        </is>
      </c>
      <c r="E797" t="inlineStr">
        <is>
          <t>LEKSAND</t>
        </is>
      </c>
      <c r="F797" t="inlineStr">
        <is>
          <t>Bergvik skog väst AB</t>
        </is>
      </c>
      <c r="G797" t="n">
        <v>3.9</v>
      </c>
      <c r="H797" t="n">
        <v>0</v>
      </c>
      <c r="I797" t="n">
        <v>0</v>
      </c>
      <c r="J797" t="n">
        <v>0</v>
      </c>
      <c r="K797" t="n">
        <v>0</v>
      </c>
      <c r="L797" t="n">
        <v>0</v>
      </c>
      <c r="M797" t="n">
        <v>0</v>
      </c>
      <c r="N797" t="n">
        <v>0</v>
      </c>
      <c r="O797" t="n">
        <v>0</v>
      </c>
      <c r="P797" t="n">
        <v>0</v>
      </c>
      <c r="Q797" t="n">
        <v>0</v>
      </c>
      <c r="R797" s="2" t="inlineStr"/>
    </row>
    <row r="798" ht="15" customHeight="1">
      <c r="A798" t="inlineStr">
        <is>
          <t>A 12623-2025</t>
        </is>
      </c>
      <c r="B798" s="1" t="n">
        <v>45733.36079861111</v>
      </c>
      <c r="C798" s="1" t="n">
        <v>46074</v>
      </c>
      <c r="D798" t="inlineStr">
        <is>
          <t>DALARNAS LÄN</t>
        </is>
      </c>
      <c r="E798" t="inlineStr">
        <is>
          <t>LEKSAND</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27445-2024</t>
        </is>
      </c>
      <c r="B799" s="1" t="n">
        <v>45474.42474537037</v>
      </c>
      <c r="C799" s="1" t="n">
        <v>46074</v>
      </c>
      <c r="D799" t="inlineStr">
        <is>
          <t>DALARNAS LÄN</t>
        </is>
      </c>
      <c r="E799" t="inlineStr">
        <is>
          <t>LEKSAND</t>
        </is>
      </c>
      <c r="G799" t="n">
        <v>0.7</v>
      </c>
      <c r="H799" t="n">
        <v>0</v>
      </c>
      <c r="I799" t="n">
        <v>0</v>
      </c>
      <c r="J799" t="n">
        <v>0</v>
      </c>
      <c r="K799" t="n">
        <v>0</v>
      </c>
      <c r="L799" t="n">
        <v>0</v>
      </c>
      <c r="M799" t="n">
        <v>0</v>
      </c>
      <c r="N799" t="n">
        <v>0</v>
      </c>
      <c r="O799" t="n">
        <v>0</v>
      </c>
      <c r="P799" t="n">
        <v>0</v>
      </c>
      <c r="Q799" t="n">
        <v>0</v>
      </c>
      <c r="R799" s="2" t="inlineStr"/>
    </row>
    <row r="800" ht="15" customHeight="1">
      <c r="A800" t="inlineStr">
        <is>
          <t>A 53799-2023</t>
        </is>
      </c>
      <c r="B800" s="1" t="n">
        <v>45231.35564814815</v>
      </c>
      <c r="C800" s="1" t="n">
        <v>46074</v>
      </c>
      <c r="D800" t="inlineStr">
        <is>
          <t>DALARNAS LÄN</t>
        </is>
      </c>
      <c r="E800" t="inlineStr">
        <is>
          <t>LEKSAND</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62130-2024</t>
        </is>
      </c>
      <c r="B801" s="1" t="n">
        <v>45656.61827546296</v>
      </c>
      <c r="C801" s="1" t="n">
        <v>46074</v>
      </c>
      <c r="D801" t="inlineStr">
        <is>
          <t>DALARNAS LÄN</t>
        </is>
      </c>
      <c r="E801" t="inlineStr">
        <is>
          <t>LEKSAND</t>
        </is>
      </c>
      <c r="G801" t="n">
        <v>11.4</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46074</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19590-2023</t>
        </is>
      </c>
      <c r="B803" s="1" t="n">
        <v>45049</v>
      </c>
      <c r="C803" s="1" t="n">
        <v>46074</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30000-2023</t>
        </is>
      </c>
      <c r="B804" s="1" t="n">
        <v>45109.71128472222</v>
      </c>
      <c r="C804" s="1" t="n">
        <v>46074</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46074</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41015-2024</t>
        </is>
      </c>
      <c r="B806" s="1" t="n">
        <v>45559.32537037037</v>
      </c>
      <c r="C806" s="1" t="n">
        <v>46074</v>
      </c>
      <c r="D806" t="inlineStr">
        <is>
          <t>DALARNAS LÄN</t>
        </is>
      </c>
      <c r="E806" t="inlineStr">
        <is>
          <t>LEKSAND</t>
        </is>
      </c>
      <c r="G806" t="n">
        <v>1.6</v>
      </c>
      <c r="H806" t="n">
        <v>0</v>
      </c>
      <c r="I806" t="n">
        <v>0</v>
      </c>
      <c r="J806" t="n">
        <v>0</v>
      </c>
      <c r="K806" t="n">
        <v>0</v>
      </c>
      <c r="L806" t="n">
        <v>0</v>
      </c>
      <c r="M806" t="n">
        <v>0</v>
      </c>
      <c r="N806" t="n">
        <v>0</v>
      </c>
      <c r="O806" t="n">
        <v>0</v>
      </c>
      <c r="P806" t="n">
        <v>0</v>
      </c>
      <c r="Q806" t="n">
        <v>0</v>
      </c>
      <c r="R806" s="2" t="inlineStr"/>
    </row>
    <row r="807" ht="15" customHeight="1">
      <c r="A807" t="inlineStr">
        <is>
          <t>A 18107-2025</t>
        </is>
      </c>
      <c r="B807" s="1" t="n">
        <v>45761.55939814815</v>
      </c>
      <c r="C807" s="1" t="n">
        <v>46074</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49395-2024</t>
        </is>
      </c>
      <c r="B808" s="1" t="n">
        <v>45595</v>
      </c>
      <c r="C808" s="1" t="n">
        <v>46074</v>
      </c>
      <c r="D808" t="inlineStr">
        <is>
          <t>DALARNAS LÄN</t>
        </is>
      </c>
      <c r="E808" t="inlineStr">
        <is>
          <t>LEKSAND</t>
        </is>
      </c>
      <c r="G808" t="n">
        <v>0.7</v>
      </c>
      <c r="H808" t="n">
        <v>0</v>
      </c>
      <c r="I808" t="n">
        <v>0</v>
      </c>
      <c r="J808" t="n">
        <v>0</v>
      </c>
      <c r="K808" t="n">
        <v>0</v>
      </c>
      <c r="L808" t="n">
        <v>0</v>
      </c>
      <c r="M808" t="n">
        <v>0</v>
      </c>
      <c r="N808" t="n">
        <v>0</v>
      </c>
      <c r="O808" t="n">
        <v>0</v>
      </c>
      <c r="P808" t="n">
        <v>0</v>
      </c>
      <c r="Q808" t="n">
        <v>0</v>
      </c>
      <c r="R808" s="2" t="inlineStr"/>
    </row>
    <row r="809" ht="15" customHeight="1">
      <c r="A809" t="inlineStr">
        <is>
          <t>A 481-2024</t>
        </is>
      </c>
      <c r="B809" s="1" t="n">
        <v>45298</v>
      </c>
      <c r="C809" s="1" t="n">
        <v>46074</v>
      </c>
      <c r="D809" t="inlineStr">
        <is>
          <t>DALARNAS LÄN</t>
        </is>
      </c>
      <c r="E809" t="inlineStr">
        <is>
          <t>LEKSAND</t>
        </is>
      </c>
      <c r="G809" t="n">
        <v>7</v>
      </c>
      <c r="H809" t="n">
        <v>0</v>
      </c>
      <c r="I809" t="n">
        <v>0</v>
      </c>
      <c r="J809" t="n">
        <v>0</v>
      </c>
      <c r="K809" t="n">
        <v>0</v>
      </c>
      <c r="L809" t="n">
        <v>0</v>
      </c>
      <c r="M809" t="n">
        <v>0</v>
      </c>
      <c r="N809" t="n">
        <v>0</v>
      </c>
      <c r="O809" t="n">
        <v>0</v>
      </c>
      <c r="P809" t="n">
        <v>0</v>
      </c>
      <c r="Q809" t="n">
        <v>0</v>
      </c>
      <c r="R809" s="2" t="inlineStr"/>
    </row>
    <row r="810" ht="15" customHeight="1">
      <c r="A810" t="inlineStr">
        <is>
          <t>A 6778-2025</t>
        </is>
      </c>
      <c r="B810" s="1" t="n">
        <v>45700.64615740741</v>
      </c>
      <c r="C810" s="1" t="n">
        <v>46074</v>
      </c>
      <c r="D810" t="inlineStr">
        <is>
          <t>DALARNAS LÄN</t>
        </is>
      </c>
      <c r="E810" t="inlineStr">
        <is>
          <t>LEKSAND</t>
        </is>
      </c>
      <c r="G810" t="n">
        <v>2.4</v>
      </c>
      <c r="H810" t="n">
        <v>0</v>
      </c>
      <c r="I810" t="n">
        <v>0</v>
      </c>
      <c r="J810" t="n">
        <v>0</v>
      </c>
      <c r="K810" t="n">
        <v>0</v>
      </c>
      <c r="L810" t="n">
        <v>0</v>
      </c>
      <c r="M810" t="n">
        <v>0</v>
      </c>
      <c r="N810" t="n">
        <v>0</v>
      </c>
      <c r="O810" t="n">
        <v>0</v>
      </c>
      <c r="P810" t="n">
        <v>0</v>
      </c>
      <c r="Q810" t="n">
        <v>0</v>
      </c>
      <c r="R810" s="2" t="inlineStr"/>
    </row>
    <row r="811" ht="15" customHeight="1">
      <c r="A811" t="inlineStr">
        <is>
          <t>A 50278-2023</t>
        </is>
      </c>
      <c r="B811" s="1" t="n">
        <v>45216.43444444444</v>
      </c>
      <c r="C811" s="1" t="n">
        <v>46074</v>
      </c>
      <c r="D811" t="inlineStr">
        <is>
          <t>DALARNAS LÄN</t>
        </is>
      </c>
      <c r="E811" t="inlineStr">
        <is>
          <t>LEKSAND</t>
        </is>
      </c>
      <c r="G811" t="n">
        <v>0.4</v>
      </c>
      <c r="H811" t="n">
        <v>0</v>
      </c>
      <c r="I811" t="n">
        <v>0</v>
      </c>
      <c r="J811" t="n">
        <v>0</v>
      </c>
      <c r="K811" t="n">
        <v>0</v>
      </c>
      <c r="L811" t="n">
        <v>0</v>
      </c>
      <c r="M811" t="n">
        <v>0</v>
      </c>
      <c r="N811" t="n">
        <v>0</v>
      </c>
      <c r="O811" t="n">
        <v>0</v>
      </c>
      <c r="P811" t="n">
        <v>0</v>
      </c>
      <c r="Q811" t="n">
        <v>0</v>
      </c>
      <c r="R811" s="2" t="inlineStr"/>
    </row>
    <row r="812" ht="15" customHeight="1">
      <c r="A812" t="inlineStr">
        <is>
          <t>A 13401-2023</t>
        </is>
      </c>
      <c r="B812" s="1" t="n">
        <v>45005</v>
      </c>
      <c r="C812" s="1" t="n">
        <v>46074</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23323-2023</t>
        </is>
      </c>
      <c r="B813" s="1" t="n">
        <v>45076</v>
      </c>
      <c r="C813" s="1" t="n">
        <v>46074</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17485-2025</t>
        </is>
      </c>
      <c r="B814" s="1" t="n">
        <v>45757.49976851852</v>
      </c>
      <c r="C814" s="1" t="n">
        <v>46074</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18176-2024</t>
        </is>
      </c>
      <c r="B815" s="1" t="n">
        <v>45420.63901620371</v>
      </c>
      <c r="C815" s="1" t="n">
        <v>46074</v>
      </c>
      <c r="D815" t="inlineStr">
        <is>
          <t>DALARNAS LÄN</t>
        </is>
      </c>
      <c r="E815" t="inlineStr">
        <is>
          <t>LEKSAND</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33072-2021</t>
        </is>
      </c>
      <c r="B816" s="1" t="n">
        <v>44375</v>
      </c>
      <c r="C816" s="1" t="n">
        <v>46074</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412-2024</t>
        </is>
      </c>
      <c r="B817" s="1" t="n">
        <v>45296</v>
      </c>
      <c r="C817" s="1" t="n">
        <v>46074</v>
      </c>
      <c r="D817" t="inlineStr">
        <is>
          <t>DALARNAS LÄN</t>
        </is>
      </c>
      <c r="E817" t="inlineStr">
        <is>
          <t>LEKSAND</t>
        </is>
      </c>
      <c r="G817" t="n">
        <v>1.9</v>
      </c>
      <c r="H817" t="n">
        <v>0</v>
      </c>
      <c r="I817" t="n">
        <v>0</v>
      </c>
      <c r="J817" t="n">
        <v>0</v>
      </c>
      <c r="K817" t="n">
        <v>0</v>
      </c>
      <c r="L817" t="n">
        <v>0</v>
      </c>
      <c r="M817" t="n">
        <v>0</v>
      </c>
      <c r="N817" t="n">
        <v>0</v>
      </c>
      <c r="O817" t="n">
        <v>0</v>
      </c>
      <c r="P817" t="n">
        <v>0</v>
      </c>
      <c r="Q817" t="n">
        <v>0</v>
      </c>
      <c r="R817" s="2" t="inlineStr"/>
    </row>
    <row r="818" ht="15" customHeight="1">
      <c r="A818" t="inlineStr">
        <is>
          <t>A 56330-2022</t>
        </is>
      </c>
      <c r="B818" s="1" t="n">
        <v>44890.62630787037</v>
      </c>
      <c r="C818" s="1" t="n">
        <v>46074</v>
      </c>
      <c r="D818" t="inlineStr">
        <is>
          <t>DALARNAS LÄN</t>
        </is>
      </c>
      <c r="E818" t="inlineStr">
        <is>
          <t>LEKSAND</t>
        </is>
      </c>
      <c r="G818" t="n">
        <v>4.9</v>
      </c>
      <c r="H818" t="n">
        <v>0</v>
      </c>
      <c r="I818" t="n">
        <v>0</v>
      </c>
      <c r="J818" t="n">
        <v>0</v>
      </c>
      <c r="K818" t="n">
        <v>0</v>
      </c>
      <c r="L818" t="n">
        <v>0</v>
      </c>
      <c r="M818" t="n">
        <v>0</v>
      </c>
      <c r="N818" t="n">
        <v>0</v>
      </c>
      <c r="O818" t="n">
        <v>0</v>
      </c>
      <c r="P818" t="n">
        <v>0</v>
      </c>
      <c r="Q818" t="n">
        <v>0</v>
      </c>
      <c r="R818" s="2" t="inlineStr"/>
    </row>
    <row r="819" ht="15" customHeight="1">
      <c r="A819" t="inlineStr">
        <is>
          <t>A 59673-2023</t>
        </is>
      </c>
      <c r="B819" s="1" t="n">
        <v>45255.44603009259</v>
      </c>
      <c r="C819" s="1" t="n">
        <v>46074</v>
      </c>
      <c r="D819" t="inlineStr">
        <is>
          <t>DALARNAS LÄN</t>
        </is>
      </c>
      <c r="E819" t="inlineStr">
        <is>
          <t>LEKSAND</t>
        </is>
      </c>
      <c r="G819" t="n">
        <v>12.2</v>
      </c>
      <c r="H819" t="n">
        <v>0</v>
      </c>
      <c r="I819" t="n">
        <v>0</v>
      </c>
      <c r="J819" t="n">
        <v>0</v>
      </c>
      <c r="K819" t="n">
        <v>0</v>
      </c>
      <c r="L819" t="n">
        <v>0</v>
      </c>
      <c r="M819" t="n">
        <v>0</v>
      </c>
      <c r="N819" t="n">
        <v>0</v>
      </c>
      <c r="O819" t="n">
        <v>0</v>
      </c>
      <c r="P819" t="n">
        <v>0</v>
      </c>
      <c r="Q819" t="n">
        <v>0</v>
      </c>
      <c r="R819" s="2" t="inlineStr"/>
    </row>
    <row r="820" ht="15" customHeight="1">
      <c r="A820" t="inlineStr">
        <is>
          <t>A 17726-2024</t>
        </is>
      </c>
      <c r="B820" s="1" t="n">
        <v>45418.55609953704</v>
      </c>
      <c r="C820" s="1" t="n">
        <v>46074</v>
      </c>
      <c r="D820" t="inlineStr">
        <is>
          <t>DALARNAS LÄN</t>
        </is>
      </c>
      <c r="E820" t="inlineStr">
        <is>
          <t>LEKSAND</t>
        </is>
      </c>
      <c r="G820" t="n">
        <v>5.2</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46074</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1719-2024</t>
        </is>
      </c>
      <c r="B822" s="1" t="n">
        <v>45307</v>
      </c>
      <c r="C822" s="1" t="n">
        <v>46074</v>
      </c>
      <c r="D822" t="inlineStr">
        <is>
          <t>DALARNAS LÄN</t>
        </is>
      </c>
      <c r="E822" t="inlineStr">
        <is>
          <t>LEKSAND</t>
        </is>
      </c>
      <c r="G822" t="n">
        <v>2.8</v>
      </c>
      <c r="H822" t="n">
        <v>0</v>
      </c>
      <c r="I822" t="n">
        <v>0</v>
      </c>
      <c r="J822" t="n">
        <v>0</v>
      </c>
      <c r="K822" t="n">
        <v>0</v>
      </c>
      <c r="L822" t="n">
        <v>0</v>
      </c>
      <c r="M822" t="n">
        <v>0</v>
      </c>
      <c r="N822" t="n">
        <v>0</v>
      </c>
      <c r="O822" t="n">
        <v>0</v>
      </c>
      <c r="P822" t="n">
        <v>0</v>
      </c>
      <c r="Q822" t="n">
        <v>0</v>
      </c>
      <c r="R822" s="2" t="inlineStr"/>
    </row>
    <row r="823" ht="15" customHeight="1">
      <c r="A823" t="inlineStr">
        <is>
          <t>A 33463-2023</t>
        </is>
      </c>
      <c r="B823" s="1" t="n">
        <v>45131</v>
      </c>
      <c r="C823" s="1" t="n">
        <v>46074</v>
      </c>
      <c r="D823" t="inlineStr">
        <is>
          <t>DALARNAS LÄN</t>
        </is>
      </c>
      <c r="E823" t="inlineStr">
        <is>
          <t>LEKSAND</t>
        </is>
      </c>
      <c r="G823" t="n">
        <v>0.7</v>
      </c>
      <c r="H823" t="n">
        <v>0</v>
      </c>
      <c r="I823" t="n">
        <v>0</v>
      </c>
      <c r="J823" t="n">
        <v>0</v>
      </c>
      <c r="K823" t="n">
        <v>0</v>
      </c>
      <c r="L823" t="n">
        <v>0</v>
      </c>
      <c r="M823" t="n">
        <v>0</v>
      </c>
      <c r="N823" t="n">
        <v>0</v>
      </c>
      <c r="O823" t="n">
        <v>0</v>
      </c>
      <c r="P823" t="n">
        <v>0</v>
      </c>
      <c r="Q823" t="n">
        <v>0</v>
      </c>
      <c r="R823" s="2" t="inlineStr"/>
    </row>
    <row r="824" ht="15" customHeight="1">
      <c r="A824" t="inlineStr">
        <is>
          <t>A 55516-2024</t>
        </is>
      </c>
      <c r="B824" s="1" t="n">
        <v>45621</v>
      </c>
      <c r="C824" s="1" t="n">
        <v>46074</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12992-2022</t>
        </is>
      </c>
      <c r="B825" s="1" t="n">
        <v>44643</v>
      </c>
      <c r="C825" s="1" t="n">
        <v>46074</v>
      </c>
      <c r="D825" t="inlineStr">
        <is>
          <t>DALARNAS LÄN</t>
        </is>
      </c>
      <c r="E825" t="inlineStr">
        <is>
          <t>LEKSAND</t>
        </is>
      </c>
      <c r="G825" t="n">
        <v>1.5</v>
      </c>
      <c r="H825" t="n">
        <v>0</v>
      </c>
      <c r="I825" t="n">
        <v>0</v>
      </c>
      <c r="J825" t="n">
        <v>0</v>
      </c>
      <c r="K825" t="n">
        <v>0</v>
      </c>
      <c r="L825" t="n">
        <v>0</v>
      </c>
      <c r="M825" t="n">
        <v>0</v>
      </c>
      <c r="N825" t="n">
        <v>0</v>
      </c>
      <c r="O825" t="n">
        <v>0</v>
      </c>
      <c r="P825" t="n">
        <v>0</v>
      </c>
      <c r="Q825" t="n">
        <v>0</v>
      </c>
      <c r="R825" s="2" t="inlineStr"/>
    </row>
    <row r="826" ht="15" customHeight="1">
      <c r="A826" t="inlineStr">
        <is>
          <t>A 8211-2023</t>
        </is>
      </c>
      <c r="B826" s="1" t="n">
        <v>44974</v>
      </c>
      <c r="C826" s="1" t="n">
        <v>46074</v>
      </c>
      <c r="D826" t="inlineStr">
        <is>
          <t>DALARNAS LÄN</t>
        </is>
      </c>
      <c r="E826" t="inlineStr">
        <is>
          <t>LEKSAND</t>
        </is>
      </c>
      <c r="G826" t="n">
        <v>5.2</v>
      </c>
      <c r="H826" t="n">
        <v>0</v>
      </c>
      <c r="I826" t="n">
        <v>0</v>
      </c>
      <c r="J826" t="n">
        <v>0</v>
      </c>
      <c r="K826" t="n">
        <v>0</v>
      </c>
      <c r="L826" t="n">
        <v>0</v>
      </c>
      <c r="M826" t="n">
        <v>0</v>
      </c>
      <c r="N826" t="n">
        <v>0</v>
      </c>
      <c r="O826" t="n">
        <v>0</v>
      </c>
      <c r="P826" t="n">
        <v>0</v>
      </c>
      <c r="Q826" t="n">
        <v>0</v>
      </c>
      <c r="R826" s="2" t="inlineStr"/>
    </row>
    <row r="827" ht="15" customHeight="1">
      <c r="A827" t="inlineStr">
        <is>
          <t>A 50447-2023</t>
        </is>
      </c>
      <c r="B827" s="1" t="n">
        <v>45216.72185185185</v>
      </c>
      <c r="C827" s="1" t="n">
        <v>46074</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46876-2023</t>
        </is>
      </c>
      <c r="B828" s="1" t="n">
        <v>45200</v>
      </c>
      <c r="C828" s="1" t="n">
        <v>46074</v>
      </c>
      <c r="D828" t="inlineStr">
        <is>
          <t>DALARNAS LÄN</t>
        </is>
      </c>
      <c r="E828" t="inlineStr">
        <is>
          <t>LEKSAND</t>
        </is>
      </c>
      <c r="G828" t="n">
        <v>2.4</v>
      </c>
      <c r="H828" t="n">
        <v>0</v>
      </c>
      <c r="I828" t="n">
        <v>0</v>
      </c>
      <c r="J828" t="n">
        <v>0</v>
      </c>
      <c r="K828" t="n">
        <v>0</v>
      </c>
      <c r="L828" t="n">
        <v>0</v>
      </c>
      <c r="M828" t="n">
        <v>0</v>
      </c>
      <c r="N828" t="n">
        <v>0</v>
      </c>
      <c r="O828" t="n">
        <v>0</v>
      </c>
      <c r="P828" t="n">
        <v>0</v>
      </c>
      <c r="Q828" t="n">
        <v>0</v>
      </c>
      <c r="R828" s="2" t="inlineStr"/>
    </row>
    <row r="829" ht="15" customHeight="1">
      <c r="A829" t="inlineStr">
        <is>
          <t>A 55512-2024</t>
        </is>
      </c>
      <c r="B829" s="1" t="n">
        <v>45621</v>
      </c>
      <c r="C829" s="1" t="n">
        <v>46074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43470-2024</t>
        </is>
      </c>
      <c r="B830" s="1" t="n">
        <v>45568</v>
      </c>
      <c r="C830" s="1" t="n">
        <v>46074</v>
      </c>
      <c r="D830" t="inlineStr">
        <is>
          <t>DALARNAS LÄN</t>
        </is>
      </c>
      <c r="E830" t="inlineStr">
        <is>
          <t>LEKSAND</t>
        </is>
      </c>
      <c r="G830" t="n">
        <v>3.1</v>
      </c>
      <c r="H830" t="n">
        <v>0</v>
      </c>
      <c r="I830" t="n">
        <v>0</v>
      </c>
      <c r="J830" t="n">
        <v>0</v>
      </c>
      <c r="K830" t="n">
        <v>0</v>
      </c>
      <c r="L830" t="n">
        <v>0</v>
      </c>
      <c r="M830" t="n">
        <v>0</v>
      </c>
      <c r="N830" t="n">
        <v>0</v>
      </c>
      <c r="O830" t="n">
        <v>0</v>
      </c>
      <c r="P830" t="n">
        <v>0</v>
      </c>
      <c r="Q830" t="n">
        <v>0</v>
      </c>
      <c r="R830" s="2" t="inlineStr"/>
    </row>
    <row r="831" ht="15" customHeight="1">
      <c r="A831" t="inlineStr">
        <is>
          <t>A 11606-2025</t>
        </is>
      </c>
      <c r="B831" s="1" t="n">
        <v>45727</v>
      </c>
      <c r="C831" s="1" t="n">
        <v>46074</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22683-2022</t>
        </is>
      </c>
      <c r="B832" s="1" t="n">
        <v>44714</v>
      </c>
      <c r="C832" s="1" t="n">
        <v>46074</v>
      </c>
      <c r="D832" t="inlineStr">
        <is>
          <t>DALARNAS LÄN</t>
        </is>
      </c>
      <c r="E832" t="inlineStr">
        <is>
          <t>LEKSAND</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13161-2024</t>
        </is>
      </c>
      <c r="B833" s="1" t="n">
        <v>45386.38972222222</v>
      </c>
      <c r="C833" s="1" t="n">
        <v>46074</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61208-2023</t>
        </is>
      </c>
      <c r="B834" s="1" t="n">
        <v>45260</v>
      </c>
      <c r="C834" s="1" t="n">
        <v>46074</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26062-2024</t>
        </is>
      </c>
      <c r="B835" s="1" t="n">
        <v>45468.3509375</v>
      </c>
      <c r="C835" s="1" t="n">
        <v>46074</v>
      </c>
      <c r="D835" t="inlineStr">
        <is>
          <t>DALARNAS LÄN</t>
        </is>
      </c>
      <c r="E835" t="inlineStr">
        <is>
          <t>LEKSAND</t>
        </is>
      </c>
      <c r="F835" t="inlineStr">
        <is>
          <t>Övriga statliga verk och myndigheter</t>
        </is>
      </c>
      <c r="G835" t="n">
        <v>6.4</v>
      </c>
      <c r="H835" t="n">
        <v>0</v>
      </c>
      <c r="I835" t="n">
        <v>0</v>
      </c>
      <c r="J835" t="n">
        <v>0</v>
      </c>
      <c r="K835" t="n">
        <v>0</v>
      </c>
      <c r="L835" t="n">
        <v>0</v>
      </c>
      <c r="M835" t="n">
        <v>0</v>
      </c>
      <c r="N835" t="n">
        <v>0</v>
      </c>
      <c r="O835" t="n">
        <v>0</v>
      </c>
      <c r="P835" t="n">
        <v>0</v>
      </c>
      <c r="Q835" t="n">
        <v>0</v>
      </c>
      <c r="R835" s="2" t="inlineStr"/>
    </row>
    <row r="836" ht="15" customHeight="1">
      <c r="A836" t="inlineStr">
        <is>
          <t>A 22517-2024</t>
        </is>
      </c>
      <c r="B836" s="1" t="n">
        <v>45447.40143518519</v>
      </c>
      <c r="C836" s="1" t="n">
        <v>46074</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61953-2023</t>
        </is>
      </c>
      <c r="B837" s="1" t="n">
        <v>45266</v>
      </c>
      <c r="C837" s="1" t="n">
        <v>46074</v>
      </c>
      <c r="D837" t="inlineStr">
        <is>
          <t>DALARNAS LÄN</t>
        </is>
      </c>
      <c r="E837" t="inlineStr">
        <is>
          <t>LEKSAND</t>
        </is>
      </c>
      <c r="G837" t="n">
        <v>0.1</v>
      </c>
      <c r="H837" t="n">
        <v>0</v>
      </c>
      <c r="I837" t="n">
        <v>0</v>
      </c>
      <c r="J837" t="n">
        <v>0</v>
      </c>
      <c r="K837" t="n">
        <v>0</v>
      </c>
      <c r="L837" t="n">
        <v>0</v>
      </c>
      <c r="M837" t="n">
        <v>0</v>
      </c>
      <c r="N837" t="n">
        <v>0</v>
      </c>
      <c r="O837" t="n">
        <v>0</v>
      </c>
      <c r="P837" t="n">
        <v>0</v>
      </c>
      <c r="Q837" t="n">
        <v>0</v>
      </c>
      <c r="R837" s="2" t="inlineStr"/>
    </row>
    <row r="838" ht="15" customHeight="1">
      <c r="A838" t="inlineStr">
        <is>
          <t>A 16815-2025</t>
        </is>
      </c>
      <c r="B838" s="1" t="n">
        <v>45754</v>
      </c>
      <c r="C838" s="1" t="n">
        <v>46074</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16854-2025</t>
        </is>
      </c>
      <c r="B839" s="1" t="n">
        <v>45754.72883101852</v>
      </c>
      <c r="C839" s="1" t="n">
        <v>46074</v>
      </c>
      <c r="D839" t="inlineStr">
        <is>
          <t>DALARNAS LÄN</t>
        </is>
      </c>
      <c r="E839" t="inlineStr">
        <is>
          <t>LEKSAND</t>
        </is>
      </c>
      <c r="G839" t="n">
        <v>1.2</v>
      </c>
      <c r="H839" t="n">
        <v>0</v>
      </c>
      <c r="I839" t="n">
        <v>0</v>
      </c>
      <c r="J839" t="n">
        <v>0</v>
      </c>
      <c r="K839" t="n">
        <v>0</v>
      </c>
      <c r="L839" t="n">
        <v>0</v>
      </c>
      <c r="M839" t="n">
        <v>0</v>
      </c>
      <c r="N839" t="n">
        <v>0</v>
      </c>
      <c r="O839" t="n">
        <v>0</v>
      </c>
      <c r="P839" t="n">
        <v>0</v>
      </c>
      <c r="Q839" t="n">
        <v>0</v>
      </c>
      <c r="R839" s="2" t="inlineStr"/>
    </row>
    <row r="840" ht="15" customHeight="1">
      <c r="A840" t="inlineStr">
        <is>
          <t>A 62133-2023</t>
        </is>
      </c>
      <c r="B840" s="1" t="n">
        <v>45267.35582175926</v>
      </c>
      <c r="C840" s="1" t="n">
        <v>46074</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40009-2024</t>
        </is>
      </c>
      <c r="B841" s="1" t="n">
        <v>45553.65361111111</v>
      </c>
      <c r="C841" s="1" t="n">
        <v>46074</v>
      </c>
      <c r="D841" t="inlineStr">
        <is>
          <t>DALARNAS LÄN</t>
        </is>
      </c>
      <c r="E841" t="inlineStr">
        <is>
          <t>LEKSAND</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10967-2023</t>
        </is>
      </c>
      <c r="B842" s="1" t="n">
        <v>44991.58001157407</v>
      </c>
      <c r="C842" s="1" t="n">
        <v>46074</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10974-2023</t>
        </is>
      </c>
      <c r="B843" s="1" t="n">
        <v>44991.59049768518</v>
      </c>
      <c r="C843" s="1" t="n">
        <v>46074</v>
      </c>
      <c r="D843" t="inlineStr">
        <is>
          <t>DALARNAS LÄN</t>
        </is>
      </c>
      <c r="E843" t="inlineStr">
        <is>
          <t>LEKSAND</t>
        </is>
      </c>
      <c r="G843" t="n">
        <v>0.3</v>
      </c>
      <c r="H843" t="n">
        <v>0</v>
      </c>
      <c r="I843" t="n">
        <v>0</v>
      </c>
      <c r="J843" t="n">
        <v>0</v>
      </c>
      <c r="K843" t="n">
        <v>0</v>
      </c>
      <c r="L843" t="n">
        <v>0</v>
      </c>
      <c r="M843" t="n">
        <v>0</v>
      </c>
      <c r="N843" t="n">
        <v>0</v>
      </c>
      <c r="O843" t="n">
        <v>0</v>
      </c>
      <c r="P843" t="n">
        <v>0</v>
      </c>
      <c r="Q843" t="n">
        <v>0</v>
      </c>
      <c r="R843" s="2" t="inlineStr"/>
    </row>
    <row r="844" ht="15" customHeight="1">
      <c r="A844" t="inlineStr">
        <is>
          <t>A 47203-2023</t>
        </is>
      </c>
      <c r="B844" s="1" t="n">
        <v>45202</v>
      </c>
      <c r="C844" s="1" t="n">
        <v>46074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42727-2024</t>
        </is>
      </c>
      <c r="B845" s="1" t="n">
        <v>45566</v>
      </c>
      <c r="C845" s="1" t="n">
        <v>46074</v>
      </c>
      <c r="D845" t="inlineStr">
        <is>
          <t>DALARNAS LÄN</t>
        </is>
      </c>
      <c r="E845" t="inlineStr">
        <is>
          <t>LEKSAND</t>
        </is>
      </c>
      <c r="G845" t="n">
        <v>0.8</v>
      </c>
      <c r="H845" t="n">
        <v>0</v>
      </c>
      <c r="I845" t="n">
        <v>0</v>
      </c>
      <c r="J845" t="n">
        <v>0</v>
      </c>
      <c r="K845" t="n">
        <v>0</v>
      </c>
      <c r="L845" t="n">
        <v>0</v>
      </c>
      <c r="M845" t="n">
        <v>0</v>
      </c>
      <c r="N845" t="n">
        <v>0</v>
      </c>
      <c r="O845" t="n">
        <v>0</v>
      </c>
      <c r="P845" t="n">
        <v>0</v>
      </c>
      <c r="Q845" t="n">
        <v>0</v>
      </c>
      <c r="R845" s="2" t="inlineStr"/>
    </row>
    <row r="846" ht="15" customHeight="1">
      <c r="A846" t="inlineStr">
        <is>
          <t>A 19295-2024</t>
        </is>
      </c>
      <c r="B846" s="1" t="n">
        <v>45428.69106481481</v>
      </c>
      <c r="C846" s="1" t="n">
        <v>46074</v>
      </c>
      <c r="D846" t="inlineStr">
        <is>
          <t>DALARNAS LÄN</t>
        </is>
      </c>
      <c r="E846" t="inlineStr">
        <is>
          <t>LEKSAND</t>
        </is>
      </c>
      <c r="G846" t="n">
        <v>1.6</v>
      </c>
      <c r="H846" t="n">
        <v>0</v>
      </c>
      <c r="I846" t="n">
        <v>0</v>
      </c>
      <c r="J846" t="n">
        <v>0</v>
      </c>
      <c r="K846" t="n">
        <v>0</v>
      </c>
      <c r="L846" t="n">
        <v>0</v>
      </c>
      <c r="M846" t="n">
        <v>0</v>
      </c>
      <c r="N846" t="n">
        <v>0</v>
      </c>
      <c r="O846" t="n">
        <v>0</v>
      </c>
      <c r="P846" t="n">
        <v>0</v>
      </c>
      <c r="Q846" t="n">
        <v>0</v>
      </c>
      <c r="R846" s="2" t="inlineStr"/>
    </row>
    <row r="847" ht="15" customHeight="1">
      <c r="A847" t="inlineStr">
        <is>
          <t>A 16197-2024</t>
        </is>
      </c>
      <c r="B847" s="1" t="n">
        <v>45406.70356481482</v>
      </c>
      <c r="C847" s="1" t="n">
        <v>46074</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20937-2025</t>
        </is>
      </c>
      <c r="B848" s="1" t="n">
        <v>45777.42769675926</v>
      </c>
      <c r="C848" s="1" t="n">
        <v>46074</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20683-2025</t>
        </is>
      </c>
      <c r="B849" s="1" t="n">
        <v>45776</v>
      </c>
      <c r="C849" s="1" t="n">
        <v>46074</v>
      </c>
      <c r="D849" t="inlineStr">
        <is>
          <t>DALARNAS LÄN</t>
        </is>
      </c>
      <c r="E849" t="inlineStr">
        <is>
          <t>LEKSAND</t>
        </is>
      </c>
      <c r="F849" t="inlineStr">
        <is>
          <t>Bergvik skog väst AB</t>
        </is>
      </c>
      <c r="G849" t="n">
        <v>4.1</v>
      </c>
      <c r="H849" t="n">
        <v>0</v>
      </c>
      <c r="I849" t="n">
        <v>0</v>
      </c>
      <c r="J849" t="n">
        <v>0</v>
      </c>
      <c r="K849" t="n">
        <v>0</v>
      </c>
      <c r="L849" t="n">
        <v>0</v>
      </c>
      <c r="M849" t="n">
        <v>0</v>
      </c>
      <c r="N849" t="n">
        <v>0</v>
      </c>
      <c r="O849" t="n">
        <v>0</v>
      </c>
      <c r="P849" t="n">
        <v>0</v>
      </c>
      <c r="Q849" t="n">
        <v>0</v>
      </c>
      <c r="R849" s="2" t="inlineStr"/>
    </row>
    <row r="850" ht="15" customHeight="1">
      <c r="A850" t="inlineStr">
        <is>
          <t>A 21230-2025</t>
        </is>
      </c>
      <c r="B850" s="1" t="n">
        <v>45779.54589120371</v>
      </c>
      <c r="C850" s="1" t="n">
        <v>46074</v>
      </c>
      <c r="D850" t="inlineStr">
        <is>
          <t>DALARNAS LÄN</t>
        </is>
      </c>
      <c r="E850" t="inlineStr">
        <is>
          <t>LEKSAND</t>
        </is>
      </c>
      <c r="G850" t="n">
        <v>0.5</v>
      </c>
      <c r="H850" t="n">
        <v>0</v>
      </c>
      <c r="I850" t="n">
        <v>0</v>
      </c>
      <c r="J850" t="n">
        <v>0</v>
      </c>
      <c r="K850" t="n">
        <v>0</v>
      </c>
      <c r="L850" t="n">
        <v>0</v>
      </c>
      <c r="M850" t="n">
        <v>0</v>
      </c>
      <c r="N850" t="n">
        <v>0</v>
      </c>
      <c r="O850" t="n">
        <v>0</v>
      </c>
      <c r="P850" t="n">
        <v>0</v>
      </c>
      <c r="Q850" t="n">
        <v>0</v>
      </c>
      <c r="R850" s="2" t="inlineStr"/>
    </row>
    <row r="851" ht="15" customHeight="1">
      <c r="A851" t="inlineStr">
        <is>
          <t>A 21193-2025</t>
        </is>
      </c>
      <c r="B851" s="1" t="n">
        <v>45779.46675925926</v>
      </c>
      <c r="C851" s="1" t="n">
        <v>46074</v>
      </c>
      <c r="D851" t="inlineStr">
        <is>
          <t>DALARNAS LÄN</t>
        </is>
      </c>
      <c r="E851" t="inlineStr">
        <is>
          <t>LEKSAND</t>
        </is>
      </c>
      <c r="G851" t="n">
        <v>3.7</v>
      </c>
      <c r="H851" t="n">
        <v>0</v>
      </c>
      <c r="I851" t="n">
        <v>0</v>
      </c>
      <c r="J851" t="n">
        <v>0</v>
      </c>
      <c r="K851" t="n">
        <v>0</v>
      </c>
      <c r="L851" t="n">
        <v>0</v>
      </c>
      <c r="M851" t="n">
        <v>0</v>
      </c>
      <c r="N851" t="n">
        <v>0</v>
      </c>
      <c r="O851" t="n">
        <v>0</v>
      </c>
      <c r="P851" t="n">
        <v>0</v>
      </c>
      <c r="Q851" t="n">
        <v>0</v>
      </c>
      <c r="R851" s="2" t="inlineStr"/>
    </row>
    <row r="852" ht="15" customHeight="1">
      <c r="A852" t="inlineStr">
        <is>
          <t>A 40627-2023</t>
        </is>
      </c>
      <c r="B852" s="1" t="n">
        <v>45170</v>
      </c>
      <c r="C852" s="1" t="n">
        <v>46074</v>
      </c>
      <c r="D852" t="inlineStr">
        <is>
          <t>DALARNAS LÄN</t>
        </is>
      </c>
      <c r="E852" t="inlineStr">
        <is>
          <t>LEKSAND</t>
        </is>
      </c>
      <c r="F852" t="inlineStr">
        <is>
          <t>Bergvik skog väst AB</t>
        </is>
      </c>
      <c r="G852" t="n">
        <v>3.3</v>
      </c>
      <c r="H852" t="n">
        <v>0</v>
      </c>
      <c r="I852" t="n">
        <v>0</v>
      </c>
      <c r="J852" t="n">
        <v>0</v>
      </c>
      <c r="K852" t="n">
        <v>0</v>
      </c>
      <c r="L852" t="n">
        <v>0</v>
      </c>
      <c r="M852" t="n">
        <v>0</v>
      </c>
      <c r="N852" t="n">
        <v>0</v>
      </c>
      <c r="O852" t="n">
        <v>0</v>
      </c>
      <c r="P852" t="n">
        <v>0</v>
      </c>
      <c r="Q852" t="n">
        <v>0</v>
      </c>
      <c r="R852" s="2" t="inlineStr"/>
    </row>
    <row r="853" ht="15" customHeight="1">
      <c r="A853" t="inlineStr">
        <is>
          <t>A 21600-2025</t>
        </is>
      </c>
      <c r="B853" s="1" t="n">
        <v>45783.3521875</v>
      </c>
      <c r="C853" s="1" t="n">
        <v>46074</v>
      </c>
      <c r="D853" t="inlineStr">
        <is>
          <t>DALARNAS LÄN</t>
        </is>
      </c>
      <c r="E853" t="inlineStr">
        <is>
          <t>LEKSAND</t>
        </is>
      </c>
      <c r="G853" t="n">
        <v>7.7</v>
      </c>
      <c r="H853" t="n">
        <v>0</v>
      </c>
      <c r="I853" t="n">
        <v>0</v>
      </c>
      <c r="J853" t="n">
        <v>0</v>
      </c>
      <c r="K853" t="n">
        <v>0</v>
      </c>
      <c r="L853" t="n">
        <v>0</v>
      </c>
      <c r="M853" t="n">
        <v>0</v>
      </c>
      <c r="N853" t="n">
        <v>0</v>
      </c>
      <c r="O853" t="n">
        <v>0</v>
      </c>
      <c r="P853" t="n">
        <v>0</v>
      </c>
      <c r="Q853" t="n">
        <v>0</v>
      </c>
      <c r="R853" s="2" t="inlineStr"/>
    </row>
    <row r="854" ht="15" customHeight="1">
      <c r="A854" t="inlineStr">
        <is>
          <t>A 11872-2024</t>
        </is>
      </c>
      <c r="B854" s="1" t="n">
        <v>45376.46833333333</v>
      </c>
      <c r="C854" s="1" t="n">
        <v>46074</v>
      </c>
      <c r="D854" t="inlineStr">
        <is>
          <t>DALARNAS LÄN</t>
        </is>
      </c>
      <c r="E854" t="inlineStr">
        <is>
          <t>LEKSAND</t>
        </is>
      </c>
      <c r="G854" t="n">
        <v>3.1</v>
      </c>
      <c r="H854" t="n">
        <v>0</v>
      </c>
      <c r="I854" t="n">
        <v>0</v>
      </c>
      <c r="J854" t="n">
        <v>0</v>
      </c>
      <c r="K854" t="n">
        <v>0</v>
      </c>
      <c r="L854" t="n">
        <v>0</v>
      </c>
      <c r="M854" t="n">
        <v>0</v>
      </c>
      <c r="N854" t="n">
        <v>0</v>
      </c>
      <c r="O854" t="n">
        <v>0</v>
      </c>
      <c r="P854" t="n">
        <v>0</v>
      </c>
      <c r="Q854" t="n">
        <v>0</v>
      </c>
      <c r="R854" s="2" t="inlineStr"/>
    </row>
    <row r="855" ht="15" customHeight="1">
      <c r="A855" t="inlineStr">
        <is>
          <t>A 21457-2025</t>
        </is>
      </c>
      <c r="B855" s="1" t="n">
        <v>45782.55451388889</v>
      </c>
      <c r="C855" s="1" t="n">
        <v>46074</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61554-2024</t>
        </is>
      </c>
      <c r="B856" s="1" t="n">
        <v>45646.60748842593</v>
      </c>
      <c r="C856" s="1" t="n">
        <v>46074</v>
      </c>
      <c r="D856" t="inlineStr">
        <is>
          <t>DALARNAS LÄN</t>
        </is>
      </c>
      <c r="E856" t="inlineStr">
        <is>
          <t>LEKSAND</t>
        </is>
      </c>
      <c r="G856" t="n">
        <v>2.6</v>
      </c>
      <c r="H856" t="n">
        <v>0</v>
      </c>
      <c r="I856" t="n">
        <v>0</v>
      </c>
      <c r="J856" t="n">
        <v>0</v>
      </c>
      <c r="K856" t="n">
        <v>0</v>
      </c>
      <c r="L856" t="n">
        <v>0</v>
      </c>
      <c r="M856" t="n">
        <v>0</v>
      </c>
      <c r="N856" t="n">
        <v>0</v>
      </c>
      <c r="O856" t="n">
        <v>0</v>
      </c>
      <c r="P856" t="n">
        <v>0</v>
      </c>
      <c r="Q856" t="n">
        <v>0</v>
      </c>
      <c r="R856" s="2" t="inlineStr"/>
    </row>
    <row r="857" ht="15" customHeight="1">
      <c r="A857" t="inlineStr">
        <is>
          <t>A 22080-2025</t>
        </is>
      </c>
      <c r="B857" s="1" t="n">
        <v>45785</v>
      </c>
      <c r="C857" s="1" t="n">
        <v>46074</v>
      </c>
      <c r="D857" t="inlineStr">
        <is>
          <t>DALARNAS LÄN</t>
        </is>
      </c>
      <c r="E857" t="inlineStr">
        <is>
          <t>LEKSAND</t>
        </is>
      </c>
      <c r="G857" t="n">
        <v>7</v>
      </c>
      <c r="H857" t="n">
        <v>0</v>
      </c>
      <c r="I857" t="n">
        <v>0</v>
      </c>
      <c r="J857" t="n">
        <v>0</v>
      </c>
      <c r="K857" t="n">
        <v>0</v>
      </c>
      <c r="L857" t="n">
        <v>0</v>
      </c>
      <c r="M857" t="n">
        <v>0</v>
      </c>
      <c r="N857" t="n">
        <v>0</v>
      </c>
      <c r="O857" t="n">
        <v>0</v>
      </c>
      <c r="P857" t="n">
        <v>0</v>
      </c>
      <c r="Q857" t="n">
        <v>0</v>
      </c>
      <c r="R857" s="2" t="inlineStr"/>
    </row>
    <row r="858" ht="15" customHeight="1">
      <c r="A858" t="inlineStr">
        <is>
          <t>A 21916-2025</t>
        </is>
      </c>
      <c r="B858" s="1" t="n">
        <v>45784.50115740741</v>
      </c>
      <c r="C858" s="1" t="n">
        <v>46074</v>
      </c>
      <c r="D858" t="inlineStr">
        <is>
          <t>DALARNAS LÄN</t>
        </is>
      </c>
      <c r="E858" t="inlineStr">
        <is>
          <t>LEKSAND</t>
        </is>
      </c>
      <c r="G858" t="n">
        <v>2.6</v>
      </c>
      <c r="H858" t="n">
        <v>0</v>
      </c>
      <c r="I858" t="n">
        <v>0</v>
      </c>
      <c r="J858" t="n">
        <v>0</v>
      </c>
      <c r="K858" t="n">
        <v>0</v>
      </c>
      <c r="L858" t="n">
        <v>0</v>
      </c>
      <c r="M858" t="n">
        <v>0</v>
      </c>
      <c r="N858" t="n">
        <v>0</v>
      </c>
      <c r="O858" t="n">
        <v>0</v>
      </c>
      <c r="P858" t="n">
        <v>0</v>
      </c>
      <c r="Q858" t="n">
        <v>0</v>
      </c>
      <c r="R858" s="2" t="inlineStr"/>
    </row>
    <row r="859" ht="15" customHeight="1">
      <c r="A859" t="inlineStr">
        <is>
          <t>A 62307-2023</t>
        </is>
      </c>
      <c r="B859" s="1" t="n">
        <v>45266</v>
      </c>
      <c r="C859" s="1" t="n">
        <v>46074</v>
      </c>
      <c r="D859" t="inlineStr">
        <is>
          <t>DALARNAS LÄN</t>
        </is>
      </c>
      <c r="E859" t="inlineStr">
        <is>
          <t>LEKSAND</t>
        </is>
      </c>
      <c r="G859" t="n">
        <v>3.9</v>
      </c>
      <c r="H859" t="n">
        <v>0</v>
      </c>
      <c r="I859" t="n">
        <v>0</v>
      </c>
      <c r="J859" t="n">
        <v>0</v>
      </c>
      <c r="K859" t="n">
        <v>0</v>
      </c>
      <c r="L859" t="n">
        <v>0</v>
      </c>
      <c r="M859" t="n">
        <v>0</v>
      </c>
      <c r="N859" t="n">
        <v>0</v>
      </c>
      <c r="O859" t="n">
        <v>0</v>
      </c>
      <c r="P859" t="n">
        <v>0</v>
      </c>
      <c r="Q859" t="n">
        <v>0</v>
      </c>
      <c r="R859" s="2" t="inlineStr"/>
    </row>
    <row r="860" ht="15" customHeight="1">
      <c r="A860" t="inlineStr">
        <is>
          <t>A 14967-2023</t>
        </is>
      </c>
      <c r="B860" s="1" t="n">
        <v>45015</v>
      </c>
      <c r="C860" s="1" t="n">
        <v>46074</v>
      </c>
      <c r="D860" t="inlineStr">
        <is>
          <t>DALARNAS LÄN</t>
        </is>
      </c>
      <c r="E860" t="inlineStr">
        <is>
          <t>LEKSAND</t>
        </is>
      </c>
      <c r="G860" t="n">
        <v>1.4</v>
      </c>
      <c r="H860" t="n">
        <v>0</v>
      </c>
      <c r="I860" t="n">
        <v>0</v>
      </c>
      <c r="J860" t="n">
        <v>0</v>
      </c>
      <c r="K860" t="n">
        <v>0</v>
      </c>
      <c r="L860" t="n">
        <v>0</v>
      </c>
      <c r="M860" t="n">
        <v>0</v>
      </c>
      <c r="N860" t="n">
        <v>0</v>
      </c>
      <c r="O860" t="n">
        <v>0</v>
      </c>
      <c r="P860" t="n">
        <v>0</v>
      </c>
      <c r="Q860" t="n">
        <v>0</v>
      </c>
      <c r="R860" s="2" t="inlineStr"/>
    </row>
    <row r="861" ht="15" customHeight="1">
      <c r="A861" t="inlineStr">
        <is>
          <t>A 7861-2024</t>
        </is>
      </c>
      <c r="B861" s="1" t="n">
        <v>45350.30831018519</v>
      </c>
      <c r="C861" s="1" t="n">
        <v>46074</v>
      </c>
      <c r="D861" t="inlineStr">
        <is>
          <t>DALARNAS LÄN</t>
        </is>
      </c>
      <c r="E861" t="inlineStr">
        <is>
          <t>LEKSAND</t>
        </is>
      </c>
      <c r="G861" t="n">
        <v>1.8</v>
      </c>
      <c r="H861" t="n">
        <v>0</v>
      </c>
      <c r="I861" t="n">
        <v>0</v>
      </c>
      <c r="J861" t="n">
        <v>0</v>
      </c>
      <c r="K861" t="n">
        <v>0</v>
      </c>
      <c r="L861" t="n">
        <v>0</v>
      </c>
      <c r="M861" t="n">
        <v>0</v>
      </c>
      <c r="N861" t="n">
        <v>0</v>
      </c>
      <c r="O861" t="n">
        <v>0</v>
      </c>
      <c r="P861" t="n">
        <v>0</v>
      </c>
      <c r="Q861" t="n">
        <v>0</v>
      </c>
      <c r="R861" s="2" t="inlineStr"/>
    </row>
    <row r="862" ht="15" customHeight="1">
      <c r="A862" t="inlineStr">
        <is>
          <t>A 36534-2024</t>
        </is>
      </c>
      <c r="B862" s="1" t="n">
        <v>45537.45143518518</v>
      </c>
      <c r="C862" s="1" t="n">
        <v>46074</v>
      </c>
      <c r="D862" t="inlineStr">
        <is>
          <t>DALARNAS LÄN</t>
        </is>
      </c>
      <c r="E862" t="inlineStr">
        <is>
          <t>LEKSAND</t>
        </is>
      </c>
      <c r="G862" t="n">
        <v>4</v>
      </c>
      <c r="H862" t="n">
        <v>0</v>
      </c>
      <c r="I862" t="n">
        <v>0</v>
      </c>
      <c r="J862" t="n">
        <v>0</v>
      </c>
      <c r="K862" t="n">
        <v>0</v>
      </c>
      <c r="L862" t="n">
        <v>0</v>
      </c>
      <c r="M862" t="n">
        <v>0</v>
      </c>
      <c r="N862" t="n">
        <v>0</v>
      </c>
      <c r="O862" t="n">
        <v>0</v>
      </c>
      <c r="P862" t="n">
        <v>0</v>
      </c>
      <c r="Q862" t="n">
        <v>0</v>
      </c>
      <c r="R862" s="2" t="inlineStr"/>
    </row>
    <row r="863" ht="15" customHeight="1">
      <c r="A863" t="inlineStr">
        <is>
          <t>A 22536-2025</t>
        </is>
      </c>
      <c r="B863" s="1" t="n">
        <v>45787.33037037037</v>
      </c>
      <c r="C863" s="1" t="n">
        <v>46074</v>
      </c>
      <c r="D863" t="inlineStr">
        <is>
          <t>DALARNAS LÄN</t>
        </is>
      </c>
      <c r="E863" t="inlineStr">
        <is>
          <t>LEKSAND</t>
        </is>
      </c>
      <c r="G863" t="n">
        <v>1.8</v>
      </c>
      <c r="H863" t="n">
        <v>0</v>
      </c>
      <c r="I863" t="n">
        <v>0</v>
      </c>
      <c r="J863" t="n">
        <v>0</v>
      </c>
      <c r="K863" t="n">
        <v>0</v>
      </c>
      <c r="L863" t="n">
        <v>0</v>
      </c>
      <c r="M863" t="n">
        <v>0</v>
      </c>
      <c r="N863" t="n">
        <v>0</v>
      </c>
      <c r="O863" t="n">
        <v>0</v>
      </c>
      <c r="P863" t="n">
        <v>0</v>
      </c>
      <c r="Q863" t="n">
        <v>0</v>
      </c>
      <c r="R863" s="2" t="inlineStr"/>
    </row>
    <row r="864" ht="15" customHeight="1">
      <c r="A864" t="inlineStr">
        <is>
          <t>A 60042-2023</t>
        </is>
      </c>
      <c r="B864" s="1" t="n">
        <v>45256</v>
      </c>
      <c r="C864" s="1" t="n">
        <v>46074</v>
      </c>
      <c r="D864" t="inlineStr">
        <is>
          <t>DALARNAS LÄN</t>
        </is>
      </c>
      <c r="E864" t="inlineStr">
        <is>
          <t>LEKSAND</t>
        </is>
      </c>
      <c r="G864" t="n">
        <v>2</v>
      </c>
      <c r="H864" t="n">
        <v>0</v>
      </c>
      <c r="I864" t="n">
        <v>0</v>
      </c>
      <c r="J864" t="n">
        <v>0</v>
      </c>
      <c r="K864" t="n">
        <v>0</v>
      </c>
      <c r="L864" t="n">
        <v>0</v>
      </c>
      <c r="M864" t="n">
        <v>0</v>
      </c>
      <c r="N864" t="n">
        <v>0</v>
      </c>
      <c r="O864" t="n">
        <v>0</v>
      </c>
      <c r="P864" t="n">
        <v>0</v>
      </c>
      <c r="Q864" t="n">
        <v>0</v>
      </c>
      <c r="R864" s="2" t="inlineStr"/>
    </row>
    <row r="865" ht="15" customHeight="1">
      <c r="A865" t="inlineStr">
        <is>
          <t>A 34244-2024</t>
        </is>
      </c>
      <c r="B865" s="1" t="n">
        <v>45524.58349537037</v>
      </c>
      <c r="C865" s="1" t="n">
        <v>46074</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57468-2023</t>
        </is>
      </c>
      <c r="B866" s="1" t="n">
        <v>45246</v>
      </c>
      <c r="C866" s="1" t="n">
        <v>46074</v>
      </c>
      <c r="D866" t="inlineStr">
        <is>
          <t>DALARNAS LÄN</t>
        </is>
      </c>
      <c r="E866" t="inlineStr">
        <is>
          <t>LEKSAND</t>
        </is>
      </c>
      <c r="G866" t="n">
        <v>4.6</v>
      </c>
      <c r="H866" t="n">
        <v>0</v>
      </c>
      <c r="I866" t="n">
        <v>0</v>
      </c>
      <c r="J866" t="n">
        <v>0</v>
      </c>
      <c r="K866" t="n">
        <v>0</v>
      </c>
      <c r="L866" t="n">
        <v>0</v>
      </c>
      <c r="M866" t="n">
        <v>0</v>
      </c>
      <c r="N866" t="n">
        <v>0</v>
      </c>
      <c r="O866" t="n">
        <v>0</v>
      </c>
      <c r="P866" t="n">
        <v>0</v>
      </c>
      <c r="Q866" t="n">
        <v>0</v>
      </c>
      <c r="R866" s="2" t="inlineStr"/>
    </row>
    <row r="867" ht="15" customHeight="1">
      <c r="A867" t="inlineStr">
        <is>
          <t>A 22876-2025</t>
        </is>
      </c>
      <c r="B867" s="1" t="n">
        <v>45790.3728587963</v>
      </c>
      <c r="C867" s="1" t="n">
        <v>46074</v>
      </c>
      <c r="D867" t="inlineStr">
        <is>
          <t>DALARNAS LÄN</t>
        </is>
      </c>
      <c r="E867" t="inlineStr">
        <is>
          <t>LEKSAND</t>
        </is>
      </c>
      <c r="G867" t="n">
        <v>5.9</v>
      </c>
      <c r="H867" t="n">
        <v>0</v>
      </c>
      <c r="I867" t="n">
        <v>0</v>
      </c>
      <c r="J867" t="n">
        <v>0</v>
      </c>
      <c r="K867" t="n">
        <v>0</v>
      </c>
      <c r="L867" t="n">
        <v>0</v>
      </c>
      <c r="M867" t="n">
        <v>0</v>
      </c>
      <c r="N867" t="n">
        <v>0</v>
      </c>
      <c r="O867" t="n">
        <v>0</v>
      </c>
      <c r="P867" t="n">
        <v>0</v>
      </c>
      <c r="Q867" t="n">
        <v>0</v>
      </c>
      <c r="R867" s="2" t="inlineStr"/>
    </row>
    <row r="868" ht="15" customHeight="1">
      <c r="A868" t="inlineStr">
        <is>
          <t>A 49499-2024</t>
        </is>
      </c>
      <c r="B868" s="1" t="n">
        <v>45596</v>
      </c>
      <c r="C868" s="1" t="n">
        <v>46074</v>
      </c>
      <c r="D868" t="inlineStr">
        <is>
          <t>DALARNAS LÄN</t>
        </is>
      </c>
      <c r="E868" t="inlineStr">
        <is>
          <t>LEKSAND</t>
        </is>
      </c>
      <c r="G868" t="n">
        <v>1</v>
      </c>
      <c r="H868" t="n">
        <v>0</v>
      </c>
      <c r="I868" t="n">
        <v>0</v>
      </c>
      <c r="J868" t="n">
        <v>0</v>
      </c>
      <c r="K868" t="n">
        <v>0</v>
      </c>
      <c r="L868" t="n">
        <v>0</v>
      </c>
      <c r="M868" t="n">
        <v>0</v>
      </c>
      <c r="N868" t="n">
        <v>0</v>
      </c>
      <c r="O868" t="n">
        <v>0</v>
      </c>
      <c r="P868" t="n">
        <v>0</v>
      </c>
      <c r="Q868" t="n">
        <v>0</v>
      </c>
      <c r="R868" s="2" t="inlineStr"/>
    </row>
    <row r="869" ht="15" customHeight="1">
      <c r="A869" t="inlineStr">
        <is>
          <t>A 44822-2024</t>
        </is>
      </c>
      <c r="B869" s="1" t="n">
        <v>45574.6646412037</v>
      </c>
      <c r="C869" s="1" t="n">
        <v>46074</v>
      </c>
      <c r="D869" t="inlineStr">
        <is>
          <t>DALARNAS LÄN</t>
        </is>
      </c>
      <c r="E869" t="inlineStr">
        <is>
          <t>LEKSAND</t>
        </is>
      </c>
      <c r="G869" t="n">
        <v>1</v>
      </c>
      <c r="H869" t="n">
        <v>0</v>
      </c>
      <c r="I869" t="n">
        <v>0</v>
      </c>
      <c r="J869" t="n">
        <v>0</v>
      </c>
      <c r="K869" t="n">
        <v>0</v>
      </c>
      <c r="L869" t="n">
        <v>0</v>
      </c>
      <c r="M869" t="n">
        <v>0</v>
      </c>
      <c r="N869" t="n">
        <v>0</v>
      </c>
      <c r="O869" t="n">
        <v>0</v>
      </c>
      <c r="P869" t="n">
        <v>0</v>
      </c>
      <c r="Q869" t="n">
        <v>0</v>
      </c>
      <c r="R869" s="2" t="inlineStr"/>
    </row>
    <row r="870" ht="15" customHeight="1">
      <c r="A870" t="inlineStr">
        <is>
          <t>A 23058-2025</t>
        </is>
      </c>
      <c r="B870" s="1" t="n">
        <v>45790.78076388889</v>
      </c>
      <c r="C870" s="1" t="n">
        <v>46074</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23076-2025</t>
        </is>
      </c>
      <c r="B871" s="1" t="n">
        <v>45790.90960648148</v>
      </c>
      <c r="C871" s="1" t="n">
        <v>46074</v>
      </c>
      <c r="D871" t="inlineStr">
        <is>
          <t>DALARNAS LÄN</t>
        </is>
      </c>
      <c r="E871" t="inlineStr">
        <is>
          <t>LEKSAND</t>
        </is>
      </c>
      <c r="G871" t="n">
        <v>0.9</v>
      </c>
      <c r="H871" t="n">
        <v>0</v>
      </c>
      <c r="I871" t="n">
        <v>0</v>
      </c>
      <c r="J871" t="n">
        <v>0</v>
      </c>
      <c r="K871" t="n">
        <v>0</v>
      </c>
      <c r="L871" t="n">
        <v>0</v>
      </c>
      <c r="M871" t="n">
        <v>0</v>
      </c>
      <c r="N871" t="n">
        <v>0</v>
      </c>
      <c r="O871" t="n">
        <v>0</v>
      </c>
      <c r="P871" t="n">
        <v>0</v>
      </c>
      <c r="Q871" t="n">
        <v>0</v>
      </c>
      <c r="R871" s="2" t="inlineStr"/>
    </row>
    <row r="872" ht="15" customHeight="1">
      <c r="A872" t="inlineStr">
        <is>
          <t>A 23855-2025</t>
        </is>
      </c>
      <c r="B872" s="1" t="n">
        <v>45793.65900462963</v>
      </c>
      <c r="C872" s="1" t="n">
        <v>46074</v>
      </c>
      <c r="D872" t="inlineStr">
        <is>
          <t>DALARNAS LÄN</t>
        </is>
      </c>
      <c r="E872" t="inlineStr">
        <is>
          <t>LEKSAND</t>
        </is>
      </c>
      <c r="G872" t="n">
        <v>0.6</v>
      </c>
      <c r="H872" t="n">
        <v>0</v>
      </c>
      <c r="I872" t="n">
        <v>0</v>
      </c>
      <c r="J872" t="n">
        <v>0</v>
      </c>
      <c r="K872" t="n">
        <v>0</v>
      </c>
      <c r="L872" t="n">
        <v>0</v>
      </c>
      <c r="M872" t="n">
        <v>0</v>
      </c>
      <c r="N872" t="n">
        <v>0</v>
      </c>
      <c r="O872" t="n">
        <v>0</v>
      </c>
      <c r="P872" t="n">
        <v>0</v>
      </c>
      <c r="Q872" t="n">
        <v>0</v>
      </c>
      <c r="R872" s="2" t="inlineStr"/>
    </row>
    <row r="873" ht="15" customHeight="1">
      <c r="A873" t="inlineStr">
        <is>
          <t>A 23891-2025</t>
        </is>
      </c>
      <c r="B873" s="1" t="n">
        <v>45793</v>
      </c>
      <c r="C873" s="1" t="n">
        <v>46074</v>
      </c>
      <c r="D873" t="inlineStr">
        <is>
          <t>DALARNAS LÄN</t>
        </is>
      </c>
      <c r="E873" t="inlineStr">
        <is>
          <t>LEKSAND</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23517-2025</t>
        </is>
      </c>
      <c r="B874" s="1" t="n">
        <v>45792</v>
      </c>
      <c r="C874" s="1" t="n">
        <v>46074</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24187-2025</t>
        </is>
      </c>
      <c r="B875" s="1" t="n">
        <v>45796</v>
      </c>
      <c r="C875" s="1" t="n">
        <v>46074</v>
      </c>
      <c r="D875" t="inlineStr">
        <is>
          <t>DALARNAS LÄN</t>
        </is>
      </c>
      <c r="E875" t="inlineStr">
        <is>
          <t>LEKSAND</t>
        </is>
      </c>
      <c r="G875" t="n">
        <v>2.1</v>
      </c>
      <c r="H875" t="n">
        <v>0</v>
      </c>
      <c r="I875" t="n">
        <v>0</v>
      </c>
      <c r="J875" t="n">
        <v>0</v>
      </c>
      <c r="K875" t="n">
        <v>0</v>
      </c>
      <c r="L875" t="n">
        <v>0</v>
      </c>
      <c r="M875" t="n">
        <v>0</v>
      </c>
      <c r="N875" t="n">
        <v>0</v>
      </c>
      <c r="O875" t="n">
        <v>0</v>
      </c>
      <c r="P875" t="n">
        <v>0</v>
      </c>
      <c r="Q875" t="n">
        <v>0</v>
      </c>
      <c r="R875" s="2" t="inlineStr"/>
    </row>
    <row r="876" ht="15" customHeight="1">
      <c r="A876" t="inlineStr">
        <is>
          <t>A 24188-2025</t>
        </is>
      </c>
      <c r="B876" s="1" t="n">
        <v>45796</v>
      </c>
      <c r="C876" s="1" t="n">
        <v>46074</v>
      </c>
      <c r="D876" t="inlineStr">
        <is>
          <t>DALARNAS LÄN</t>
        </is>
      </c>
      <c r="E876" t="inlineStr">
        <is>
          <t>LEKSAND</t>
        </is>
      </c>
      <c r="G876" t="n">
        <v>0.9</v>
      </c>
      <c r="H876" t="n">
        <v>0</v>
      </c>
      <c r="I876" t="n">
        <v>0</v>
      </c>
      <c r="J876" t="n">
        <v>0</v>
      </c>
      <c r="K876" t="n">
        <v>0</v>
      </c>
      <c r="L876" t="n">
        <v>0</v>
      </c>
      <c r="M876" t="n">
        <v>0</v>
      </c>
      <c r="N876" t="n">
        <v>0</v>
      </c>
      <c r="O876" t="n">
        <v>0</v>
      </c>
      <c r="P876" t="n">
        <v>0</v>
      </c>
      <c r="Q876" t="n">
        <v>0</v>
      </c>
      <c r="R876" s="2" t="inlineStr"/>
    </row>
    <row r="877" ht="15" customHeight="1">
      <c r="A877" t="inlineStr">
        <is>
          <t>A 7450-2023</t>
        </is>
      </c>
      <c r="B877" s="1" t="n">
        <v>44971</v>
      </c>
      <c r="C877" s="1" t="n">
        <v>46074</v>
      </c>
      <c r="D877" t="inlineStr">
        <is>
          <t>DALARNAS LÄN</t>
        </is>
      </c>
      <c r="E877" t="inlineStr">
        <is>
          <t>LEKSAND</t>
        </is>
      </c>
      <c r="G877" t="n">
        <v>3</v>
      </c>
      <c r="H877" t="n">
        <v>0</v>
      </c>
      <c r="I877" t="n">
        <v>0</v>
      </c>
      <c r="J877" t="n">
        <v>0</v>
      </c>
      <c r="K877" t="n">
        <v>0</v>
      </c>
      <c r="L877" t="n">
        <v>0</v>
      </c>
      <c r="M877" t="n">
        <v>0</v>
      </c>
      <c r="N877" t="n">
        <v>0</v>
      </c>
      <c r="O877" t="n">
        <v>0</v>
      </c>
      <c r="P877" t="n">
        <v>0</v>
      </c>
      <c r="Q877" t="n">
        <v>0</v>
      </c>
      <c r="R877" s="2" t="inlineStr"/>
    </row>
    <row r="878" ht="15" customHeight="1">
      <c r="A878" t="inlineStr">
        <is>
          <t>A 24373-2025</t>
        </is>
      </c>
      <c r="B878" s="1" t="n">
        <v>45797.61113425926</v>
      </c>
      <c r="C878" s="1" t="n">
        <v>46074</v>
      </c>
      <c r="D878" t="inlineStr">
        <is>
          <t>DALARNAS LÄN</t>
        </is>
      </c>
      <c r="E878" t="inlineStr">
        <is>
          <t>LEKSAND</t>
        </is>
      </c>
      <c r="G878" t="n">
        <v>2.4</v>
      </c>
      <c r="H878" t="n">
        <v>0</v>
      </c>
      <c r="I878" t="n">
        <v>0</v>
      </c>
      <c r="J878" t="n">
        <v>0</v>
      </c>
      <c r="K878" t="n">
        <v>0</v>
      </c>
      <c r="L878" t="n">
        <v>0</v>
      </c>
      <c r="M878" t="n">
        <v>0</v>
      </c>
      <c r="N878" t="n">
        <v>0</v>
      </c>
      <c r="O878" t="n">
        <v>0</v>
      </c>
      <c r="P878" t="n">
        <v>0</v>
      </c>
      <c r="Q878" t="n">
        <v>0</v>
      </c>
      <c r="R878" s="2" t="inlineStr"/>
    </row>
    <row r="879" ht="15" customHeight="1">
      <c r="A879" t="inlineStr">
        <is>
          <t>A 22646-2025</t>
        </is>
      </c>
      <c r="B879" s="1" t="n">
        <v>45786</v>
      </c>
      <c r="C879" s="1" t="n">
        <v>46074</v>
      </c>
      <c r="D879" t="inlineStr">
        <is>
          <t>DALARNAS LÄN</t>
        </is>
      </c>
      <c r="E879" t="inlineStr">
        <is>
          <t>LEKSAND</t>
        </is>
      </c>
      <c r="F879" t="inlineStr">
        <is>
          <t>Kommuner</t>
        </is>
      </c>
      <c r="G879" t="n">
        <v>1.6</v>
      </c>
      <c r="H879" t="n">
        <v>0</v>
      </c>
      <c r="I879" t="n">
        <v>0</v>
      </c>
      <c r="J879" t="n">
        <v>0</v>
      </c>
      <c r="K879" t="n">
        <v>0</v>
      </c>
      <c r="L879" t="n">
        <v>0</v>
      </c>
      <c r="M879" t="n">
        <v>0</v>
      </c>
      <c r="N879" t="n">
        <v>0</v>
      </c>
      <c r="O879" t="n">
        <v>0</v>
      </c>
      <c r="P879" t="n">
        <v>0</v>
      </c>
      <c r="Q879" t="n">
        <v>0</v>
      </c>
      <c r="R879" s="2" t="inlineStr"/>
    </row>
    <row r="880" ht="15" customHeight="1">
      <c r="A880" t="inlineStr">
        <is>
          <t>A 24919-2024</t>
        </is>
      </c>
      <c r="B880" s="1" t="n">
        <v>45461.60636574074</v>
      </c>
      <c r="C880" s="1" t="n">
        <v>46074</v>
      </c>
      <c r="D880" t="inlineStr">
        <is>
          <t>DALARNAS LÄN</t>
        </is>
      </c>
      <c r="E880" t="inlineStr">
        <is>
          <t>LEKSAND</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56211-2023</t>
        </is>
      </c>
      <c r="B881" s="1" t="n">
        <v>45240</v>
      </c>
      <c r="C881" s="1" t="n">
        <v>46074</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24369-2025</t>
        </is>
      </c>
      <c r="B882" s="1" t="n">
        <v>45797.60731481481</v>
      </c>
      <c r="C882" s="1" t="n">
        <v>46074</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24715-2025</t>
        </is>
      </c>
      <c r="B883" s="1" t="n">
        <v>45798.97899305556</v>
      </c>
      <c r="C883" s="1" t="n">
        <v>46074</v>
      </c>
      <c r="D883" t="inlineStr">
        <is>
          <t>DALARNAS LÄN</t>
        </is>
      </c>
      <c r="E883" t="inlineStr">
        <is>
          <t>LEKSAND</t>
        </is>
      </c>
      <c r="G883" t="n">
        <v>8.4</v>
      </c>
      <c r="H883" t="n">
        <v>0</v>
      </c>
      <c r="I883" t="n">
        <v>0</v>
      </c>
      <c r="J883" t="n">
        <v>0</v>
      </c>
      <c r="K883" t="n">
        <v>0</v>
      </c>
      <c r="L883" t="n">
        <v>0</v>
      </c>
      <c r="M883" t="n">
        <v>0</v>
      </c>
      <c r="N883" t="n">
        <v>0</v>
      </c>
      <c r="O883" t="n">
        <v>0</v>
      </c>
      <c r="P883" t="n">
        <v>0</v>
      </c>
      <c r="Q883" t="n">
        <v>0</v>
      </c>
      <c r="R883" s="2" t="inlineStr"/>
    </row>
    <row r="884" ht="15" customHeight="1">
      <c r="A884" t="inlineStr">
        <is>
          <t>A 40868-2024</t>
        </is>
      </c>
      <c r="B884" s="1" t="n">
        <v>45558</v>
      </c>
      <c r="C884" s="1" t="n">
        <v>46074</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25610-2025</t>
        </is>
      </c>
      <c r="B885" s="1" t="n">
        <v>45803.56033564815</v>
      </c>
      <c r="C885" s="1" t="n">
        <v>46074</v>
      </c>
      <c r="D885" t="inlineStr">
        <is>
          <t>DALARNAS LÄN</t>
        </is>
      </c>
      <c r="E885" t="inlineStr">
        <is>
          <t>LEKSAND</t>
        </is>
      </c>
      <c r="G885" t="n">
        <v>5.2</v>
      </c>
      <c r="H885" t="n">
        <v>0</v>
      </c>
      <c r="I885" t="n">
        <v>0</v>
      </c>
      <c r="J885" t="n">
        <v>0</v>
      </c>
      <c r="K885" t="n">
        <v>0</v>
      </c>
      <c r="L885" t="n">
        <v>0</v>
      </c>
      <c r="M885" t="n">
        <v>0</v>
      </c>
      <c r="N885" t="n">
        <v>0</v>
      </c>
      <c r="O885" t="n">
        <v>0</v>
      </c>
      <c r="P885" t="n">
        <v>0</v>
      </c>
      <c r="Q885" t="n">
        <v>0</v>
      </c>
      <c r="R885" s="2" t="inlineStr"/>
    </row>
    <row r="886" ht="15" customHeight="1">
      <c r="A886" t="inlineStr">
        <is>
          <t>A 25105-2025</t>
        </is>
      </c>
      <c r="B886" s="1" t="n">
        <v>45800.34751157407</v>
      </c>
      <c r="C886" s="1" t="n">
        <v>46074</v>
      </c>
      <c r="D886" t="inlineStr">
        <is>
          <t>DALARNAS LÄN</t>
        </is>
      </c>
      <c r="E886" t="inlineStr">
        <is>
          <t>LEKSAND</t>
        </is>
      </c>
      <c r="F886" t="inlineStr">
        <is>
          <t>Bergvik skog väst AB</t>
        </is>
      </c>
      <c r="G886" t="n">
        <v>1.8</v>
      </c>
      <c r="H886" t="n">
        <v>0</v>
      </c>
      <c r="I886" t="n">
        <v>0</v>
      </c>
      <c r="J886" t="n">
        <v>0</v>
      </c>
      <c r="K886" t="n">
        <v>0</v>
      </c>
      <c r="L886" t="n">
        <v>0</v>
      </c>
      <c r="M886" t="n">
        <v>0</v>
      </c>
      <c r="N886" t="n">
        <v>0</v>
      </c>
      <c r="O886" t="n">
        <v>0</v>
      </c>
      <c r="P886" t="n">
        <v>0</v>
      </c>
      <c r="Q886" t="n">
        <v>0</v>
      </c>
      <c r="R886" s="2" t="inlineStr"/>
    </row>
    <row r="887" ht="15" customHeight="1">
      <c r="A887" t="inlineStr">
        <is>
          <t>A 25096-2025</t>
        </is>
      </c>
      <c r="B887" s="1" t="n">
        <v>45800.33868055556</v>
      </c>
      <c r="C887" s="1" t="n">
        <v>46074</v>
      </c>
      <c r="D887" t="inlineStr">
        <is>
          <t>DALARNAS LÄN</t>
        </is>
      </c>
      <c r="E887" t="inlineStr">
        <is>
          <t>LEKSAND</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31255-2023</t>
        </is>
      </c>
      <c r="B888" s="1" t="n">
        <v>45114.36729166667</v>
      </c>
      <c r="C888" s="1" t="n">
        <v>46074</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26423-2025</t>
        </is>
      </c>
      <c r="B889" s="1" t="n">
        <v>45807.37829861111</v>
      </c>
      <c r="C889" s="1" t="n">
        <v>46074</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26386-2025</t>
        </is>
      </c>
      <c r="B890" s="1" t="n">
        <v>45806</v>
      </c>
      <c r="C890" s="1" t="n">
        <v>46074</v>
      </c>
      <c r="D890" t="inlineStr">
        <is>
          <t>DALARNAS LÄN</t>
        </is>
      </c>
      <c r="E890" t="inlineStr">
        <is>
          <t>LEKSAND</t>
        </is>
      </c>
      <c r="F890" t="inlineStr">
        <is>
          <t>Bergvik skog väst AB</t>
        </is>
      </c>
      <c r="G890" t="n">
        <v>26.3</v>
      </c>
      <c r="H890" t="n">
        <v>0</v>
      </c>
      <c r="I890" t="n">
        <v>0</v>
      </c>
      <c r="J890" t="n">
        <v>0</v>
      </c>
      <c r="K890" t="n">
        <v>0</v>
      </c>
      <c r="L890" t="n">
        <v>0</v>
      </c>
      <c r="M890" t="n">
        <v>0</v>
      </c>
      <c r="N890" t="n">
        <v>0</v>
      </c>
      <c r="O890" t="n">
        <v>0</v>
      </c>
      <c r="P890" t="n">
        <v>0</v>
      </c>
      <c r="Q890" t="n">
        <v>0</v>
      </c>
      <c r="R890" s="2" t="inlineStr"/>
    </row>
    <row r="891" ht="15" customHeight="1">
      <c r="A891" t="inlineStr">
        <is>
          <t>A 25329-2022</t>
        </is>
      </c>
      <c r="B891" s="1" t="n">
        <v>44731.8799537037</v>
      </c>
      <c r="C891" s="1" t="n">
        <v>46074</v>
      </c>
      <c r="D891" t="inlineStr">
        <is>
          <t>DALARNAS LÄN</t>
        </is>
      </c>
      <c r="E891" t="inlineStr">
        <is>
          <t>LEKSAND</t>
        </is>
      </c>
      <c r="G891" t="n">
        <v>1.4</v>
      </c>
      <c r="H891" t="n">
        <v>0</v>
      </c>
      <c r="I891" t="n">
        <v>0</v>
      </c>
      <c r="J891" t="n">
        <v>0</v>
      </c>
      <c r="K891" t="n">
        <v>0</v>
      </c>
      <c r="L891" t="n">
        <v>0</v>
      </c>
      <c r="M891" t="n">
        <v>0</v>
      </c>
      <c r="N891" t="n">
        <v>0</v>
      </c>
      <c r="O891" t="n">
        <v>0</v>
      </c>
      <c r="P891" t="n">
        <v>0</v>
      </c>
      <c r="Q891" t="n">
        <v>0</v>
      </c>
      <c r="R891" s="2" t="inlineStr"/>
    </row>
    <row r="892" ht="15" customHeight="1">
      <c r="A892" t="inlineStr">
        <is>
          <t>A 27323-2025</t>
        </is>
      </c>
      <c r="B892" s="1" t="n">
        <v>45812.60392361111</v>
      </c>
      <c r="C892" s="1" t="n">
        <v>46074</v>
      </c>
      <c r="D892" t="inlineStr">
        <is>
          <t>DALARNAS LÄN</t>
        </is>
      </c>
      <c r="E892" t="inlineStr">
        <is>
          <t>LEKSAND</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27262-2025</t>
        </is>
      </c>
      <c r="B893" s="1" t="n">
        <v>45812</v>
      </c>
      <c r="C893" s="1" t="n">
        <v>46074</v>
      </c>
      <c r="D893" t="inlineStr">
        <is>
          <t>DALARNAS LÄN</t>
        </is>
      </c>
      <c r="E893" t="inlineStr">
        <is>
          <t>LEKSAND</t>
        </is>
      </c>
      <c r="F893" t="inlineStr">
        <is>
          <t>Bergvik skog väst AB</t>
        </is>
      </c>
      <c r="G893" t="n">
        <v>7.7</v>
      </c>
      <c r="H893" t="n">
        <v>0</v>
      </c>
      <c r="I893" t="n">
        <v>0</v>
      </c>
      <c r="J893" t="n">
        <v>0</v>
      </c>
      <c r="K893" t="n">
        <v>0</v>
      </c>
      <c r="L893" t="n">
        <v>0</v>
      </c>
      <c r="M893" t="n">
        <v>0</v>
      </c>
      <c r="N893" t="n">
        <v>0</v>
      </c>
      <c r="O893" t="n">
        <v>0</v>
      </c>
      <c r="P893" t="n">
        <v>0</v>
      </c>
      <c r="Q893" t="n">
        <v>0</v>
      </c>
      <c r="R893" s="2" t="inlineStr"/>
    </row>
    <row r="894" ht="15" customHeight="1">
      <c r="A894" t="inlineStr">
        <is>
          <t>A 27332-2025</t>
        </is>
      </c>
      <c r="B894" s="1" t="n">
        <v>45812.61265046296</v>
      </c>
      <c r="C894" s="1" t="n">
        <v>46074</v>
      </c>
      <c r="D894" t="inlineStr">
        <is>
          <t>DALARNAS LÄN</t>
        </is>
      </c>
      <c r="E894" t="inlineStr">
        <is>
          <t>LEKSAND</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27183-2025</t>
        </is>
      </c>
      <c r="B895" s="1" t="n">
        <v>45812.36097222222</v>
      </c>
      <c r="C895" s="1" t="n">
        <v>46074</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27680-2025</t>
        </is>
      </c>
      <c r="B896" s="1" t="n">
        <v>45813.64618055556</v>
      </c>
      <c r="C896" s="1" t="n">
        <v>46074</v>
      </c>
      <c r="D896" t="inlineStr">
        <is>
          <t>DALARNAS LÄN</t>
        </is>
      </c>
      <c r="E896" t="inlineStr">
        <is>
          <t>LEKSAND</t>
        </is>
      </c>
      <c r="G896" t="n">
        <v>1</v>
      </c>
      <c r="H896" t="n">
        <v>0</v>
      </c>
      <c r="I896" t="n">
        <v>0</v>
      </c>
      <c r="J896" t="n">
        <v>0</v>
      </c>
      <c r="K896" t="n">
        <v>0</v>
      </c>
      <c r="L896" t="n">
        <v>0</v>
      </c>
      <c r="M896" t="n">
        <v>0</v>
      </c>
      <c r="N896" t="n">
        <v>0</v>
      </c>
      <c r="O896" t="n">
        <v>0</v>
      </c>
      <c r="P896" t="n">
        <v>0</v>
      </c>
      <c r="Q896" t="n">
        <v>0</v>
      </c>
      <c r="R896" s="2" t="inlineStr"/>
    </row>
    <row r="897" ht="15" customHeight="1">
      <c r="A897" t="inlineStr">
        <is>
          <t>A 27682-2025</t>
        </is>
      </c>
      <c r="B897" s="1" t="n">
        <v>45813.64782407408</v>
      </c>
      <c r="C897" s="1" t="n">
        <v>46074</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27705-2025</t>
        </is>
      </c>
      <c r="B898" s="1" t="n">
        <v>45813</v>
      </c>
      <c r="C898" s="1" t="n">
        <v>46074</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c r="A899" t="inlineStr">
        <is>
          <t>A 27329-2025</t>
        </is>
      </c>
      <c r="B899" s="1" t="n">
        <v>45812.60864583333</v>
      </c>
      <c r="C899" s="1" t="n">
        <v>46074</v>
      </c>
      <c r="D899" t="inlineStr">
        <is>
          <t>DALARNAS LÄN</t>
        </is>
      </c>
      <c r="E899" t="inlineStr">
        <is>
          <t>LEKSAND</t>
        </is>
      </c>
      <c r="F899" t="inlineStr">
        <is>
          <t>Bergvik skog väst AB</t>
        </is>
      </c>
      <c r="G899" t="n">
        <v>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2026-02-21T11:06:28Z</dcterms:created>
  <dcterms:modified xmlns:dcterms="http://purl.org/dc/terms/" xmlns:xsi="http://www.w3.org/2001/XMLSchema-instance" xsi:type="dcterms:W3CDTF">2026-02-21T11:06:28Z</dcterms:modified>
</cp:coreProperties>
</file>