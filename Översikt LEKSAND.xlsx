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45886</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45886</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61884-2023</t>
        </is>
      </c>
      <c r="B4" s="1" t="n">
        <v>45266</v>
      </c>
      <c r="C4" s="1" t="n">
        <v>45886</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45886</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59850-2022</t>
        </is>
      </c>
      <c r="B6" s="1" t="n">
        <v>44901</v>
      </c>
      <c r="C6" s="1" t="n">
        <v>45886</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45886</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45886</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45886</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45886</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57812-2023</t>
        </is>
      </c>
      <c r="B11" s="1" t="n">
        <v>45247</v>
      </c>
      <c r="C11" s="1" t="n">
        <v>45886</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30224-2025</t>
        </is>
      </c>
      <c r="B12" s="1" t="n">
        <v>45827.37719907407</v>
      </c>
      <c r="C12" s="1" t="n">
        <v>45886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45886</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45886</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45886</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45886</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45886</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45886</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45886</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45886</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18860-2025</t>
        </is>
      </c>
      <c r="B21" s="1" t="n">
        <v>45764.42738425926</v>
      </c>
      <c r="C21" s="1" t="n">
        <v>45886</v>
      </c>
      <c r="D21" t="inlineStr">
        <is>
          <t>DALARNAS LÄN</t>
        </is>
      </c>
      <c r="E21" t="inlineStr">
        <is>
          <t>LEKSAND</t>
        </is>
      </c>
      <c r="G21" t="n">
        <v>5.8</v>
      </c>
      <c r="H21" t="n">
        <v>2</v>
      </c>
      <c r="I21" t="n">
        <v>0</v>
      </c>
      <c r="J21" t="n">
        <v>2</v>
      </c>
      <c r="K21" t="n">
        <v>0</v>
      </c>
      <c r="L21" t="n">
        <v>0</v>
      </c>
      <c r="M21" t="n">
        <v>0</v>
      </c>
      <c r="N21" t="n">
        <v>0</v>
      </c>
      <c r="O21" t="n">
        <v>2</v>
      </c>
      <c r="P21" t="n">
        <v>0</v>
      </c>
      <c r="Q21" t="n">
        <v>2</v>
      </c>
      <c r="R21" s="2" t="inlineStr">
        <is>
          <t>Entita
Järpe</t>
        </is>
      </c>
      <c r="S21">
        <f>HYPERLINK("https://klasma.github.io/Logging_2029/artfynd/A 18860-2025 artfynd.xlsx", "A 18860-2025")</f>
        <v/>
      </c>
      <c r="T21">
        <f>HYPERLINK("https://klasma.github.io/Logging_2029/kartor/A 18860-2025 karta.png", "A 18860-2025")</f>
        <v/>
      </c>
      <c r="V21">
        <f>HYPERLINK("https://klasma.github.io/Logging_2029/klagomål/A 18860-2025 FSC-klagomål.docx", "A 18860-2025")</f>
        <v/>
      </c>
      <c r="W21">
        <f>HYPERLINK("https://klasma.github.io/Logging_2029/klagomålsmail/A 18860-2025 FSC-klagomål mail.docx", "A 18860-2025")</f>
        <v/>
      </c>
      <c r="X21">
        <f>HYPERLINK("https://klasma.github.io/Logging_2029/tillsyn/A 18860-2025 tillsynsbegäran.docx", "A 18860-2025")</f>
        <v/>
      </c>
      <c r="Y21">
        <f>HYPERLINK("https://klasma.github.io/Logging_2029/tillsynsmail/A 18860-2025 tillsynsbegäran mail.docx", "A 18860-2025")</f>
        <v/>
      </c>
      <c r="Z21">
        <f>HYPERLINK("https://klasma.github.io/Logging_2029/fåglar/A 18860-2025 prioriterade fågelarter.docx", "A 18860-2025")</f>
        <v/>
      </c>
    </row>
    <row r="22" ht="15" customHeight="1">
      <c r="A22" t="inlineStr">
        <is>
          <t>A 35865-2025</t>
        </is>
      </c>
      <c r="B22" s="1" t="n">
        <v>45861.7066087963</v>
      </c>
      <c r="C22" s="1" t="n">
        <v>45886</v>
      </c>
      <c r="D22" t="inlineStr">
        <is>
          <t>DALARNAS LÄN</t>
        </is>
      </c>
      <c r="E22" t="inlineStr">
        <is>
          <t>LEKSAND</t>
        </is>
      </c>
      <c r="F22" t="inlineStr">
        <is>
          <t>Bergvik skog väst AB</t>
        </is>
      </c>
      <c r="G22" t="n">
        <v>4.4</v>
      </c>
      <c r="H22" t="n">
        <v>2</v>
      </c>
      <c r="I22" t="n">
        <v>0</v>
      </c>
      <c r="J22" t="n">
        <v>1</v>
      </c>
      <c r="K22" t="n">
        <v>0</v>
      </c>
      <c r="L22" t="n">
        <v>0</v>
      </c>
      <c r="M22" t="n">
        <v>0</v>
      </c>
      <c r="N22" t="n">
        <v>0</v>
      </c>
      <c r="O22" t="n">
        <v>1</v>
      </c>
      <c r="P22" t="n">
        <v>0</v>
      </c>
      <c r="Q22" t="n">
        <v>2</v>
      </c>
      <c r="R22" s="2" t="inlineStr">
        <is>
          <t>Kungsörn
Orre</t>
        </is>
      </c>
      <c r="S22">
        <f>HYPERLINK("https://klasma.github.io/Logging_2029/artfynd/A 35865-2025 artfynd.xlsx", "A 35865-2025")</f>
        <v/>
      </c>
      <c r="T22">
        <f>HYPERLINK("https://klasma.github.io/Logging_2029/kartor/A 35865-2025 karta.png", "A 35865-2025")</f>
        <v/>
      </c>
      <c r="V22">
        <f>HYPERLINK("https://klasma.github.io/Logging_2029/klagomål/A 35865-2025 FSC-klagomål.docx", "A 35865-2025")</f>
        <v/>
      </c>
      <c r="W22">
        <f>HYPERLINK("https://klasma.github.io/Logging_2029/klagomålsmail/A 35865-2025 FSC-klagomål mail.docx", "A 35865-2025")</f>
        <v/>
      </c>
      <c r="X22">
        <f>HYPERLINK("https://klasma.github.io/Logging_2029/tillsyn/A 35865-2025 tillsynsbegäran.docx", "A 35865-2025")</f>
        <v/>
      </c>
      <c r="Y22">
        <f>HYPERLINK("https://klasma.github.io/Logging_2029/tillsynsmail/A 35865-2025 tillsynsbegäran mail.docx", "A 35865-2025")</f>
        <v/>
      </c>
      <c r="Z22">
        <f>HYPERLINK("https://klasma.github.io/Logging_2029/fåglar/A 35865-2025 prioriterade fågelarter.docx", "A 35865-2025")</f>
        <v/>
      </c>
    </row>
    <row r="23" ht="15" customHeight="1">
      <c r="A23" t="inlineStr">
        <is>
          <t>A 9408-2024</t>
        </is>
      </c>
      <c r="B23" s="1" t="n">
        <v>45358</v>
      </c>
      <c r="C23" s="1" t="n">
        <v>45886</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6778-2022</t>
        </is>
      </c>
      <c r="B24" s="1" t="n">
        <v>44602</v>
      </c>
      <c r="C24" s="1" t="n">
        <v>45886</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59111-2024</t>
        </is>
      </c>
      <c r="B25" s="1" t="n">
        <v>45637.36484953704</v>
      </c>
      <c r="C25" s="1" t="n">
        <v>45886</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55519-2021</t>
        </is>
      </c>
      <c r="B26" s="1" t="n">
        <v>44475</v>
      </c>
      <c r="C26" s="1" t="n">
        <v>45886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45886</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45886</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55633-2024</t>
        </is>
      </c>
      <c r="B29" s="1" t="n">
        <v>45621</v>
      </c>
      <c r="C29" s="1" t="n">
        <v>45886</v>
      </c>
      <c r="D29" t="inlineStr">
        <is>
          <t>DALARNAS LÄN</t>
        </is>
      </c>
      <c r="E29" t="inlineStr">
        <is>
          <t>LEKSAND</t>
        </is>
      </c>
      <c r="G29" t="n">
        <v>7.8</v>
      </c>
      <c r="H29" t="n">
        <v>0</v>
      </c>
      <c r="I29" t="n">
        <v>0</v>
      </c>
      <c r="J29" t="n">
        <v>1</v>
      </c>
      <c r="K29" t="n">
        <v>0</v>
      </c>
      <c r="L29" t="n">
        <v>0</v>
      </c>
      <c r="M29" t="n">
        <v>0</v>
      </c>
      <c r="N29" t="n">
        <v>0</v>
      </c>
      <c r="O29" t="n">
        <v>1</v>
      </c>
      <c r="P29" t="n">
        <v>0</v>
      </c>
      <c r="Q29" t="n">
        <v>1</v>
      </c>
      <c r="R29" s="2" t="inlineStr">
        <is>
          <t>Ullticka</t>
        </is>
      </c>
      <c r="S29">
        <f>HYPERLINK("https://klasma.github.io/Logging_2029/artfynd/A 55633-2024 artfynd.xlsx", "A 55633-2024")</f>
        <v/>
      </c>
      <c r="T29">
        <f>HYPERLINK("https://klasma.github.io/Logging_2029/kartor/A 55633-2024 karta.png", "A 55633-2024")</f>
        <v/>
      </c>
      <c r="V29">
        <f>HYPERLINK("https://klasma.github.io/Logging_2029/klagomål/A 55633-2024 FSC-klagomål.docx", "A 55633-2024")</f>
        <v/>
      </c>
      <c r="W29">
        <f>HYPERLINK("https://klasma.github.io/Logging_2029/klagomålsmail/A 55633-2024 FSC-klagomål mail.docx", "A 55633-2024")</f>
        <v/>
      </c>
      <c r="X29">
        <f>HYPERLINK("https://klasma.github.io/Logging_2029/tillsyn/A 55633-2024 tillsynsbegäran.docx", "A 55633-2024")</f>
        <v/>
      </c>
      <c r="Y29">
        <f>HYPERLINK("https://klasma.github.io/Logging_2029/tillsynsmail/A 55633-2024 tillsynsbegäran mail.docx", "A 55633-2024")</f>
        <v/>
      </c>
    </row>
    <row r="30" ht="15" customHeight="1">
      <c r="A30" t="inlineStr">
        <is>
          <t>A 52600-2024</t>
        </is>
      </c>
      <c r="B30" s="1" t="n">
        <v>45609</v>
      </c>
      <c r="C30" s="1" t="n">
        <v>45886</v>
      </c>
      <c r="D30" t="inlineStr">
        <is>
          <t>DALARNAS LÄN</t>
        </is>
      </c>
      <c r="E30" t="inlineStr">
        <is>
          <t>LEKSAND</t>
        </is>
      </c>
      <c r="G30" t="n">
        <v>3.4</v>
      </c>
      <c r="H30" t="n">
        <v>1</v>
      </c>
      <c r="I30" t="n">
        <v>0</v>
      </c>
      <c r="J30" t="n">
        <v>0</v>
      </c>
      <c r="K30" t="n">
        <v>0</v>
      </c>
      <c r="L30" t="n">
        <v>0</v>
      </c>
      <c r="M30" t="n">
        <v>0</v>
      </c>
      <c r="N30" t="n">
        <v>0</v>
      </c>
      <c r="O30" t="n">
        <v>0</v>
      </c>
      <c r="P30" t="n">
        <v>0</v>
      </c>
      <c r="Q30" t="n">
        <v>1</v>
      </c>
      <c r="R30" s="2" t="inlineStr">
        <is>
          <t>Fläcknycklar</t>
        </is>
      </c>
      <c r="S30">
        <f>HYPERLINK("https://klasma.github.io/Logging_2029/artfynd/A 52600-2024 artfynd.xlsx", "A 52600-2024")</f>
        <v/>
      </c>
      <c r="T30">
        <f>HYPERLINK("https://klasma.github.io/Logging_2029/kartor/A 52600-2024 karta.png", "A 52600-2024")</f>
        <v/>
      </c>
      <c r="V30">
        <f>HYPERLINK("https://klasma.github.io/Logging_2029/klagomål/A 52600-2024 FSC-klagomål.docx", "A 52600-2024")</f>
        <v/>
      </c>
      <c r="W30">
        <f>HYPERLINK("https://klasma.github.io/Logging_2029/klagomålsmail/A 52600-2024 FSC-klagomål mail.docx", "A 52600-2024")</f>
        <v/>
      </c>
      <c r="X30">
        <f>HYPERLINK("https://klasma.github.io/Logging_2029/tillsyn/A 52600-2024 tillsynsbegäran.docx", "A 52600-2024")</f>
        <v/>
      </c>
      <c r="Y30">
        <f>HYPERLINK("https://klasma.github.io/Logging_2029/tillsynsmail/A 52600-2024 tillsynsbegäran mail.docx", "A 52600-2024")</f>
        <v/>
      </c>
    </row>
    <row r="31" ht="15" customHeight="1">
      <c r="A31" t="inlineStr">
        <is>
          <t>A 34993-2025</t>
        </is>
      </c>
      <c r="B31" s="1" t="n">
        <v>45849.82383101852</v>
      </c>
      <c r="C31" s="1" t="n">
        <v>45886</v>
      </c>
      <c r="D31" t="inlineStr">
        <is>
          <t>DALARNAS LÄN</t>
        </is>
      </c>
      <c r="E31" t="inlineStr">
        <is>
          <t>LEKSAND</t>
        </is>
      </c>
      <c r="F31" t="inlineStr">
        <is>
          <t>Bergvik skog väst AB</t>
        </is>
      </c>
      <c r="G31" t="n">
        <v>4.6</v>
      </c>
      <c r="H31" t="n">
        <v>0</v>
      </c>
      <c r="I31" t="n">
        <v>1</v>
      </c>
      <c r="J31" t="n">
        <v>0</v>
      </c>
      <c r="K31" t="n">
        <v>0</v>
      </c>
      <c r="L31" t="n">
        <v>0</v>
      </c>
      <c r="M31" t="n">
        <v>0</v>
      </c>
      <c r="N31" t="n">
        <v>0</v>
      </c>
      <c r="O31" t="n">
        <v>0</v>
      </c>
      <c r="P31" t="n">
        <v>0</v>
      </c>
      <c r="Q31" t="n">
        <v>1</v>
      </c>
      <c r="R31" s="2" t="inlineStr">
        <is>
          <t>Mindre märgborre</t>
        </is>
      </c>
      <c r="S31">
        <f>HYPERLINK("https://klasma.github.io/Logging_2029/artfynd/A 34993-2025 artfynd.xlsx", "A 34993-2025")</f>
        <v/>
      </c>
      <c r="T31">
        <f>HYPERLINK("https://klasma.github.io/Logging_2029/kartor/A 34993-2025 karta.png", "A 34993-2025")</f>
        <v/>
      </c>
      <c r="V31">
        <f>HYPERLINK("https://klasma.github.io/Logging_2029/klagomål/A 34993-2025 FSC-klagomål.docx", "A 34993-2025")</f>
        <v/>
      </c>
      <c r="W31">
        <f>HYPERLINK("https://klasma.github.io/Logging_2029/klagomålsmail/A 34993-2025 FSC-klagomål mail.docx", "A 34993-2025")</f>
        <v/>
      </c>
      <c r="X31">
        <f>HYPERLINK("https://klasma.github.io/Logging_2029/tillsyn/A 34993-2025 tillsynsbegäran.docx", "A 34993-2025")</f>
        <v/>
      </c>
      <c r="Y31">
        <f>HYPERLINK("https://klasma.github.io/Logging_2029/tillsynsmail/A 34993-2025 tillsynsbegäran mail.docx", "A 34993-2025")</f>
        <v/>
      </c>
    </row>
    <row r="32" ht="15" customHeight="1">
      <c r="A32" t="inlineStr">
        <is>
          <t>A 34996-2025</t>
        </is>
      </c>
      <c r="B32" s="1" t="n">
        <v>45849.82798611111</v>
      </c>
      <c r="C32" s="1" t="n">
        <v>45886</v>
      </c>
      <c r="D32" t="inlineStr">
        <is>
          <t>DALARNAS LÄN</t>
        </is>
      </c>
      <c r="E32" t="inlineStr">
        <is>
          <t>LEKSAND</t>
        </is>
      </c>
      <c r="G32" t="n">
        <v>1.1</v>
      </c>
      <c r="H32" t="n">
        <v>0</v>
      </c>
      <c r="I32" t="n">
        <v>0</v>
      </c>
      <c r="J32" t="n">
        <v>1</v>
      </c>
      <c r="K32" t="n">
        <v>0</v>
      </c>
      <c r="L32" t="n">
        <v>0</v>
      </c>
      <c r="M32" t="n">
        <v>0</v>
      </c>
      <c r="N32" t="n">
        <v>0</v>
      </c>
      <c r="O32" t="n">
        <v>1</v>
      </c>
      <c r="P32" t="n">
        <v>0</v>
      </c>
      <c r="Q32" t="n">
        <v>1</v>
      </c>
      <c r="R32" s="2" t="inlineStr">
        <is>
          <t>Garnlav</t>
        </is>
      </c>
      <c r="S32">
        <f>HYPERLINK("https://klasma.github.io/Logging_2029/artfynd/A 34996-2025 artfynd.xlsx", "A 34996-2025")</f>
        <v/>
      </c>
      <c r="T32">
        <f>HYPERLINK("https://klasma.github.io/Logging_2029/kartor/A 34996-2025 karta.png", "A 34996-2025")</f>
        <v/>
      </c>
      <c r="V32">
        <f>HYPERLINK("https://klasma.github.io/Logging_2029/klagomål/A 34996-2025 FSC-klagomål.docx", "A 34996-2025")</f>
        <v/>
      </c>
      <c r="W32">
        <f>HYPERLINK("https://klasma.github.io/Logging_2029/klagomålsmail/A 34996-2025 FSC-klagomål mail.docx", "A 34996-2025")</f>
        <v/>
      </c>
      <c r="X32">
        <f>HYPERLINK("https://klasma.github.io/Logging_2029/tillsyn/A 34996-2025 tillsynsbegäran.docx", "A 34996-2025")</f>
        <v/>
      </c>
      <c r="Y32">
        <f>HYPERLINK("https://klasma.github.io/Logging_2029/tillsynsmail/A 34996-2025 tillsynsbegäran mail.docx", "A 34996-2025")</f>
        <v/>
      </c>
    </row>
    <row r="33" ht="15" customHeight="1">
      <c r="A33" t="inlineStr">
        <is>
          <t>A 164-2024</t>
        </is>
      </c>
      <c r="B33" s="1" t="n">
        <v>45294.49954861111</v>
      </c>
      <c r="C33" s="1" t="n">
        <v>45886</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59205-2023</t>
        </is>
      </c>
      <c r="B34" s="1" t="n">
        <v>45251</v>
      </c>
      <c r="C34" s="1" t="n">
        <v>45886</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41873-2022</t>
        </is>
      </c>
      <c r="B35" s="1" t="n">
        <v>44829</v>
      </c>
      <c r="C35" s="1" t="n">
        <v>45886</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36778-2025</t>
        </is>
      </c>
      <c r="B36" s="1" t="n">
        <v>45873</v>
      </c>
      <c r="C36" s="1" t="n">
        <v>45886</v>
      </c>
      <c r="D36" t="inlineStr">
        <is>
          <t>DALARNAS LÄN</t>
        </is>
      </c>
      <c r="E36" t="inlineStr">
        <is>
          <t>LEKSAND</t>
        </is>
      </c>
      <c r="F36" t="inlineStr">
        <is>
          <t>Övriga statliga verk och myndigheter</t>
        </is>
      </c>
      <c r="G36" t="n">
        <v>0.6</v>
      </c>
      <c r="H36" t="n">
        <v>1</v>
      </c>
      <c r="I36" t="n">
        <v>0</v>
      </c>
      <c r="J36" t="n">
        <v>1</v>
      </c>
      <c r="K36" t="n">
        <v>0</v>
      </c>
      <c r="L36" t="n">
        <v>0</v>
      </c>
      <c r="M36" t="n">
        <v>0</v>
      </c>
      <c r="N36" t="n">
        <v>0</v>
      </c>
      <c r="O36" t="n">
        <v>1</v>
      </c>
      <c r="P36" t="n">
        <v>0</v>
      </c>
      <c r="Q36" t="n">
        <v>1</v>
      </c>
      <c r="R36" s="2" t="inlineStr">
        <is>
          <t>Tretåig hackspett</t>
        </is>
      </c>
      <c r="S36">
        <f>HYPERLINK("https://klasma.github.io/Logging_2029/artfynd/A 36778-2025 artfynd.xlsx", "A 36778-2025")</f>
        <v/>
      </c>
      <c r="T36">
        <f>HYPERLINK("https://klasma.github.io/Logging_2029/kartor/A 36778-2025 karta.png", "A 36778-2025")</f>
        <v/>
      </c>
      <c r="V36">
        <f>HYPERLINK("https://klasma.github.io/Logging_2029/klagomål/A 36778-2025 FSC-klagomål.docx", "A 36778-2025")</f>
        <v/>
      </c>
      <c r="W36">
        <f>HYPERLINK("https://klasma.github.io/Logging_2029/klagomålsmail/A 36778-2025 FSC-klagomål mail.docx", "A 36778-2025")</f>
        <v/>
      </c>
      <c r="X36">
        <f>HYPERLINK("https://klasma.github.io/Logging_2029/tillsyn/A 36778-2025 tillsynsbegäran.docx", "A 36778-2025")</f>
        <v/>
      </c>
      <c r="Y36">
        <f>HYPERLINK("https://klasma.github.io/Logging_2029/tillsynsmail/A 36778-2025 tillsynsbegäran mail.docx", "A 36778-2025")</f>
        <v/>
      </c>
      <c r="Z36">
        <f>HYPERLINK("https://klasma.github.io/Logging_2029/fåglar/A 36778-2025 prioriterade fågelarter.docx", "A 36778-2025")</f>
        <v/>
      </c>
    </row>
    <row r="37" ht="15" customHeight="1">
      <c r="A37" t="inlineStr">
        <is>
          <t>A 31951-2025</t>
        </is>
      </c>
      <c r="B37" s="1" t="n">
        <v>45835.33481481481</v>
      </c>
      <c r="C37" s="1" t="n">
        <v>45886</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6029-2025</t>
        </is>
      </c>
      <c r="B38" s="1" t="n">
        <v>45695</v>
      </c>
      <c r="C38" s="1" t="n">
        <v>45886</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4974-2025</t>
        </is>
      </c>
      <c r="B39" s="1" t="n">
        <v>45690.8478587963</v>
      </c>
      <c r="C39" s="1" t="n">
        <v>45886</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45886</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45886</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16735-2025</t>
        </is>
      </c>
      <c r="B42" s="1" t="n">
        <v>45754.54314814815</v>
      </c>
      <c r="C42" s="1" t="n">
        <v>45886</v>
      </c>
      <c r="D42" t="inlineStr">
        <is>
          <t>DALARNAS LÄN</t>
        </is>
      </c>
      <c r="E42" t="inlineStr">
        <is>
          <t>LEKSAND</t>
        </is>
      </c>
      <c r="G42" t="n">
        <v>1.8</v>
      </c>
      <c r="H42" t="n">
        <v>1</v>
      </c>
      <c r="I42" t="n">
        <v>0</v>
      </c>
      <c r="J42" t="n">
        <v>0</v>
      </c>
      <c r="K42" t="n">
        <v>0</v>
      </c>
      <c r="L42" t="n">
        <v>0</v>
      </c>
      <c r="M42" t="n">
        <v>0</v>
      </c>
      <c r="N42" t="n">
        <v>0</v>
      </c>
      <c r="O42" t="n">
        <v>0</v>
      </c>
      <c r="P42" t="n">
        <v>0</v>
      </c>
      <c r="Q42" t="n">
        <v>1</v>
      </c>
      <c r="R42" s="2" t="inlineStr">
        <is>
          <t>Gröngöling</t>
        </is>
      </c>
      <c r="S42">
        <f>HYPERLINK("https://klasma.github.io/Logging_2029/artfynd/A 16735-2025 artfynd.xlsx", "A 16735-2025")</f>
        <v/>
      </c>
      <c r="T42">
        <f>HYPERLINK("https://klasma.github.io/Logging_2029/kartor/A 16735-2025 karta.png", "A 16735-2025")</f>
        <v/>
      </c>
      <c r="V42">
        <f>HYPERLINK("https://klasma.github.io/Logging_2029/klagomål/A 16735-2025 FSC-klagomål.docx", "A 16735-2025")</f>
        <v/>
      </c>
      <c r="W42">
        <f>HYPERLINK("https://klasma.github.io/Logging_2029/klagomålsmail/A 16735-2025 FSC-klagomål mail.docx", "A 16735-2025")</f>
        <v/>
      </c>
      <c r="X42">
        <f>HYPERLINK("https://klasma.github.io/Logging_2029/tillsyn/A 16735-2025 tillsynsbegäran.docx", "A 16735-2025")</f>
        <v/>
      </c>
      <c r="Y42">
        <f>HYPERLINK("https://klasma.github.io/Logging_2029/tillsynsmail/A 16735-2025 tillsynsbegäran mail.docx", "A 16735-2025")</f>
        <v/>
      </c>
      <c r="Z42">
        <f>HYPERLINK("https://klasma.github.io/Logging_2029/fåglar/A 16735-2025 prioriterade fågelarter.docx", "A 16735-2025")</f>
        <v/>
      </c>
    </row>
    <row r="43" ht="15" customHeight="1">
      <c r="A43" t="inlineStr">
        <is>
          <t>A 23137-2022</t>
        </is>
      </c>
      <c r="B43" s="1" t="n">
        <v>44719</v>
      </c>
      <c r="C43" s="1" t="n">
        <v>45886</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1078-2021</t>
        </is>
      </c>
      <c r="B44" s="1" t="n">
        <v>44207</v>
      </c>
      <c r="C44" s="1" t="n">
        <v>45886</v>
      </c>
      <c r="D44" t="inlineStr">
        <is>
          <t>DALARNAS LÄN</t>
        </is>
      </c>
      <c r="E44" t="inlineStr">
        <is>
          <t>LEKSAND</t>
        </is>
      </c>
      <c r="G44" t="n">
        <v>4.9</v>
      </c>
      <c r="H44" t="n">
        <v>0</v>
      </c>
      <c r="I44" t="n">
        <v>0</v>
      </c>
      <c r="J44" t="n">
        <v>0</v>
      </c>
      <c r="K44" t="n">
        <v>0</v>
      </c>
      <c r="L44" t="n">
        <v>0</v>
      </c>
      <c r="M44" t="n">
        <v>0</v>
      </c>
      <c r="N44" t="n">
        <v>0</v>
      </c>
      <c r="O44" t="n">
        <v>0</v>
      </c>
      <c r="P44" t="n">
        <v>0</v>
      </c>
      <c r="Q44" t="n">
        <v>0</v>
      </c>
      <c r="R44" s="2" t="inlineStr"/>
    </row>
    <row r="45" ht="15" customHeight="1">
      <c r="A45" t="inlineStr">
        <is>
          <t>A 36438-2021</t>
        </is>
      </c>
      <c r="B45" s="1" t="n">
        <v>44390.91288194444</v>
      </c>
      <c r="C45" s="1" t="n">
        <v>45886</v>
      </c>
      <c r="D45" t="inlineStr">
        <is>
          <t>DALARNAS LÄN</t>
        </is>
      </c>
      <c r="E45" t="inlineStr">
        <is>
          <t>LEKSAND</t>
        </is>
      </c>
      <c r="G45" t="n">
        <v>5</v>
      </c>
      <c r="H45" t="n">
        <v>0</v>
      </c>
      <c r="I45" t="n">
        <v>0</v>
      </c>
      <c r="J45" t="n">
        <v>0</v>
      </c>
      <c r="K45" t="n">
        <v>0</v>
      </c>
      <c r="L45" t="n">
        <v>0</v>
      </c>
      <c r="M45" t="n">
        <v>0</v>
      </c>
      <c r="N45" t="n">
        <v>0</v>
      </c>
      <c r="O45" t="n">
        <v>0</v>
      </c>
      <c r="P45" t="n">
        <v>0</v>
      </c>
      <c r="Q45" t="n">
        <v>0</v>
      </c>
      <c r="R45" s="2" t="inlineStr"/>
    </row>
    <row r="46" ht="15" customHeight="1">
      <c r="A46" t="inlineStr">
        <is>
          <t>A 70451-2021</t>
        </is>
      </c>
      <c r="B46" s="1" t="n">
        <v>44536</v>
      </c>
      <c r="C46" s="1" t="n">
        <v>45886</v>
      </c>
      <c r="D46" t="inlineStr">
        <is>
          <t>DALARNAS LÄN</t>
        </is>
      </c>
      <c r="E46" t="inlineStr">
        <is>
          <t>LEKSAND</t>
        </is>
      </c>
      <c r="G46" t="n">
        <v>3.7</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45886</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32476-2022</t>
        </is>
      </c>
      <c r="B48" s="1" t="n">
        <v>44782.60024305555</v>
      </c>
      <c r="C48" s="1" t="n">
        <v>45886</v>
      </c>
      <c r="D48" t="inlineStr">
        <is>
          <t>DALARNAS LÄN</t>
        </is>
      </c>
      <c r="E48" t="inlineStr">
        <is>
          <t>LEKSAND</t>
        </is>
      </c>
      <c r="G48" t="n">
        <v>5.6</v>
      </c>
      <c r="H48" t="n">
        <v>0</v>
      </c>
      <c r="I48" t="n">
        <v>0</v>
      </c>
      <c r="J48" t="n">
        <v>0</v>
      </c>
      <c r="K48" t="n">
        <v>0</v>
      </c>
      <c r="L48" t="n">
        <v>0</v>
      </c>
      <c r="M48" t="n">
        <v>0</v>
      </c>
      <c r="N48" t="n">
        <v>0</v>
      </c>
      <c r="O48" t="n">
        <v>0</v>
      </c>
      <c r="P48" t="n">
        <v>0</v>
      </c>
      <c r="Q48" t="n">
        <v>0</v>
      </c>
      <c r="R48" s="2" t="inlineStr"/>
    </row>
    <row r="49" ht="15" customHeight="1">
      <c r="A49" t="inlineStr">
        <is>
          <t>A 51502-2022</t>
        </is>
      </c>
      <c r="B49" s="1" t="n">
        <v>44869</v>
      </c>
      <c r="C49" s="1" t="n">
        <v>45886</v>
      </c>
      <c r="D49" t="inlineStr">
        <is>
          <t>DALARNAS LÄN</t>
        </is>
      </c>
      <c r="E49" t="inlineStr">
        <is>
          <t>LEKSAND</t>
        </is>
      </c>
      <c r="F49" t="inlineStr">
        <is>
          <t>Bergvik skog väst AB</t>
        </is>
      </c>
      <c r="G49" t="n">
        <v>2.4</v>
      </c>
      <c r="H49" t="n">
        <v>0</v>
      </c>
      <c r="I49" t="n">
        <v>0</v>
      </c>
      <c r="J49" t="n">
        <v>0</v>
      </c>
      <c r="K49" t="n">
        <v>0</v>
      </c>
      <c r="L49" t="n">
        <v>0</v>
      </c>
      <c r="M49" t="n">
        <v>0</v>
      </c>
      <c r="N49" t="n">
        <v>0</v>
      </c>
      <c r="O49" t="n">
        <v>0</v>
      </c>
      <c r="P49" t="n">
        <v>0</v>
      </c>
      <c r="Q49" t="n">
        <v>0</v>
      </c>
      <c r="R49" s="2" t="inlineStr"/>
    </row>
    <row r="50" ht="15" customHeight="1">
      <c r="A50" t="inlineStr">
        <is>
          <t>A 59422-2021</t>
        </is>
      </c>
      <c r="B50" s="1" t="n">
        <v>44491</v>
      </c>
      <c r="C50" s="1" t="n">
        <v>45886</v>
      </c>
      <c r="D50" t="inlineStr">
        <is>
          <t>DALARNAS LÄN</t>
        </is>
      </c>
      <c r="E50" t="inlineStr">
        <is>
          <t>LEKSAND</t>
        </is>
      </c>
      <c r="G50" t="n">
        <v>0.7</v>
      </c>
      <c r="H50" t="n">
        <v>0</v>
      </c>
      <c r="I50" t="n">
        <v>0</v>
      </c>
      <c r="J50" t="n">
        <v>0</v>
      </c>
      <c r="K50" t="n">
        <v>0</v>
      </c>
      <c r="L50" t="n">
        <v>0</v>
      </c>
      <c r="M50" t="n">
        <v>0</v>
      </c>
      <c r="N50" t="n">
        <v>0</v>
      </c>
      <c r="O50" t="n">
        <v>0</v>
      </c>
      <c r="P50" t="n">
        <v>0</v>
      </c>
      <c r="Q50" t="n">
        <v>0</v>
      </c>
      <c r="R50" s="2" t="inlineStr"/>
    </row>
    <row r="51" ht="15" customHeight="1">
      <c r="A51" t="inlineStr">
        <is>
          <t>A 64109-2020</t>
        </is>
      </c>
      <c r="B51" s="1" t="n">
        <v>44167</v>
      </c>
      <c r="C51" s="1" t="n">
        <v>45886</v>
      </c>
      <c r="D51" t="inlineStr">
        <is>
          <t>DALARNAS LÄN</t>
        </is>
      </c>
      <c r="E51" t="inlineStr">
        <is>
          <t>LEKSAND</t>
        </is>
      </c>
      <c r="G51" t="n">
        <v>2.7</v>
      </c>
      <c r="H51" t="n">
        <v>0</v>
      </c>
      <c r="I51" t="n">
        <v>0</v>
      </c>
      <c r="J51" t="n">
        <v>0</v>
      </c>
      <c r="K51" t="n">
        <v>0</v>
      </c>
      <c r="L51" t="n">
        <v>0</v>
      </c>
      <c r="M51" t="n">
        <v>0</v>
      </c>
      <c r="N51" t="n">
        <v>0</v>
      </c>
      <c r="O51" t="n">
        <v>0</v>
      </c>
      <c r="P51" t="n">
        <v>0</v>
      </c>
      <c r="Q51" t="n">
        <v>0</v>
      </c>
      <c r="R51" s="2" t="inlineStr"/>
    </row>
    <row r="52" ht="15" customHeight="1">
      <c r="A52" t="inlineStr">
        <is>
          <t>A 47004-2020</t>
        </is>
      </c>
      <c r="B52" s="1" t="n">
        <v>44091</v>
      </c>
      <c r="C52" s="1" t="n">
        <v>45886</v>
      </c>
      <c r="D52" t="inlineStr">
        <is>
          <t>DALARNAS LÄN</t>
        </is>
      </c>
      <c r="E52" t="inlineStr">
        <is>
          <t>LEKSAND</t>
        </is>
      </c>
      <c r="G52" t="n">
        <v>3.2</v>
      </c>
      <c r="H52" t="n">
        <v>0</v>
      </c>
      <c r="I52" t="n">
        <v>0</v>
      </c>
      <c r="J52" t="n">
        <v>0</v>
      </c>
      <c r="K52" t="n">
        <v>0</v>
      </c>
      <c r="L52" t="n">
        <v>0</v>
      </c>
      <c r="M52" t="n">
        <v>0</v>
      </c>
      <c r="N52" t="n">
        <v>0</v>
      </c>
      <c r="O52" t="n">
        <v>0</v>
      </c>
      <c r="P52" t="n">
        <v>0</v>
      </c>
      <c r="Q52" t="n">
        <v>0</v>
      </c>
      <c r="R52" s="2" t="inlineStr"/>
    </row>
    <row r="53" ht="15" customHeight="1">
      <c r="A53" t="inlineStr">
        <is>
          <t>A 9133-2021</t>
        </is>
      </c>
      <c r="B53" s="1" t="n">
        <v>44249</v>
      </c>
      <c r="C53" s="1" t="n">
        <v>45886</v>
      </c>
      <c r="D53" t="inlineStr">
        <is>
          <t>DALARNAS LÄN</t>
        </is>
      </c>
      <c r="E53" t="inlineStr">
        <is>
          <t>LEKSAND</t>
        </is>
      </c>
      <c r="G53" t="n">
        <v>2.5</v>
      </c>
      <c r="H53" t="n">
        <v>0</v>
      </c>
      <c r="I53" t="n">
        <v>0</v>
      </c>
      <c r="J53" t="n">
        <v>0</v>
      </c>
      <c r="K53" t="n">
        <v>0</v>
      </c>
      <c r="L53" t="n">
        <v>0</v>
      </c>
      <c r="M53" t="n">
        <v>0</v>
      </c>
      <c r="N53" t="n">
        <v>0</v>
      </c>
      <c r="O53" t="n">
        <v>0</v>
      </c>
      <c r="P53" t="n">
        <v>0</v>
      </c>
      <c r="Q53" t="n">
        <v>0</v>
      </c>
      <c r="R53" s="2" t="inlineStr"/>
    </row>
    <row r="54" ht="15" customHeight="1">
      <c r="A54" t="inlineStr">
        <is>
          <t>A 64876-2020</t>
        </is>
      </c>
      <c r="B54" s="1" t="n">
        <v>44171</v>
      </c>
      <c r="C54" s="1" t="n">
        <v>45886</v>
      </c>
      <c r="D54" t="inlineStr">
        <is>
          <t>DALARNAS LÄN</t>
        </is>
      </c>
      <c r="E54" t="inlineStr">
        <is>
          <t>LEKSAND</t>
        </is>
      </c>
      <c r="G54" t="n">
        <v>2.1</v>
      </c>
      <c r="H54" t="n">
        <v>0</v>
      </c>
      <c r="I54" t="n">
        <v>0</v>
      </c>
      <c r="J54" t="n">
        <v>0</v>
      </c>
      <c r="K54" t="n">
        <v>0</v>
      </c>
      <c r="L54" t="n">
        <v>0</v>
      </c>
      <c r="M54" t="n">
        <v>0</v>
      </c>
      <c r="N54" t="n">
        <v>0</v>
      </c>
      <c r="O54" t="n">
        <v>0</v>
      </c>
      <c r="P54" t="n">
        <v>0</v>
      </c>
      <c r="Q54" t="n">
        <v>0</v>
      </c>
      <c r="R54" s="2" t="inlineStr"/>
    </row>
    <row r="55" ht="15" customHeight="1">
      <c r="A55" t="inlineStr">
        <is>
          <t>A 43300-2022</t>
        </is>
      </c>
      <c r="B55" s="1" t="n">
        <v>44834</v>
      </c>
      <c r="C55" s="1" t="n">
        <v>45886</v>
      </c>
      <c r="D55" t="inlineStr">
        <is>
          <t>DALARNAS LÄN</t>
        </is>
      </c>
      <c r="E55" t="inlineStr">
        <is>
          <t>LEKSAND</t>
        </is>
      </c>
      <c r="G55" t="n">
        <v>1.4</v>
      </c>
      <c r="H55" t="n">
        <v>0</v>
      </c>
      <c r="I55" t="n">
        <v>0</v>
      </c>
      <c r="J55" t="n">
        <v>0</v>
      </c>
      <c r="K55" t="n">
        <v>0</v>
      </c>
      <c r="L55" t="n">
        <v>0</v>
      </c>
      <c r="M55" t="n">
        <v>0</v>
      </c>
      <c r="N55" t="n">
        <v>0</v>
      </c>
      <c r="O55" t="n">
        <v>0</v>
      </c>
      <c r="P55" t="n">
        <v>0</v>
      </c>
      <c r="Q55" t="n">
        <v>0</v>
      </c>
      <c r="R55" s="2" t="inlineStr"/>
    </row>
    <row r="56" ht="15" customHeight="1">
      <c r="A56" t="inlineStr">
        <is>
          <t>A 35801-2022</t>
        </is>
      </c>
      <c r="B56" s="1" t="n">
        <v>44802</v>
      </c>
      <c r="C56" s="1" t="n">
        <v>45886</v>
      </c>
      <c r="D56" t="inlineStr">
        <is>
          <t>DALARNAS LÄN</t>
        </is>
      </c>
      <c r="E56" t="inlineStr">
        <is>
          <t>LEKSAND</t>
        </is>
      </c>
      <c r="F56" t="inlineStr">
        <is>
          <t>Bergvik skog väst AB</t>
        </is>
      </c>
      <c r="G56" t="n">
        <v>6.4</v>
      </c>
      <c r="H56" t="n">
        <v>0</v>
      </c>
      <c r="I56" t="n">
        <v>0</v>
      </c>
      <c r="J56" t="n">
        <v>0</v>
      </c>
      <c r="K56" t="n">
        <v>0</v>
      </c>
      <c r="L56" t="n">
        <v>0</v>
      </c>
      <c r="M56" t="n">
        <v>0</v>
      </c>
      <c r="N56" t="n">
        <v>0</v>
      </c>
      <c r="O56" t="n">
        <v>0</v>
      </c>
      <c r="P56" t="n">
        <v>0</v>
      </c>
      <c r="Q56" t="n">
        <v>0</v>
      </c>
      <c r="R56" s="2" t="inlineStr"/>
    </row>
    <row r="57" ht="15" customHeight="1">
      <c r="A57" t="inlineStr">
        <is>
          <t>A 16375-2022</t>
        </is>
      </c>
      <c r="B57" s="1" t="n">
        <v>44671.336875</v>
      </c>
      <c r="C57" s="1" t="n">
        <v>45886</v>
      </c>
      <c r="D57" t="inlineStr">
        <is>
          <t>DALARNAS LÄN</t>
        </is>
      </c>
      <c r="E57" t="inlineStr">
        <is>
          <t>LEKSAND</t>
        </is>
      </c>
      <c r="G57" t="n">
        <v>0.9</v>
      </c>
      <c r="H57" t="n">
        <v>0</v>
      </c>
      <c r="I57" t="n">
        <v>0</v>
      </c>
      <c r="J57" t="n">
        <v>0</v>
      </c>
      <c r="K57" t="n">
        <v>0</v>
      </c>
      <c r="L57" t="n">
        <v>0</v>
      </c>
      <c r="M57" t="n">
        <v>0</v>
      </c>
      <c r="N57" t="n">
        <v>0</v>
      </c>
      <c r="O57" t="n">
        <v>0</v>
      </c>
      <c r="P57" t="n">
        <v>0</v>
      </c>
      <c r="Q57" t="n">
        <v>0</v>
      </c>
      <c r="R57" s="2" t="inlineStr"/>
    </row>
    <row r="58" ht="15" customHeight="1">
      <c r="A58" t="inlineStr">
        <is>
          <t>A 51842-2022</t>
        </is>
      </c>
      <c r="B58" s="1" t="n">
        <v>44872.57618055555</v>
      </c>
      <c r="C58" s="1" t="n">
        <v>45886</v>
      </c>
      <c r="D58" t="inlineStr">
        <is>
          <t>DALARNAS LÄN</t>
        </is>
      </c>
      <c r="E58" t="inlineStr">
        <is>
          <t>LEKSAND</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21132-2021</t>
        </is>
      </c>
      <c r="B59" s="1" t="n">
        <v>44319</v>
      </c>
      <c r="C59" s="1" t="n">
        <v>45886</v>
      </c>
      <c r="D59" t="inlineStr">
        <is>
          <t>DALARNAS LÄN</t>
        </is>
      </c>
      <c r="E59" t="inlineStr">
        <is>
          <t>LEKSAND</t>
        </is>
      </c>
      <c r="G59" t="n">
        <v>6.8</v>
      </c>
      <c r="H59" t="n">
        <v>0</v>
      </c>
      <c r="I59" t="n">
        <v>0</v>
      </c>
      <c r="J59" t="n">
        <v>0</v>
      </c>
      <c r="K59" t="n">
        <v>0</v>
      </c>
      <c r="L59" t="n">
        <v>0</v>
      </c>
      <c r="M59" t="n">
        <v>0</v>
      </c>
      <c r="N59" t="n">
        <v>0</v>
      </c>
      <c r="O59" t="n">
        <v>0</v>
      </c>
      <c r="P59" t="n">
        <v>0</v>
      </c>
      <c r="Q59" t="n">
        <v>0</v>
      </c>
      <c r="R59" s="2" t="inlineStr"/>
    </row>
    <row r="60" ht="15" customHeight="1">
      <c r="A60" t="inlineStr">
        <is>
          <t>A 64718-2021</t>
        </is>
      </c>
      <c r="B60" s="1" t="n">
        <v>44512.37575231482</v>
      </c>
      <c r="C60" s="1" t="n">
        <v>45886</v>
      </c>
      <c r="D60" t="inlineStr">
        <is>
          <t>DALARNAS LÄN</t>
        </is>
      </c>
      <c r="E60" t="inlineStr">
        <is>
          <t>LEKSAND</t>
        </is>
      </c>
      <c r="G60" t="n">
        <v>1</v>
      </c>
      <c r="H60" t="n">
        <v>0</v>
      </c>
      <c r="I60" t="n">
        <v>0</v>
      </c>
      <c r="J60" t="n">
        <v>0</v>
      </c>
      <c r="K60" t="n">
        <v>0</v>
      </c>
      <c r="L60" t="n">
        <v>0</v>
      </c>
      <c r="M60" t="n">
        <v>0</v>
      </c>
      <c r="N60" t="n">
        <v>0</v>
      </c>
      <c r="O60" t="n">
        <v>0</v>
      </c>
      <c r="P60" t="n">
        <v>0</v>
      </c>
      <c r="Q60" t="n">
        <v>0</v>
      </c>
      <c r="R60" s="2" t="inlineStr"/>
    </row>
    <row r="61" ht="15" customHeight="1">
      <c r="A61" t="inlineStr">
        <is>
          <t>A 42890-2020</t>
        </is>
      </c>
      <c r="B61" s="1" t="n">
        <v>44078</v>
      </c>
      <c r="C61" s="1" t="n">
        <v>45886</v>
      </c>
      <c r="D61" t="inlineStr">
        <is>
          <t>DALARNAS LÄN</t>
        </is>
      </c>
      <c r="E61" t="inlineStr">
        <is>
          <t>LEKSAND</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45886</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45886</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45886</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45886</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45886</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24479-2021</t>
        </is>
      </c>
      <c r="B67" s="1" t="n">
        <v>44337</v>
      </c>
      <c r="C67" s="1" t="n">
        <v>45886</v>
      </c>
      <c r="D67" t="inlineStr">
        <is>
          <t>DALARNAS LÄN</t>
        </is>
      </c>
      <c r="E67" t="inlineStr">
        <is>
          <t>LEKSAND</t>
        </is>
      </c>
      <c r="F67" t="inlineStr">
        <is>
          <t>Bergvik skog väst AB</t>
        </is>
      </c>
      <c r="G67" t="n">
        <v>6.6</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45886</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45886</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45886</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45886</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13705-2021</t>
        </is>
      </c>
      <c r="B72" s="1" t="n">
        <v>44274</v>
      </c>
      <c r="C72" s="1" t="n">
        <v>45886</v>
      </c>
      <c r="D72" t="inlineStr">
        <is>
          <t>DALARNAS LÄN</t>
        </is>
      </c>
      <c r="E72" t="inlineStr">
        <is>
          <t>LEKSAND</t>
        </is>
      </c>
      <c r="G72" t="n">
        <v>3.8</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45886</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45886</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45886</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45886</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45886</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45886</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45886</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45886</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45886</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45155-2021</t>
        </is>
      </c>
      <c r="B82" s="1" t="n">
        <v>44439</v>
      </c>
      <c r="C82" s="1" t="n">
        <v>45886</v>
      </c>
      <c r="D82" t="inlineStr">
        <is>
          <t>DALARNAS LÄN</t>
        </is>
      </c>
      <c r="E82" t="inlineStr">
        <is>
          <t>LEKSAND</t>
        </is>
      </c>
      <c r="G82" t="n">
        <v>0.6</v>
      </c>
      <c r="H82" t="n">
        <v>0</v>
      </c>
      <c r="I82" t="n">
        <v>0</v>
      </c>
      <c r="J82" t="n">
        <v>0</v>
      </c>
      <c r="K82" t="n">
        <v>0</v>
      </c>
      <c r="L82" t="n">
        <v>0</v>
      </c>
      <c r="M82" t="n">
        <v>0</v>
      </c>
      <c r="N82" t="n">
        <v>0</v>
      </c>
      <c r="O82" t="n">
        <v>0</v>
      </c>
      <c r="P82" t="n">
        <v>0</v>
      </c>
      <c r="Q82" t="n">
        <v>0</v>
      </c>
      <c r="R82" s="2" t="inlineStr"/>
    </row>
    <row r="83" ht="15" customHeight="1">
      <c r="A83" t="inlineStr">
        <is>
          <t>A 43410-2021</t>
        </is>
      </c>
      <c r="B83" s="1" t="n">
        <v>44432.60814814815</v>
      </c>
      <c r="C83" s="1" t="n">
        <v>45886</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72155-2021</t>
        </is>
      </c>
      <c r="B84" s="1" t="n">
        <v>44543</v>
      </c>
      <c r="C84" s="1" t="n">
        <v>45886</v>
      </c>
      <c r="D84" t="inlineStr">
        <is>
          <t>DALARNAS LÄN</t>
        </is>
      </c>
      <c r="E84" t="inlineStr">
        <is>
          <t>LEKSAND</t>
        </is>
      </c>
      <c r="G84" t="n">
        <v>2.5</v>
      </c>
      <c r="H84" t="n">
        <v>0</v>
      </c>
      <c r="I84" t="n">
        <v>0</v>
      </c>
      <c r="J84" t="n">
        <v>0</v>
      </c>
      <c r="K84" t="n">
        <v>0</v>
      </c>
      <c r="L84" t="n">
        <v>0</v>
      </c>
      <c r="M84" t="n">
        <v>0</v>
      </c>
      <c r="N84" t="n">
        <v>0</v>
      </c>
      <c r="O84" t="n">
        <v>0</v>
      </c>
      <c r="P84" t="n">
        <v>0</v>
      </c>
      <c r="Q84" t="n">
        <v>0</v>
      </c>
      <c r="R84" s="2" t="inlineStr"/>
    </row>
    <row r="85" ht="15" customHeight="1">
      <c r="A85" t="inlineStr">
        <is>
          <t>A 40584-2021</t>
        </is>
      </c>
      <c r="B85" s="1" t="n">
        <v>44420</v>
      </c>
      <c r="C85" s="1" t="n">
        <v>45886</v>
      </c>
      <c r="D85" t="inlineStr">
        <is>
          <t>DALARNAS LÄN</t>
        </is>
      </c>
      <c r="E85" t="inlineStr">
        <is>
          <t>LEKSAND</t>
        </is>
      </c>
      <c r="G85" t="n">
        <v>6</v>
      </c>
      <c r="H85" t="n">
        <v>0</v>
      </c>
      <c r="I85" t="n">
        <v>0</v>
      </c>
      <c r="J85" t="n">
        <v>0</v>
      </c>
      <c r="K85" t="n">
        <v>0</v>
      </c>
      <c r="L85" t="n">
        <v>0</v>
      </c>
      <c r="M85" t="n">
        <v>0</v>
      </c>
      <c r="N85" t="n">
        <v>0</v>
      </c>
      <c r="O85" t="n">
        <v>0</v>
      </c>
      <c r="P85" t="n">
        <v>0</v>
      </c>
      <c r="Q85" t="n">
        <v>0</v>
      </c>
      <c r="R85" s="2" t="inlineStr"/>
    </row>
    <row r="86" ht="15" customHeight="1">
      <c r="A86" t="inlineStr">
        <is>
          <t>A 45995-2020</t>
        </is>
      </c>
      <c r="B86" s="1" t="n">
        <v>44088</v>
      </c>
      <c r="C86" s="1" t="n">
        <v>45886</v>
      </c>
      <c r="D86" t="inlineStr">
        <is>
          <t>DALARNAS LÄN</t>
        </is>
      </c>
      <c r="E86" t="inlineStr">
        <is>
          <t>LEKSAND</t>
        </is>
      </c>
      <c r="G86" t="n">
        <v>7.8</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45886</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45886</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49581-2022</t>
        </is>
      </c>
      <c r="B89" s="1" t="n">
        <v>44862.36287037037</v>
      </c>
      <c r="C89" s="1" t="n">
        <v>45886</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56153-2021</t>
        </is>
      </c>
      <c r="B90" s="1" t="n">
        <v>44477</v>
      </c>
      <c r="C90" s="1" t="n">
        <v>45886</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35080-2022</t>
        </is>
      </c>
      <c r="B91" s="1" t="n">
        <v>44797</v>
      </c>
      <c r="C91" s="1" t="n">
        <v>45886</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45886</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70098-2021</t>
        </is>
      </c>
      <c r="B93" s="1" t="n">
        <v>44533</v>
      </c>
      <c r="C93" s="1" t="n">
        <v>45886</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50219-2022</t>
        </is>
      </c>
      <c r="B94" s="1" t="n">
        <v>44865.64244212963</v>
      </c>
      <c r="C94" s="1" t="n">
        <v>45886</v>
      </c>
      <c r="D94" t="inlineStr">
        <is>
          <t>DALARNAS LÄN</t>
        </is>
      </c>
      <c r="E94" t="inlineStr">
        <is>
          <t>LEKSAND</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45886</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19677-2021</t>
        </is>
      </c>
      <c r="B96" s="1" t="n">
        <v>44312</v>
      </c>
      <c r="C96" s="1" t="n">
        <v>45886</v>
      </c>
      <c r="D96" t="inlineStr">
        <is>
          <t>DALARNAS LÄN</t>
        </is>
      </c>
      <c r="E96" t="inlineStr">
        <is>
          <t>LEKSAND</t>
        </is>
      </c>
      <c r="F96" t="inlineStr">
        <is>
          <t>Bergvik skog väst AB</t>
        </is>
      </c>
      <c r="G96" t="n">
        <v>3.1</v>
      </c>
      <c r="H96" t="n">
        <v>0</v>
      </c>
      <c r="I96" t="n">
        <v>0</v>
      </c>
      <c r="J96" t="n">
        <v>0</v>
      </c>
      <c r="K96" t="n">
        <v>0</v>
      </c>
      <c r="L96" t="n">
        <v>0</v>
      </c>
      <c r="M96" t="n">
        <v>0</v>
      </c>
      <c r="N96" t="n">
        <v>0</v>
      </c>
      <c r="O96" t="n">
        <v>0</v>
      </c>
      <c r="P96" t="n">
        <v>0</v>
      </c>
      <c r="Q96" t="n">
        <v>0</v>
      </c>
      <c r="R96" s="2" t="inlineStr"/>
    </row>
    <row r="97" ht="15" customHeight="1">
      <c r="A97" t="inlineStr">
        <is>
          <t>A 26289-2022</t>
        </is>
      </c>
      <c r="B97" s="1" t="n">
        <v>44735</v>
      </c>
      <c r="C97" s="1" t="n">
        <v>45886</v>
      </c>
      <c r="D97" t="inlineStr">
        <is>
          <t>DALARNAS LÄN</t>
        </is>
      </c>
      <c r="E97" t="inlineStr">
        <is>
          <t>LEKSAND</t>
        </is>
      </c>
      <c r="G97" t="n">
        <v>1</v>
      </c>
      <c r="H97" t="n">
        <v>0</v>
      </c>
      <c r="I97" t="n">
        <v>0</v>
      </c>
      <c r="J97" t="n">
        <v>0</v>
      </c>
      <c r="K97" t="n">
        <v>0</v>
      </c>
      <c r="L97" t="n">
        <v>0</v>
      </c>
      <c r="M97" t="n">
        <v>0</v>
      </c>
      <c r="N97" t="n">
        <v>0</v>
      </c>
      <c r="O97" t="n">
        <v>0</v>
      </c>
      <c r="P97" t="n">
        <v>0</v>
      </c>
      <c r="Q97" t="n">
        <v>0</v>
      </c>
      <c r="R97" s="2" t="inlineStr"/>
    </row>
    <row r="98" ht="15" customHeight="1">
      <c r="A98" t="inlineStr">
        <is>
          <t>A 43275-2022</t>
        </is>
      </c>
      <c r="B98" s="1" t="n">
        <v>44824</v>
      </c>
      <c r="C98" s="1" t="n">
        <v>45886</v>
      </c>
      <c r="D98" t="inlineStr">
        <is>
          <t>DALARNAS LÄN</t>
        </is>
      </c>
      <c r="E98" t="inlineStr">
        <is>
          <t>LEKSAND</t>
        </is>
      </c>
      <c r="G98" t="n">
        <v>2.1</v>
      </c>
      <c r="H98" t="n">
        <v>0</v>
      </c>
      <c r="I98" t="n">
        <v>0</v>
      </c>
      <c r="J98" t="n">
        <v>0</v>
      </c>
      <c r="K98" t="n">
        <v>0</v>
      </c>
      <c r="L98" t="n">
        <v>0</v>
      </c>
      <c r="M98" t="n">
        <v>0</v>
      </c>
      <c r="N98" t="n">
        <v>0</v>
      </c>
      <c r="O98" t="n">
        <v>0</v>
      </c>
      <c r="P98" t="n">
        <v>0</v>
      </c>
      <c r="Q98" t="n">
        <v>0</v>
      </c>
      <c r="R98" s="2" t="inlineStr"/>
    </row>
    <row r="99" ht="15" customHeight="1">
      <c r="A99" t="inlineStr">
        <is>
          <t>A 43304-2022</t>
        </is>
      </c>
      <c r="B99" s="1" t="n">
        <v>44834</v>
      </c>
      <c r="C99" s="1" t="n">
        <v>45886</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34317-2022</t>
        </is>
      </c>
      <c r="B100" s="1" t="n">
        <v>44792.38814814815</v>
      </c>
      <c r="C100" s="1" t="n">
        <v>45886</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19480-2022</t>
        </is>
      </c>
      <c r="B101" s="1" t="n">
        <v>44693</v>
      </c>
      <c r="C101" s="1" t="n">
        <v>45886</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64449-2020</t>
        </is>
      </c>
      <c r="B102" s="1" t="n">
        <v>44168</v>
      </c>
      <c r="C102" s="1" t="n">
        <v>45886</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67307-2020</t>
        </is>
      </c>
      <c r="B103" s="1" t="n">
        <v>44181</v>
      </c>
      <c r="C103" s="1" t="n">
        <v>45886</v>
      </c>
      <c r="D103" t="inlineStr">
        <is>
          <t>DALARNAS LÄN</t>
        </is>
      </c>
      <c r="E103" t="inlineStr">
        <is>
          <t>LEKSAND</t>
        </is>
      </c>
      <c r="G103" t="n">
        <v>5.9</v>
      </c>
      <c r="H103" t="n">
        <v>0</v>
      </c>
      <c r="I103" t="n">
        <v>0</v>
      </c>
      <c r="J103" t="n">
        <v>0</v>
      </c>
      <c r="K103" t="n">
        <v>0</v>
      </c>
      <c r="L103" t="n">
        <v>0</v>
      </c>
      <c r="M103" t="n">
        <v>0</v>
      </c>
      <c r="N103" t="n">
        <v>0</v>
      </c>
      <c r="O103" t="n">
        <v>0</v>
      </c>
      <c r="P103" t="n">
        <v>0</v>
      </c>
      <c r="Q103" t="n">
        <v>0</v>
      </c>
      <c r="R103" s="2" t="inlineStr"/>
    </row>
    <row r="104" ht="15" customHeight="1">
      <c r="A104" t="inlineStr">
        <is>
          <t>A 18866-2022</t>
        </is>
      </c>
      <c r="B104" s="1" t="n">
        <v>44690</v>
      </c>
      <c r="C104" s="1" t="n">
        <v>45886</v>
      </c>
      <c r="D104" t="inlineStr">
        <is>
          <t>DALARNAS LÄN</t>
        </is>
      </c>
      <c r="E104" t="inlineStr">
        <is>
          <t>LEKSAND</t>
        </is>
      </c>
      <c r="F104" t="inlineStr">
        <is>
          <t>Övriga Aktiebolag</t>
        </is>
      </c>
      <c r="G104" t="n">
        <v>5.1</v>
      </c>
      <c r="H104" t="n">
        <v>0</v>
      </c>
      <c r="I104" t="n">
        <v>0</v>
      </c>
      <c r="J104" t="n">
        <v>0</v>
      </c>
      <c r="K104" t="n">
        <v>0</v>
      </c>
      <c r="L104" t="n">
        <v>0</v>
      </c>
      <c r="M104" t="n">
        <v>0</v>
      </c>
      <c r="N104" t="n">
        <v>0</v>
      </c>
      <c r="O104" t="n">
        <v>0</v>
      </c>
      <c r="P104" t="n">
        <v>0</v>
      </c>
      <c r="Q104" t="n">
        <v>0</v>
      </c>
      <c r="R104" s="2" t="inlineStr"/>
    </row>
    <row r="105" ht="15" customHeight="1">
      <c r="A105" t="inlineStr">
        <is>
          <t>A 18870-2022</t>
        </is>
      </c>
      <c r="B105" s="1" t="n">
        <v>44690.50725694445</v>
      </c>
      <c r="C105" s="1" t="n">
        <v>45886</v>
      </c>
      <c r="D105" t="inlineStr">
        <is>
          <t>DALARNAS LÄN</t>
        </is>
      </c>
      <c r="E105" t="inlineStr">
        <is>
          <t>LEKSAND</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62279-2021</t>
        </is>
      </c>
      <c r="B106" s="1" t="n">
        <v>44503</v>
      </c>
      <c r="C106" s="1" t="n">
        <v>45886</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70026-2021</t>
        </is>
      </c>
      <c r="B107" s="1" t="n">
        <v>44533</v>
      </c>
      <c r="C107" s="1" t="n">
        <v>45886</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32635-2021</t>
        </is>
      </c>
      <c r="B108" s="1" t="n">
        <v>44374</v>
      </c>
      <c r="C108" s="1" t="n">
        <v>45886</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45886</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45886</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45886</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18140-2022</t>
        </is>
      </c>
      <c r="B112" s="1" t="n">
        <v>44684.58278935185</v>
      </c>
      <c r="C112" s="1" t="n">
        <v>45886</v>
      </c>
      <c r="D112" t="inlineStr">
        <is>
          <t>DALARNAS LÄN</t>
        </is>
      </c>
      <c r="E112" t="inlineStr">
        <is>
          <t>LEKSAND</t>
        </is>
      </c>
      <c r="F112" t="inlineStr">
        <is>
          <t>Övriga Aktiebolag</t>
        </is>
      </c>
      <c r="G112" t="n">
        <v>0.7</v>
      </c>
      <c r="H112" t="n">
        <v>0</v>
      </c>
      <c r="I112" t="n">
        <v>0</v>
      </c>
      <c r="J112" t="n">
        <v>0</v>
      </c>
      <c r="K112" t="n">
        <v>0</v>
      </c>
      <c r="L112" t="n">
        <v>0</v>
      </c>
      <c r="M112" t="n">
        <v>0</v>
      </c>
      <c r="N112" t="n">
        <v>0</v>
      </c>
      <c r="O112" t="n">
        <v>0</v>
      </c>
      <c r="P112" t="n">
        <v>0</v>
      </c>
      <c r="Q112" t="n">
        <v>0</v>
      </c>
      <c r="R112" s="2" t="inlineStr"/>
    </row>
    <row r="113" ht="15" customHeight="1">
      <c r="A113" t="inlineStr">
        <is>
          <t>A 36956-2021</t>
        </is>
      </c>
      <c r="B113" s="1" t="n">
        <v>44393.55643518519</v>
      </c>
      <c r="C113" s="1" t="n">
        <v>45886</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31871-2022</t>
        </is>
      </c>
      <c r="B114" s="1" t="n">
        <v>44777.37854166667</v>
      </c>
      <c r="C114" s="1" t="n">
        <v>45886</v>
      </c>
      <c r="D114" t="inlineStr">
        <is>
          <t>DALARNAS LÄN</t>
        </is>
      </c>
      <c r="E114" t="inlineStr">
        <is>
          <t>LEKSAND</t>
        </is>
      </c>
      <c r="G114" t="n">
        <v>4.1</v>
      </c>
      <c r="H114" t="n">
        <v>0</v>
      </c>
      <c r="I114" t="n">
        <v>0</v>
      </c>
      <c r="J114" t="n">
        <v>0</v>
      </c>
      <c r="K114" t="n">
        <v>0</v>
      </c>
      <c r="L114" t="n">
        <v>0</v>
      </c>
      <c r="M114" t="n">
        <v>0</v>
      </c>
      <c r="N114" t="n">
        <v>0</v>
      </c>
      <c r="O114" t="n">
        <v>0</v>
      </c>
      <c r="P114" t="n">
        <v>0</v>
      </c>
      <c r="Q114" t="n">
        <v>0</v>
      </c>
      <c r="R114" s="2" t="inlineStr"/>
    </row>
    <row r="115" ht="15" customHeight="1">
      <c r="A115" t="inlineStr">
        <is>
          <t>A 14140-2022</t>
        </is>
      </c>
      <c r="B115" s="1" t="n">
        <v>44651</v>
      </c>
      <c r="C115" s="1" t="n">
        <v>45886</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45886</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46672-2022</t>
        </is>
      </c>
      <c r="B117" s="1" t="n">
        <v>44851</v>
      </c>
      <c r="C117" s="1" t="n">
        <v>45886</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12290-2024</t>
        </is>
      </c>
      <c r="B118" s="1" t="n">
        <v>45378.57877314815</v>
      </c>
      <c r="C118" s="1" t="n">
        <v>45886</v>
      </c>
      <c r="D118" t="inlineStr">
        <is>
          <t>DALARNAS LÄN</t>
        </is>
      </c>
      <c r="E118" t="inlineStr">
        <is>
          <t>LEKSAND</t>
        </is>
      </c>
      <c r="G118" t="n">
        <v>2.5</v>
      </c>
      <c r="H118" t="n">
        <v>0</v>
      </c>
      <c r="I118" t="n">
        <v>0</v>
      </c>
      <c r="J118" t="n">
        <v>0</v>
      </c>
      <c r="K118" t="n">
        <v>0</v>
      </c>
      <c r="L118" t="n">
        <v>0</v>
      </c>
      <c r="M118" t="n">
        <v>0</v>
      </c>
      <c r="N118" t="n">
        <v>0</v>
      </c>
      <c r="O118" t="n">
        <v>0</v>
      </c>
      <c r="P118" t="n">
        <v>0</v>
      </c>
      <c r="Q118" t="n">
        <v>0</v>
      </c>
      <c r="R118" s="2" t="inlineStr"/>
    </row>
    <row r="119" ht="15" customHeight="1">
      <c r="A119" t="inlineStr">
        <is>
          <t>A 19559-2023</t>
        </is>
      </c>
      <c r="B119" s="1" t="n">
        <v>45050</v>
      </c>
      <c r="C119" s="1" t="n">
        <v>45886</v>
      </c>
      <c r="D119" t="inlineStr">
        <is>
          <t>DALARNAS LÄN</t>
        </is>
      </c>
      <c r="E119" t="inlineStr">
        <is>
          <t>LEKSAND</t>
        </is>
      </c>
      <c r="G119" t="n">
        <v>0.1</v>
      </c>
      <c r="H119" t="n">
        <v>0</v>
      </c>
      <c r="I119" t="n">
        <v>0</v>
      </c>
      <c r="J119" t="n">
        <v>0</v>
      </c>
      <c r="K119" t="n">
        <v>0</v>
      </c>
      <c r="L119" t="n">
        <v>0</v>
      </c>
      <c r="M119" t="n">
        <v>0</v>
      </c>
      <c r="N119" t="n">
        <v>0</v>
      </c>
      <c r="O119" t="n">
        <v>0</v>
      </c>
      <c r="P119" t="n">
        <v>0</v>
      </c>
      <c r="Q119" t="n">
        <v>0</v>
      </c>
      <c r="R119" s="2" t="inlineStr"/>
    </row>
    <row r="120" ht="15" customHeight="1">
      <c r="A120" t="inlineStr">
        <is>
          <t>A 47069-2020</t>
        </is>
      </c>
      <c r="B120" s="1" t="n">
        <v>44096</v>
      </c>
      <c r="C120" s="1" t="n">
        <v>45886</v>
      </c>
      <c r="D120" t="inlineStr">
        <is>
          <t>DALARNAS LÄN</t>
        </is>
      </c>
      <c r="E120" t="inlineStr">
        <is>
          <t>LEKSAND</t>
        </is>
      </c>
      <c r="G120" t="n">
        <v>5.5</v>
      </c>
      <c r="H120" t="n">
        <v>0</v>
      </c>
      <c r="I120" t="n">
        <v>0</v>
      </c>
      <c r="J120" t="n">
        <v>0</v>
      </c>
      <c r="K120" t="n">
        <v>0</v>
      </c>
      <c r="L120" t="n">
        <v>0</v>
      </c>
      <c r="M120" t="n">
        <v>0</v>
      </c>
      <c r="N120" t="n">
        <v>0</v>
      </c>
      <c r="O120" t="n">
        <v>0</v>
      </c>
      <c r="P120" t="n">
        <v>0</v>
      </c>
      <c r="Q120" t="n">
        <v>0</v>
      </c>
      <c r="R120" s="2" t="inlineStr"/>
    </row>
    <row r="121" ht="15" customHeight="1">
      <c r="A121" t="inlineStr">
        <is>
          <t>A 8046-2024</t>
        </is>
      </c>
      <c r="B121" s="1" t="n">
        <v>45351.31555555556</v>
      </c>
      <c r="C121" s="1" t="n">
        <v>45886</v>
      </c>
      <c r="D121" t="inlineStr">
        <is>
          <t>DALARNAS LÄN</t>
        </is>
      </c>
      <c r="E121" t="inlineStr">
        <is>
          <t>LEKSAND</t>
        </is>
      </c>
      <c r="G121" t="n">
        <v>2.9</v>
      </c>
      <c r="H121" t="n">
        <v>0</v>
      </c>
      <c r="I121" t="n">
        <v>0</v>
      </c>
      <c r="J121" t="n">
        <v>0</v>
      </c>
      <c r="K121" t="n">
        <v>0</v>
      </c>
      <c r="L121" t="n">
        <v>0</v>
      </c>
      <c r="M121" t="n">
        <v>0</v>
      </c>
      <c r="N121" t="n">
        <v>0</v>
      </c>
      <c r="O121" t="n">
        <v>0</v>
      </c>
      <c r="P121" t="n">
        <v>0</v>
      </c>
      <c r="Q121" t="n">
        <v>0</v>
      </c>
      <c r="R121" s="2" t="inlineStr"/>
    </row>
    <row r="122" ht="15" customHeight="1">
      <c r="A122" t="inlineStr">
        <is>
          <t>A 14797-2025</t>
        </is>
      </c>
      <c r="B122" s="1" t="n">
        <v>45742.90363425926</v>
      </c>
      <c r="C122" s="1" t="n">
        <v>45886</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6758-2024</t>
        </is>
      </c>
      <c r="B123" s="1" t="n">
        <v>45342.46857638889</v>
      </c>
      <c r="C123" s="1" t="n">
        <v>45886</v>
      </c>
      <c r="D123" t="inlineStr">
        <is>
          <t>DALARNAS LÄN</t>
        </is>
      </c>
      <c r="E123" t="inlineStr">
        <is>
          <t>LEKSAND</t>
        </is>
      </c>
      <c r="F123" t="inlineStr">
        <is>
          <t>Bergvik skog väst AB</t>
        </is>
      </c>
      <c r="G123" t="n">
        <v>6.2</v>
      </c>
      <c r="H123" t="n">
        <v>0</v>
      </c>
      <c r="I123" t="n">
        <v>0</v>
      </c>
      <c r="J123" t="n">
        <v>0</v>
      </c>
      <c r="K123" t="n">
        <v>0</v>
      </c>
      <c r="L123" t="n">
        <v>0</v>
      </c>
      <c r="M123" t="n">
        <v>0</v>
      </c>
      <c r="N123" t="n">
        <v>0</v>
      </c>
      <c r="O123" t="n">
        <v>0</v>
      </c>
      <c r="P123" t="n">
        <v>0</v>
      </c>
      <c r="Q123" t="n">
        <v>0</v>
      </c>
      <c r="R123" s="2" t="inlineStr"/>
    </row>
    <row r="124" ht="15" customHeight="1">
      <c r="A124" t="inlineStr">
        <is>
          <t>A 28128-2022</t>
        </is>
      </c>
      <c r="B124" s="1" t="n">
        <v>44746.50628472222</v>
      </c>
      <c r="C124" s="1" t="n">
        <v>45886</v>
      </c>
      <c r="D124" t="inlineStr">
        <is>
          <t>DALARNAS LÄN</t>
        </is>
      </c>
      <c r="E124" t="inlineStr">
        <is>
          <t>LEKSAND</t>
        </is>
      </c>
      <c r="G124" t="n">
        <v>3.5</v>
      </c>
      <c r="H124" t="n">
        <v>0</v>
      </c>
      <c r="I124" t="n">
        <v>0</v>
      </c>
      <c r="J124" t="n">
        <v>0</v>
      </c>
      <c r="K124" t="n">
        <v>0</v>
      </c>
      <c r="L124" t="n">
        <v>0</v>
      </c>
      <c r="M124" t="n">
        <v>0</v>
      </c>
      <c r="N124" t="n">
        <v>0</v>
      </c>
      <c r="O124" t="n">
        <v>0</v>
      </c>
      <c r="P124" t="n">
        <v>0</v>
      </c>
      <c r="Q124" t="n">
        <v>0</v>
      </c>
      <c r="R124" s="2" t="inlineStr"/>
    </row>
    <row r="125" ht="15" customHeight="1">
      <c r="A125" t="inlineStr">
        <is>
          <t>A 14616-2024</t>
        </is>
      </c>
      <c r="B125" s="1" t="n">
        <v>45397.2624537037</v>
      </c>
      <c r="C125" s="1" t="n">
        <v>45886</v>
      </c>
      <c r="D125" t="inlineStr">
        <is>
          <t>DALARNAS LÄN</t>
        </is>
      </c>
      <c r="E125" t="inlineStr">
        <is>
          <t>LEKSAND</t>
        </is>
      </c>
      <c r="G125" t="n">
        <v>0.5</v>
      </c>
      <c r="H125" t="n">
        <v>0</v>
      </c>
      <c r="I125" t="n">
        <v>0</v>
      </c>
      <c r="J125" t="n">
        <v>0</v>
      </c>
      <c r="K125" t="n">
        <v>0</v>
      </c>
      <c r="L125" t="n">
        <v>0</v>
      </c>
      <c r="M125" t="n">
        <v>0</v>
      </c>
      <c r="N125" t="n">
        <v>0</v>
      </c>
      <c r="O125" t="n">
        <v>0</v>
      </c>
      <c r="P125" t="n">
        <v>0</v>
      </c>
      <c r="Q125" t="n">
        <v>0</v>
      </c>
      <c r="R125" s="2" t="inlineStr"/>
    </row>
    <row r="126" ht="15" customHeight="1">
      <c r="A126" t="inlineStr">
        <is>
          <t>A 17078-2023</t>
        </is>
      </c>
      <c r="B126" s="1" t="n">
        <v>45034</v>
      </c>
      <c r="C126" s="1" t="n">
        <v>45886</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48644-2023</t>
        </is>
      </c>
      <c r="B127" s="1" t="n">
        <v>45208.58997685185</v>
      </c>
      <c r="C127" s="1" t="n">
        <v>45886</v>
      </c>
      <c r="D127" t="inlineStr">
        <is>
          <t>DALARNAS LÄN</t>
        </is>
      </c>
      <c r="E127" t="inlineStr">
        <is>
          <t>LEKSAND</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38001-2023</t>
        </is>
      </c>
      <c r="B128" s="1" t="n">
        <v>45160</v>
      </c>
      <c r="C128" s="1" t="n">
        <v>45886</v>
      </c>
      <c r="D128" t="inlineStr">
        <is>
          <t>DALARNAS LÄN</t>
        </is>
      </c>
      <c r="E128" t="inlineStr">
        <is>
          <t>LEKSAND</t>
        </is>
      </c>
      <c r="G128" t="n">
        <v>3.6</v>
      </c>
      <c r="H128" t="n">
        <v>0</v>
      </c>
      <c r="I128" t="n">
        <v>0</v>
      </c>
      <c r="J128" t="n">
        <v>0</v>
      </c>
      <c r="K128" t="n">
        <v>0</v>
      </c>
      <c r="L128" t="n">
        <v>0</v>
      </c>
      <c r="M128" t="n">
        <v>0</v>
      </c>
      <c r="N128" t="n">
        <v>0</v>
      </c>
      <c r="O128" t="n">
        <v>0</v>
      </c>
      <c r="P128" t="n">
        <v>0</v>
      </c>
      <c r="Q128" t="n">
        <v>0</v>
      </c>
      <c r="R128" s="2" t="inlineStr"/>
    </row>
    <row r="129" ht="15" customHeight="1">
      <c r="A129" t="inlineStr">
        <is>
          <t>A 25025-2023</t>
        </is>
      </c>
      <c r="B129" s="1" t="n">
        <v>45085.92146990741</v>
      </c>
      <c r="C129" s="1" t="n">
        <v>45886</v>
      </c>
      <c r="D129" t="inlineStr">
        <is>
          <t>DALARNAS LÄN</t>
        </is>
      </c>
      <c r="E129" t="inlineStr">
        <is>
          <t>LEKSAND</t>
        </is>
      </c>
      <c r="G129" t="n">
        <v>3</v>
      </c>
      <c r="H129" t="n">
        <v>0</v>
      </c>
      <c r="I129" t="n">
        <v>0</v>
      </c>
      <c r="J129" t="n">
        <v>0</v>
      </c>
      <c r="K129" t="n">
        <v>0</v>
      </c>
      <c r="L129" t="n">
        <v>0</v>
      </c>
      <c r="M129" t="n">
        <v>0</v>
      </c>
      <c r="N129" t="n">
        <v>0</v>
      </c>
      <c r="O129" t="n">
        <v>0</v>
      </c>
      <c r="P129" t="n">
        <v>0</v>
      </c>
      <c r="Q129" t="n">
        <v>0</v>
      </c>
      <c r="R129" s="2" t="inlineStr"/>
    </row>
    <row r="130" ht="15" customHeight="1">
      <c r="A130" t="inlineStr">
        <is>
          <t>A 25038-2023</t>
        </is>
      </c>
      <c r="B130" s="1" t="n">
        <v>45085</v>
      </c>
      <c r="C130" s="1" t="n">
        <v>45886</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14865-2025</t>
        </is>
      </c>
      <c r="B131" s="1" t="n">
        <v>45743.43929398148</v>
      </c>
      <c r="C131" s="1" t="n">
        <v>45886</v>
      </c>
      <c r="D131" t="inlineStr">
        <is>
          <t>DALARNAS LÄN</t>
        </is>
      </c>
      <c r="E131" t="inlineStr">
        <is>
          <t>LEKSAND</t>
        </is>
      </c>
      <c r="G131" t="n">
        <v>0.9</v>
      </c>
      <c r="H131" t="n">
        <v>0</v>
      </c>
      <c r="I131" t="n">
        <v>0</v>
      </c>
      <c r="J131" t="n">
        <v>0</v>
      </c>
      <c r="K131" t="n">
        <v>0</v>
      </c>
      <c r="L131" t="n">
        <v>0</v>
      </c>
      <c r="M131" t="n">
        <v>0</v>
      </c>
      <c r="N131" t="n">
        <v>0</v>
      </c>
      <c r="O131" t="n">
        <v>0</v>
      </c>
      <c r="P131" t="n">
        <v>0</v>
      </c>
      <c r="Q131" t="n">
        <v>0</v>
      </c>
      <c r="R131" s="2" t="inlineStr"/>
    </row>
    <row r="132" ht="15" customHeight="1">
      <c r="A132" t="inlineStr">
        <is>
          <t>A 471-2025</t>
        </is>
      </c>
      <c r="B132" s="1" t="n">
        <v>45664.43394675926</v>
      </c>
      <c r="C132" s="1" t="n">
        <v>45886</v>
      </c>
      <c r="D132" t="inlineStr">
        <is>
          <t>DALARNAS LÄN</t>
        </is>
      </c>
      <c r="E132" t="inlineStr">
        <is>
          <t>LEKSAND</t>
        </is>
      </c>
      <c r="G132" t="n">
        <v>1.3</v>
      </c>
      <c r="H132" t="n">
        <v>0</v>
      </c>
      <c r="I132" t="n">
        <v>0</v>
      </c>
      <c r="J132" t="n">
        <v>0</v>
      </c>
      <c r="K132" t="n">
        <v>0</v>
      </c>
      <c r="L132" t="n">
        <v>0</v>
      </c>
      <c r="M132" t="n">
        <v>0</v>
      </c>
      <c r="N132" t="n">
        <v>0</v>
      </c>
      <c r="O132" t="n">
        <v>0</v>
      </c>
      <c r="P132" t="n">
        <v>0</v>
      </c>
      <c r="Q132" t="n">
        <v>0</v>
      </c>
      <c r="R132" s="2" t="inlineStr"/>
    </row>
    <row r="133" ht="15" customHeight="1">
      <c r="A133" t="inlineStr">
        <is>
          <t>A 16854-2025</t>
        </is>
      </c>
      <c r="B133" s="1" t="n">
        <v>45754.72883101852</v>
      </c>
      <c r="C133" s="1" t="n">
        <v>45886</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5847-2025</t>
        </is>
      </c>
      <c r="B134" s="1" t="n">
        <v>45695.30824074074</v>
      </c>
      <c r="C134" s="1" t="n">
        <v>45886</v>
      </c>
      <c r="D134" t="inlineStr">
        <is>
          <t>DALARNAS LÄN</t>
        </is>
      </c>
      <c r="E134" t="inlineStr">
        <is>
          <t>LEKSAND</t>
        </is>
      </c>
      <c r="G134" t="n">
        <v>2.6</v>
      </c>
      <c r="H134" t="n">
        <v>0</v>
      </c>
      <c r="I134" t="n">
        <v>0</v>
      </c>
      <c r="J134" t="n">
        <v>0</v>
      </c>
      <c r="K134" t="n">
        <v>0</v>
      </c>
      <c r="L134" t="n">
        <v>0</v>
      </c>
      <c r="M134" t="n">
        <v>0</v>
      </c>
      <c r="N134" t="n">
        <v>0</v>
      </c>
      <c r="O134" t="n">
        <v>0</v>
      </c>
      <c r="P134" t="n">
        <v>0</v>
      </c>
      <c r="Q134" t="n">
        <v>0</v>
      </c>
      <c r="R134" s="2" t="inlineStr"/>
    </row>
    <row r="135" ht="15" customHeight="1">
      <c r="A135" t="inlineStr">
        <is>
          <t>A 5873-2025</t>
        </is>
      </c>
      <c r="B135" s="1" t="n">
        <v>45695.36715277778</v>
      </c>
      <c r="C135" s="1" t="n">
        <v>45886</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18481-2024</t>
        </is>
      </c>
      <c r="B136" s="1" t="n">
        <v>45425.52193287037</v>
      </c>
      <c r="C136" s="1" t="n">
        <v>45886</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18484-2024</t>
        </is>
      </c>
      <c r="B137" s="1" t="n">
        <v>45425.52559027778</v>
      </c>
      <c r="C137" s="1" t="n">
        <v>45886</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53193-2024</t>
        </is>
      </c>
      <c r="B138" s="1" t="n">
        <v>45610</v>
      </c>
      <c r="C138" s="1" t="n">
        <v>45886</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11080-2023</t>
        </is>
      </c>
      <c r="B139" s="1" t="n">
        <v>44992</v>
      </c>
      <c r="C139" s="1" t="n">
        <v>45886</v>
      </c>
      <c r="D139" t="inlineStr">
        <is>
          <t>DALARNAS LÄN</t>
        </is>
      </c>
      <c r="E139" t="inlineStr">
        <is>
          <t>LEKSAND</t>
        </is>
      </c>
      <c r="G139" t="n">
        <v>6.9</v>
      </c>
      <c r="H139" t="n">
        <v>0</v>
      </c>
      <c r="I139" t="n">
        <v>0</v>
      </c>
      <c r="J139" t="n">
        <v>0</v>
      </c>
      <c r="K139" t="n">
        <v>0</v>
      </c>
      <c r="L139" t="n">
        <v>0</v>
      </c>
      <c r="M139" t="n">
        <v>0</v>
      </c>
      <c r="N139" t="n">
        <v>0</v>
      </c>
      <c r="O139" t="n">
        <v>0</v>
      </c>
      <c r="P139" t="n">
        <v>0</v>
      </c>
      <c r="Q139" t="n">
        <v>0</v>
      </c>
      <c r="R139" s="2" t="inlineStr"/>
    </row>
    <row r="140" ht="15" customHeight="1">
      <c r="A140" t="inlineStr">
        <is>
          <t>A 51857-2022</t>
        </is>
      </c>
      <c r="B140" s="1" t="n">
        <v>44867</v>
      </c>
      <c r="C140" s="1" t="n">
        <v>45886</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5583-2024</t>
        </is>
      </c>
      <c r="B141" s="1" t="n">
        <v>45334</v>
      </c>
      <c r="C141" s="1" t="n">
        <v>45886</v>
      </c>
      <c r="D141" t="inlineStr">
        <is>
          <t>DALARNAS LÄN</t>
        </is>
      </c>
      <c r="E141" t="inlineStr">
        <is>
          <t>LEKSAND</t>
        </is>
      </c>
      <c r="F141" t="inlineStr">
        <is>
          <t>Kyrkan</t>
        </is>
      </c>
      <c r="G141" t="n">
        <v>0.4</v>
      </c>
      <c r="H141" t="n">
        <v>0</v>
      </c>
      <c r="I141" t="n">
        <v>0</v>
      </c>
      <c r="J141" t="n">
        <v>0</v>
      </c>
      <c r="K141" t="n">
        <v>0</v>
      </c>
      <c r="L141" t="n">
        <v>0</v>
      </c>
      <c r="M141" t="n">
        <v>0</v>
      </c>
      <c r="N141" t="n">
        <v>0</v>
      </c>
      <c r="O141" t="n">
        <v>0</v>
      </c>
      <c r="P141" t="n">
        <v>0</v>
      </c>
      <c r="Q141" t="n">
        <v>0</v>
      </c>
      <c r="R141" s="2" t="inlineStr"/>
    </row>
    <row r="142" ht="15" customHeight="1">
      <c r="A142" t="inlineStr">
        <is>
          <t>A 15968-2025</t>
        </is>
      </c>
      <c r="B142" s="1" t="n">
        <v>45749.54818287037</v>
      </c>
      <c r="C142" s="1" t="n">
        <v>45886</v>
      </c>
      <c r="D142" t="inlineStr">
        <is>
          <t>DALARNAS LÄN</t>
        </is>
      </c>
      <c r="E142" t="inlineStr">
        <is>
          <t>LEKSAND</t>
        </is>
      </c>
      <c r="G142" t="n">
        <v>3.2</v>
      </c>
      <c r="H142" t="n">
        <v>0</v>
      </c>
      <c r="I142" t="n">
        <v>0</v>
      </c>
      <c r="J142" t="n">
        <v>0</v>
      </c>
      <c r="K142" t="n">
        <v>0</v>
      </c>
      <c r="L142" t="n">
        <v>0</v>
      </c>
      <c r="M142" t="n">
        <v>0</v>
      </c>
      <c r="N142" t="n">
        <v>0</v>
      </c>
      <c r="O142" t="n">
        <v>0</v>
      </c>
      <c r="P142" t="n">
        <v>0</v>
      </c>
      <c r="Q142" t="n">
        <v>0</v>
      </c>
      <c r="R142" s="2" t="inlineStr"/>
    </row>
    <row r="143" ht="15" customHeight="1">
      <c r="A143" t="inlineStr">
        <is>
          <t>A 16005-2025</t>
        </is>
      </c>
      <c r="B143" s="1" t="n">
        <v>45749.59765046297</v>
      </c>
      <c r="C143" s="1" t="n">
        <v>45886</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26957-2023</t>
        </is>
      </c>
      <c r="B144" s="1" t="n">
        <v>45093</v>
      </c>
      <c r="C144" s="1" t="n">
        <v>45886</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26959-2023</t>
        </is>
      </c>
      <c r="B145" s="1" t="n">
        <v>45093.67210648148</v>
      </c>
      <c r="C145" s="1" t="n">
        <v>45886</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19820-2024</t>
        </is>
      </c>
      <c r="B146" s="1" t="n">
        <v>45433.33907407407</v>
      </c>
      <c r="C146" s="1" t="n">
        <v>45886</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19823-2024</t>
        </is>
      </c>
      <c r="B147" s="1" t="n">
        <v>45433.34469907408</v>
      </c>
      <c r="C147" s="1" t="n">
        <v>45886</v>
      </c>
      <c r="D147" t="inlineStr">
        <is>
          <t>DALARNAS LÄN</t>
        </is>
      </c>
      <c r="E147" t="inlineStr">
        <is>
          <t>LEKSAND</t>
        </is>
      </c>
      <c r="G147" t="n">
        <v>0.3</v>
      </c>
      <c r="H147" t="n">
        <v>0</v>
      </c>
      <c r="I147" t="n">
        <v>0</v>
      </c>
      <c r="J147" t="n">
        <v>0</v>
      </c>
      <c r="K147" t="n">
        <v>0</v>
      </c>
      <c r="L147" t="n">
        <v>0</v>
      </c>
      <c r="M147" t="n">
        <v>0</v>
      </c>
      <c r="N147" t="n">
        <v>0</v>
      </c>
      <c r="O147" t="n">
        <v>0</v>
      </c>
      <c r="P147" t="n">
        <v>0</v>
      </c>
      <c r="Q147" t="n">
        <v>0</v>
      </c>
      <c r="R147" s="2" t="inlineStr"/>
    </row>
    <row r="148" ht="15" customHeight="1">
      <c r="A148" t="inlineStr">
        <is>
          <t>A 11128-2023</t>
        </is>
      </c>
      <c r="B148" s="1" t="n">
        <v>44992</v>
      </c>
      <c r="C148" s="1" t="n">
        <v>45886</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11218-2023</t>
        </is>
      </c>
      <c r="B149" s="1" t="n">
        <v>44992.62401620371</v>
      </c>
      <c r="C149" s="1" t="n">
        <v>45886</v>
      </c>
      <c r="D149" t="inlineStr">
        <is>
          <t>DALARNAS LÄN</t>
        </is>
      </c>
      <c r="E149" t="inlineStr">
        <is>
          <t>LEKSAND</t>
        </is>
      </c>
      <c r="G149" t="n">
        <v>2.6</v>
      </c>
      <c r="H149" t="n">
        <v>0</v>
      </c>
      <c r="I149" t="n">
        <v>0</v>
      </c>
      <c r="J149" t="n">
        <v>0</v>
      </c>
      <c r="K149" t="n">
        <v>0</v>
      </c>
      <c r="L149" t="n">
        <v>0</v>
      </c>
      <c r="M149" t="n">
        <v>0</v>
      </c>
      <c r="N149" t="n">
        <v>0</v>
      </c>
      <c r="O149" t="n">
        <v>0</v>
      </c>
      <c r="P149" t="n">
        <v>0</v>
      </c>
      <c r="Q149" t="n">
        <v>0</v>
      </c>
      <c r="R149" s="2" t="inlineStr"/>
    </row>
    <row r="150" ht="15" customHeight="1">
      <c r="A150" t="inlineStr">
        <is>
          <t>A 60024-2023</t>
        </is>
      </c>
      <c r="B150" s="1" t="n">
        <v>45258</v>
      </c>
      <c r="C150" s="1" t="n">
        <v>45886</v>
      </c>
      <c r="D150" t="inlineStr">
        <is>
          <t>DALARNAS LÄN</t>
        </is>
      </c>
      <c r="E150" t="inlineStr">
        <is>
          <t>LEKSAND</t>
        </is>
      </c>
      <c r="G150" t="n">
        <v>4.2</v>
      </c>
      <c r="H150" t="n">
        <v>0</v>
      </c>
      <c r="I150" t="n">
        <v>0</v>
      </c>
      <c r="J150" t="n">
        <v>0</v>
      </c>
      <c r="K150" t="n">
        <v>0</v>
      </c>
      <c r="L150" t="n">
        <v>0</v>
      </c>
      <c r="M150" t="n">
        <v>0</v>
      </c>
      <c r="N150" t="n">
        <v>0</v>
      </c>
      <c r="O150" t="n">
        <v>0</v>
      </c>
      <c r="P150" t="n">
        <v>0</v>
      </c>
      <c r="Q150" t="n">
        <v>0</v>
      </c>
      <c r="R150" s="2" t="inlineStr"/>
    </row>
    <row r="151" ht="15" customHeight="1">
      <c r="A151" t="inlineStr">
        <is>
          <t>A 11859-2024</t>
        </is>
      </c>
      <c r="B151" s="1" t="n">
        <v>45376.44569444445</v>
      </c>
      <c r="C151" s="1" t="n">
        <v>45886</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62133-2023</t>
        </is>
      </c>
      <c r="B152" s="1" t="n">
        <v>45267.35582175926</v>
      </c>
      <c r="C152" s="1" t="n">
        <v>45886</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14908-2024</t>
        </is>
      </c>
      <c r="B153" s="1" t="n">
        <v>45398.59402777778</v>
      </c>
      <c r="C153" s="1" t="n">
        <v>45886</v>
      </c>
      <c r="D153" t="inlineStr">
        <is>
          <t>DALARNAS LÄN</t>
        </is>
      </c>
      <c r="E153" t="inlineStr">
        <is>
          <t>LEKSAND</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24135-2024</t>
        </is>
      </c>
      <c r="B154" s="1" t="n">
        <v>45456.63747685185</v>
      </c>
      <c r="C154" s="1" t="n">
        <v>45886</v>
      </c>
      <c r="D154" t="inlineStr">
        <is>
          <t>DALARNAS LÄN</t>
        </is>
      </c>
      <c r="E154" t="inlineStr">
        <is>
          <t>LEKSAND</t>
        </is>
      </c>
      <c r="F154" t="inlineStr">
        <is>
          <t>Bergvik skog väst AB</t>
        </is>
      </c>
      <c r="G154" t="n">
        <v>2.9</v>
      </c>
      <c r="H154" t="n">
        <v>0</v>
      </c>
      <c r="I154" t="n">
        <v>0</v>
      </c>
      <c r="J154" t="n">
        <v>0</v>
      </c>
      <c r="K154" t="n">
        <v>0</v>
      </c>
      <c r="L154" t="n">
        <v>0</v>
      </c>
      <c r="M154" t="n">
        <v>0</v>
      </c>
      <c r="N154" t="n">
        <v>0</v>
      </c>
      <c r="O154" t="n">
        <v>0</v>
      </c>
      <c r="P154" t="n">
        <v>0</v>
      </c>
      <c r="Q154" t="n">
        <v>0</v>
      </c>
      <c r="R154" s="2" t="inlineStr"/>
    </row>
    <row r="155" ht="15" customHeight="1">
      <c r="A155" t="inlineStr">
        <is>
          <t>A 58495-2023</t>
        </is>
      </c>
      <c r="B155" s="1" t="n">
        <v>45251</v>
      </c>
      <c r="C155" s="1" t="n">
        <v>45886</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31915-2024</t>
        </is>
      </c>
      <c r="B156" s="1" t="n">
        <v>45510.38956018518</v>
      </c>
      <c r="C156" s="1" t="n">
        <v>45886</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33072-2021</t>
        </is>
      </c>
      <c r="B157" s="1" t="n">
        <v>44375</v>
      </c>
      <c r="C157" s="1" t="n">
        <v>45886</v>
      </c>
      <c r="D157" t="inlineStr">
        <is>
          <t>DALARNAS LÄN</t>
        </is>
      </c>
      <c r="E157" t="inlineStr">
        <is>
          <t>LEKSAND</t>
        </is>
      </c>
      <c r="G157" t="n">
        <v>1.2</v>
      </c>
      <c r="H157" t="n">
        <v>0</v>
      </c>
      <c r="I157" t="n">
        <v>0</v>
      </c>
      <c r="J157" t="n">
        <v>0</v>
      </c>
      <c r="K157" t="n">
        <v>0</v>
      </c>
      <c r="L157" t="n">
        <v>0</v>
      </c>
      <c r="M157" t="n">
        <v>0</v>
      </c>
      <c r="N157" t="n">
        <v>0</v>
      </c>
      <c r="O157" t="n">
        <v>0</v>
      </c>
      <c r="P157" t="n">
        <v>0</v>
      </c>
      <c r="Q157" t="n">
        <v>0</v>
      </c>
      <c r="R157" s="2" t="inlineStr"/>
    </row>
    <row r="158" ht="15" customHeight="1">
      <c r="A158" t="inlineStr">
        <is>
          <t>A 19371-2024</t>
        </is>
      </c>
      <c r="B158" s="1" t="n">
        <v>45429.34969907408</v>
      </c>
      <c r="C158" s="1" t="n">
        <v>45886</v>
      </c>
      <c r="D158" t="inlineStr">
        <is>
          <t>DALARNAS LÄN</t>
        </is>
      </c>
      <c r="E158" t="inlineStr">
        <is>
          <t>LEKSAND</t>
        </is>
      </c>
      <c r="G158" t="n">
        <v>0.6</v>
      </c>
      <c r="H158" t="n">
        <v>0</v>
      </c>
      <c r="I158" t="n">
        <v>0</v>
      </c>
      <c r="J158" t="n">
        <v>0</v>
      </c>
      <c r="K158" t="n">
        <v>0</v>
      </c>
      <c r="L158" t="n">
        <v>0</v>
      </c>
      <c r="M158" t="n">
        <v>0</v>
      </c>
      <c r="N158" t="n">
        <v>0</v>
      </c>
      <c r="O158" t="n">
        <v>0</v>
      </c>
      <c r="P158" t="n">
        <v>0</v>
      </c>
      <c r="Q158" t="n">
        <v>0</v>
      </c>
      <c r="R158" s="2" t="inlineStr"/>
    </row>
    <row r="159" ht="15" customHeight="1">
      <c r="A159" t="inlineStr">
        <is>
          <t>A 6039-2023</t>
        </is>
      </c>
      <c r="B159" s="1" t="n">
        <v>44959</v>
      </c>
      <c r="C159" s="1" t="n">
        <v>45886</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7827-2024</t>
        </is>
      </c>
      <c r="B160" s="1" t="n">
        <v>45349.7467824074</v>
      </c>
      <c r="C160" s="1" t="n">
        <v>45886</v>
      </c>
      <c r="D160" t="inlineStr">
        <is>
          <t>DALARNAS LÄN</t>
        </is>
      </c>
      <c r="E160" t="inlineStr">
        <is>
          <t>LEKSAND</t>
        </is>
      </c>
      <c r="G160" t="n">
        <v>2.2</v>
      </c>
      <c r="H160" t="n">
        <v>0</v>
      </c>
      <c r="I160" t="n">
        <v>0</v>
      </c>
      <c r="J160" t="n">
        <v>0</v>
      </c>
      <c r="K160" t="n">
        <v>0</v>
      </c>
      <c r="L160" t="n">
        <v>0</v>
      </c>
      <c r="M160" t="n">
        <v>0</v>
      </c>
      <c r="N160" t="n">
        <v>0</v>
      </c>
      <c r="O160" t="n">
        <v>0</v>
      </c>
      <c r="P160" t="n">
        <v>0</v>
      </c>
      <c r="Q160" t="n">
        <v>0</v>
      </c>
      <c r="R160" s="2" t="inlineStr"/>
    </row>
    <row r="161" ht="15" customHeight="1">
      <c r="A161" t="inlineStr">
        <is>
          <t>A 22517-2024</t>
        </is>
      </c>
      <c r="B161" s="1" t="n">
        <v>45447.40143518519</v>
      </c>
      <c r="C161" s="1" t="n">
        <v>45886</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59826-2023</t>
        </is>
      </c>
      <c r="B162" s="1" t="n">
        <v>45254</v>
      </c>
      <c r="C162" s="1" t="n">
        <v>45886</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412-2024</t>
        </is>
      </c>
      <c r="B163" s="1" t="n">
        <v>45296</v>
      </c>
      <c r="C163" s="1" t="n">
        <v>45886</v>
      </c>
      <c r="D163" t="inlineStr">
        <is>
          <t>DALARNAS LÄN</t>
        </is>
      </c>
      <c r="E163" t="inlineStr">
        <is>
          <t>LEKSAND</t>
        </is>
      </c>
      <c r="G163" t="n">
        <v>1.9</v>
      </c>
      <c r="H163" t="n">
        <v>0</v>
      </c>
      <c r="I163" t="n">
        <v>0</v>
      </c>
      <c r="J163" t="n">
        <v>0</v>
      </c>
      <c r="K163" t="n">
        <v>0</v>
      </c>
      <c r="L163" t="n">
        <v>0</v>
      </c>
      <c r="M163" t="n">
        <v>0</v>
      </c>
      <c r="N163" t="n">
        <v>0</v>
      </c>
      <c r="O163" t="n">
        <v>0</v>
      </c>
      <c r="P163" t="n">
        <v>0</v>
      </c>
      <c r="Q163" t="n">
        <v>0</v>
      </c>
      <c r="R163" s="2" t="inlineStr"/>
    </row>
    <row r="164" ht="15" customHeight="1">
      <c r="A164" t="inlineStr">
        <is>
          <t>A 59673-2023</t>
        </is>
      </c>
      <c r="B164" s="1" t="n">
        <v>45255.44603009259</v>
      </c>
      <c r="C164" s="1" t="n">
        <v>45886</v>
      </c>
      <c r="D164" t="inlineStr">
        <is>
          <t>DALARNAS LÄN</t>
        </is>
      </c>
      <c r="E164" t="inlineStr">
        <is>
          <t>LEKSAND</t>
        </is>
      </c>
      <c r="G164" t="n">
        <v>12.2</v>
      </c>
      <c r="H164" t="n">
        <v>0</v>
      </c>
      <c r="I164" t="n">
        <v>0</v>
      </c>
      <c r="J164" t="n">
        <v>0</v>
      </c>
      <c r="K164" t="n">
        <v>0</v>
      </c>
      <c r="L164" t="n">
        <v>0</v>
      </c>
      <c r="M164" t="n">
        <v>0</v>
      </c>
      <c r="N164" t="n">
        <v>0</v>
      </c>
      <c r="O164" t="n">
        <v>0</v>
      </c>
      <c r="P164" t="n">
        <v>0</v>
      </c>
      <c r="Q164" t="n">
        <v>0</v>
      </c>
      <c r="R164" s="2" t="inlineStr"/>
    </row>
    <row r="165" ht="15" customHeight="1">
      <c r="A165" t="inlineStr">
        <is>
          <t>A 49405-2024</t>
        </is>
      </c>
      <c r="B165" s="1" t="n">
        <v>45595</v>
      </c>
      <c r="C165" s="1" t="n">
        <v>45886</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23068-2024</t>
        </is>
      </c>
      <c r="B166" s="1" t="n">
        <v>45450.45521990741</v>
      </c>
      <c r="C166" s="1" t="n">
        <v>45886</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7417-2024</t>
        </is>
      </c>
      <c r="B167" s="1" t="n">
        <v>45345.62378472222</v>
      </c>
      <c r="C167" s="1" t="n">
        <v>45886</v>
      </c>
      <c r="D167" t="inlineStr">
        <is>
          <t>DALARNAS LÄN</t>
        </is>
      </c>
      <c r="E167" t="inlineStr">
        <is>
          <t>LEKSAND</t>
        </is>
      </c>
      <c r="G167" t="n">
        <v>2.8</v>
      </c>
      <c r="H167" t="n">
        <v>0</v>
      </c>
      <c r="I167" t="n">
        <v>0</v>
      </c>
      <c r="J167" t="n">
        <v>0</v>
      </c>
      <c r="K167" t="n">
        <v>0</v>
      </c>
      <c r="L167" t="n">
        <v>0</v>
      </c>
      <c r="M167" t="n">
        <v>0</v>
      </c>
      <c r="N167" t="n">
        <v>0</v>
      </c>
      <c r="O167" t="n">
        <v>0</v>
      </c>
      <c r="P167" t="n">
        <v>0</v>
      </c>
      <c r="Q167" t="n">
        <v>0</v>
      </c>
      <c r="R167" s="2" t="inlineStr"/>
    </row>
    <row r="168" ht="15" customHeight="1">
      <c r="A168" t="inlineStr">
        <is>
          <t>A 52801-2023</t>
        </is>
      </c>
      <c r="B168" s="1" t="n">
        <v>45219</v>
      </c>
      <c r="C168" s="1" t="n">
        <v>45886</v>
      </c>
      <c r="D168" t="inlineStr">
        <is>
          <t>DALARNAS LÄN</t>
        </is>
      </c>
      <c r="E168" t="inlineStr">
        <is>
          <t>LEKSAND</t>
        </is>
      </c>
      <c r="G168" t="n">
        <v>4.9</v>
      </c>
      <c r="H168" t="n">
        <v>0</v>
      </c>
      <c r="I168" t="n">
        <v>0</v>
      </c>
      <c r="J168" t="n">
        <v>0</v>
      </c>
      <c r="K168" t="n">
        <v>0</v>
      </c>
      <c r="L168" t="n">
        <v>0</v>
      </c>
      <c r="M168" t="n">
        <v>0</v>
      </c>
      <c r="N168" t="n">
        <v>0</v>
      </c>
      <c r="O168" t="n">
        <v>0</v>
      </c>
      <c r="P168" t="n">
        <v>0</v>
      </c>
      <c r="Q168" t="n">
        <v>0</v>
      </c>
      <c r="R168" s="2" t="inlineStr"/>
    </row>
    <row r="169" ht="15" customHeight="1">
      <c r="A169" t="inlineStr">
        <is>
          <t>A 45768-2023</t>
        </is>
      </c>
      <c r="B169" s="1" t="n">
        <v>45195</v>
      </c>
      <c r="C169" s="1" t="n">
        <v>45886</v>
      </c>
      <c r="D169" t="inlineStr">
        <is>
          <t>DALARNAS LÄN</t>
        </is>
      </c>
      <c r="E169" t="inlineStr">
        <is>
          <t>LEKSAND</t>
        </is>
      </c>
      <c r="G169" t="n">
        <v>0.4</v>
      </c>
      <c r="H169" t="n">
        <v>0</v>
      </c>
      <c r="I169" t="n">
        <v>0</v>
      </c>
      <c r="J169" t="n">
        <v>0</v>
      </c>
      <c r="K169" t="n">
        <v>0</v>
      </c>
      <c r="L169" t="n">
        <v>0</v>
      </c>
      <c r="M169" t="n">
        <v>0</v>
      </c>
      <c r="N169" t="n">
        <v>0</v>
      </c>
      <c r="O169" t="n">
        <v>0</v>
      </c>
      <c r="P169" t="n">
        <v>0</v>
      </c>
      <c r="Q169" t="n">
        <v>0</v>
      </c>
      <c r="R169" s="2" t="inlineStr"/>
    </row>
    <row r="170" ht="15" customHeight="1">
      <c r="A170" t="inlineStr">
        <is>
          <t>A 22281-2024</t>
        </is>
      </c>
      <c r="B170" s="1" t="n">
        <v>45446.54756944445</v>
      </c>
      <c r="C170" s="1" t="n">
        <v>45886</v>
      </c>
      <c r="D170" t="inlineStr">
        <is>
          <t>DALARNAS LÄN</t>
        </is>
      </c>
      <c r="E170" t="inlineStr">
        <is>
          <t>LEKSAND</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16829-2025</t>
        </is>
      </c>
      <c r="B171" s="1" t="n">
        <v>45754</v>
      </c>
      <c r="C171" s="1" t="n">
        <v>45886</v>
      </c>
      <c r="D171" t="inlineStr">
        <is>
          <t>DALARNAS LÄN</t>
        </is>
      </c>
      <c r="E171" t="inlineStr">
        <is>
          <t>LEKSAND</t>
        </is>
      </c>
      <c r="F171" t="inlineStr">
        <is>
          <t>Bergvik skog väst AB</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13161-2024</t>
        </is>
      </c>
      <c r="B172" s="1" t="n">
        <v>45386.38972222222</v>
      </c>
      <c r="C172" s="1" t="n">
        <v>45886</v>
      </c>
      <c r="D172" t="inlineStr">
        <is>
          <t>DALARNAS LÄN</t>
        </is>
      </c>
      <c r="E172" t="inlineStr">
        <is>
          <t>LEKSAND</t>
        </is>
      </c>
      <c r="G172" t="n">
        <v>0.7</v>
      </c>
      <c r="H172" t="n">
        <v>0</v>
      </c>
      <c r="I172" t="n">
        <v>0</v>
      </c>
      <c r="J172" t="n">
        <v>0</v>
      </c>
      <c r="K172" t="n">
        <v>0</v>
      </c>
      <c r="L172" t="n">
        <v>0</v>
      </c>
      <c r="M172" t="n">
        <v>0</v>
      </c>
      <c r="N172" t="n">
        <v>0</v>
      </c>
      <c r="O172" t="n">
        <v>0</v>
      </c>
      <c r="P172" t="n">
        <v>0</v>
      </c>
      <c r="Q172" t="n">
        <v>0</v>
      </c>
      <c r="R172" s="2" t="inlineStr"/>
    </row>
    <row r="173" ht="15" customHeight="1">
      <c r="A173" t="inlineStr">
        <is>
          <t>A 14792-2024</t>
        </is>
      </c>
      <c r="B173" s="1" t="n">
        <v>45397.8344212963</v>
      </c>
      <c r="C173" s="1" t="n">
        <v>45886</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41306-2024</t>
        </is>
      </c>
      <c r="B174" s="1" t="n">
        <v>45559.62550925926</v>
      </c>
      <c r="C174" s="1" t="n">
        <v>45886</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20683-2025</t>
        </is>
      </c>
      <c r="B175" s="1" t="n">
        <v>45776</v>
      </c>
      <c r="C175" s="1" t="n">
        <v>45886</v>
      </c>
      <c r="D175" t="inlineStr">
        <is>
          <t>DALARNAS LÄN</t>
        </is>
      </c>
      <c r="E175" t="inlineStr">
        <is>
          <t>LEKSAND</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36450-2023</t>
        </is>
      </c>
      <c r="B176" s="1" t="n">
        <v>45152.64842592592</v>
      </c>
      <c r="C176" s="1" t="n">
        <v>45886</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1458-2024</t>
        </is>
      </c>
      <c r="B177" s="1" t="n">
        <v>45303</v>
      </c>
      <c r="C177" s="1" t="n">
        <v>45886</v>
      </c>
      <c r="D177" t="inlineStr">
        <is>
          <t>DALARNAS LÄN</t>
        </is>
      </c>
      <c r="E177" t="inlineStr">
        <is>
          <t>LEKSAND</t>
        </is>
      </c>
      <c r="G177" t="n">
        <v>2</v>
      </c>
      <c r="H177" t="n">
        <v>0</v>
      </c>
      <c r="I177" t="n">
        <v>0</v>
      </c>
      <c r="J177" t="n">
        <v>0</v>
      </c>
      <c r="K177" t="n">
        <v>0</v>
      </c>
      <c r="L177" t="n">
        <v>0</v>
      </c>
      <c r="M177" t="n">
        <v>0</v>
      </c>
      <c r="N177" t="n">
        <v>0</v>
      </c>
      <c r="O177" t="n">
        <v>0</v>
      </c>
      <c r="P177" t="n">
        <v>0</v>
      </c>
      <c r="Q177" t="n">
        <v>0</v>
      </c>
      <c r="R177" s="2" t="inlineStr"/>
    </row>
    <row r="178" ht="15" customHeight="1">
      <c r="A178" t="inlineStr">
        <is>
          <t>A 1461-2024</t>
        </is>
      </c>
      <c r="B178" s="1" t="n">
        <v>45303</v>
      </c>
      <c r="C178" s="1" t="n">
        <v>45886</v>
      </c>
      <c r="D178" t="inlineStr">
        <is>
          <t>DALARNAS LÄN</t>
        </is>
      </c>
      <c r="E178" t="inlineStr">
        <is>
          <t>LEKSAND</t>
        </is>
      </c>
      <c r="G178" t="n">
        <v>2.4</v>
      </c>
      <c r="H178" t="n">
        <v>0</v>
      </c>
      <c r="I178" t="n">
        <v>0</v>
      </c>
      <c r="J178" t="n">
        <v>0</v>
      </c>
      <c r="K178" t="n">
        <v>0</v>
      </c>
      <c r="L178" t="n">
        <v>0</v>
      </c>
      <c r="M178" t="n">
        <v>0</v>
      </c>
      <c r="N178" t="n">
        <v>0</v>
      </c>
      <c r="O178" t="n">
        <v>0</v>
      </c>
      <c r="P178" t="n">
        <v>0</v>
      </c>
      <c r="Q178" t="n">
        <v>0</v>
      </c>
      <c r="R178" s="2" t="inlineStr"/>
    </row>
    <row r="179" ht="15" customHeight="1">
      <c r="A179" t="inlineStr">
        <is>
          <t>A 20937-2025</t>
        </is>
      </c>
      <c r="B179" s="1" t="n">
        <v>45777.42769675926</v>
      </c>
      <c r="C179" s="1" t="n">
        <v>45886</v>
      </c>
      <c r="D179" t="inlineStr">
        <is>
          <t>DALARNAS LÄN</t>
        </is>
      </c>
      <c r="E179" t="inlineStr">
        <is>
          <t>LEKSAND</t>
        </is>
      </c>
      <c r="G179" t="n">
        <v>2.2</v>
      </c>
      <c r="H179" t="n">
        <v>0</v>
      </c>
      <c r="I179" t="n">
        <v>0</v>
      </c>
      <c r="J179" t="n">
        <v>0</v>
      </c>
      <c r="K179" t="n">
        <v>0</v>
      </c>
      <c r="L179" t="n">
        <v>0</v>
      </c>
      <c r="M179" t="n">
        <v>0</v>
      </c>
      <c r="N179" t="n">
        <v>0</v>
      </c>
      <c r="O179" t="n">
        <v>0</v>
      </c>
      <c r="P179" t="n">
        <v>0</v>
      </c>
      <c r="Q179" t="n">
        <v>0</v>
      </c>
      <c r="R179" s="2" t="inlineStr"/>
    </row>
    <row r="180" ht="15" customHeight="1">
      <c r="A180" t="inlineStr">
        <is>
          <t>A 3737-2023</t>
        </is>
      </c>
      <c r="B180" s="1" t="n">
        <v>44951.42983796296</v>
      </c>
      <c r="C180" s="1" t="n">
        <v>45886</v>
      </c>
      <c r="D180" t="inlineStr">
        <is>
          <t>DALARNAS LÄN</t>
        </is>
      </c>
      <c r="E180" t="inlineStr">
        <is>
          <t>LEKSAND</t>
        </is>
      </c>
      <c r="G180" t="n">
        <v>3.1</v>
      </c>
      <c r="H180" t="n">
        <v>0</v>
      </c>
      <c r="I180" t="n">
        <v>0</v>
      </c>
      <c r="J180" t="n">
        <v>0</v>
      </c>
      <c r="K180" t="n">
        <v>0</v>
      </c>
      <c r="L180" t="n">
        <v>0</v>
      </c>
      <c r="M180" t="n">
        <v>0</v>
      </c>
      <c r="N180" t="n">
        <v>0</v>
      </c>
      <c r="O180" t="n">
        <v>0</v>
      </c>
      <c r="P180" t="n">
        <v>0</v>
      </c>
      <c r="Q180" t="n">
        <v>0</v>
      </c>
      <c r="R180" s="2" t="inlineStr"/>
    </row>
    <row r="181" ht="15" customHeight="1">
      <c r="A181" t="inlineStr">
        <is>
          <t>A 21457-2025</t>
        </is>
      </c>
      <c r="B181" s="1" t="n">
        <v>45782.55451388889</v>
      </c>
      <c r="C181" s="1" t="n">
        <v>45886</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21230-2025</t>
        </is>
      </c>
      <c r="B182" s="1" t="n">
        <v>45779.54589120371</v>
      </c>
      <c r="C182" s="1" t="n">
        <v>45886</v>
      </c>
      <c r="D182" t="inlineStr">
        <is>
          <t>DALARNAS LÄN</t>
        </is>
      </c>
      <c r="E182" t="inlineStr">
        <is>
          <t>LEKSAND</t>
        </is>
      </c>
      <c r="G182" t="n">
        <v>0.5</v>
      </c>
      <c r="H182" t="n">
        <v>0</v>
      </c>
      <c r="I182" t="n">
        <v>0</v>
      </c>
      <c r="J182" t="n">
        <v>0</v>
      </c>
      <c r="K182" t="n">
        <v>0</v>
      </c>
      <c r="L182" t="n">
        <v>0</v>
      </c>
      <c r="M182" t="n">
        <v>0</v>
      </c>
      <c r="N182" t="n">
        <v>0</v>
      </c>
      <c r="O182" t="n">
        <v>0</v>
      </c>
      <c r="P182" t="n">
        <v>0</v>
      </c>
      <c r="Q182" t="n">
        <v>0</v>
      </c>
      <c r="R182" s="2" t="inlineStr"/>
    </row>
    <row r="183" ht="15" customHeight="1">
      <c r="A183" t="inlineStr">
        <is>
          <t>A 21366-2025</t>
        </is>
      </c>
      <c r="B183" s="1" t="n">
        <v>45782.44667824074</v>
      </c>
      <c r="C183" s="1" t="n">
        <v>45886</v>
      </c>
      <c r="D183" t="inlineStr">
        <is>
          <t>DALARNAS LÄN</t>
        </is>
      </c>
      <c r="E183" t="inlineStr">
        <is>
          <t>LEKSAND</t>
        </is>
      </c>
      <c r="G183" t="n">
        <v>4.1</v>
      </c>
      <c r="H183" t="n">
        <v>0</v>
      </c>
      <c r="I183" t="n">
        <v>0</v>
      </c>
      <c r="J183" t="n">
        <v>0</v>
      </c>
      <c r="K183" t="n">
        <v>0</v>
      </c>
      <c r="L183" t="n">
        <v>0</v>
      </c>
      <c r="M183" t="n">
        <v>0</v>
      </c>
      <c r="N183" t="n">
        <v>0</v>
      </c>
      <c r="O183" t="n">
        <v>0</v>
      </c>
      <c r="P183" t="n">
        <v>0</v>
      </c>
      <c r="Q183" t="n">
        <v>0</v>
      </c>
      <c r="R183" s="2" t="inlineStr"/>
    </row>
    <row r="184" ht="15" customHeight="1">
      <c r="A184" t="inlineStr">
        <is>
          <t>A 21193-2025</t>
        </is>
      </c>
      <c r="B184" s="1" t="n">
        <v>45779.46675925926</v>
      </c>
      <c r="C184" s="1" t="n">
        <v>45886</v>
      </c>
      <c r="D184" t="inlineStr">
        <is>
          <t>DALARNAS LÄN</t>
        </is>
      </c>
      <c r="E184" t="inlineStr">
        <is>
          <t>LEKSAND</t>
        </is>
      </c>
      <c r="G184" t="n">
        <v>3.7</v>
      </c>
      <c r="H184" t="n">
        <v>0</v>
      </c>
      <c r="I184" t="n">
        <v>0</v>
      </c>
      <c r="J184" t="n">
        <v>0</v>
      </c>
      <c r="K184" t="n">
        <v>0</v>
      </c>
      <c r="L184" t="n">
        <v>0</v>
      </c>
      <c r="M184" t="n">
        <v>0</v>
      </c>
      <c r="N184" t="n">
        <v>0</v>
      </c>
      <c r="O184" t="n">
        <v>0</v>
      </c>
      <c r="P184" t="n">
        <v>0</v>
      </c>
      <c r="Q184" t="n">
        <v>0</v>
      </c>
      <c r="R184" s="2" t="inlineStr"/>
    </row>
    <row r="185" ht="15" customHeight="1">
      <c r="A185" t="inlineStr">
        <is>
          <t>A 60920-2020</t>
        </is>
      </c>
      <c r="B185" s="1" t="n">
        <v>44153</v>
      </c>
      <c r="C185" s="1" t="n">
        <v>45886</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11678-2023</t>
        </is>
      </c>
      <c r="B186" s="1" t="n">
        <v>44994</v>
      </c>
      <c r="C186" s="1" t="n">
        <v>45886</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40755-2024</t>
        </is>
      </c>
      <c r="B187" s="1" t="n">
        <v>45558.45815972222</v>
      </c>
      <c r="C187" s="1" t="n">
        <v>45886</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13288-2023</t>
        </is>
      </c>
      <c r="B188" s="1" t="n">
        <v>45004.8160300926</v>
      </c>
      <c r="C188" s="1" t="n">
        <v>45886</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11869-2024</t>
        </is>
      </c>
      <c r="B189" s="1" t="n">
        <v>45376.45800925926</v>
      </c>
      <c r="C189" s="1" t="n">
        <v>45886</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21881-2025</t>
        </is>
      </c>
      <c r="B190" s="1" t="n">
        <v>45784</v>
      </c>
      <c r="C190" s="1" t="n">
        <v>45886</v>
      </c>
      <c r="D190" t="inlineStr">
        <is>
          <t>DALARNAS LÄN</t>
        </is>
      </c>
      <c r="E190" t="inlineStr">
        <is>
          <t>LEKSAND</t>
        </is>
      </c>
      <c r="G190" t="n">
        <v>2</v>
      </c>
      <c r="H190" t="n">
        <v>0</v>
      </c>
      <c r="I190" t="n">
        <v>0</v>
      </c>
      <c r="J190" t="n">
        <v>0</v>
      </c>
      <c r="K190" t="n">
        <v>0</v>
      </c>
      <c r="L190" t="n">
        <v>0</v>
      </c>
      <c r="M190" t="n">
        <v>0</v>
      </c>
      <c r="N190" t="n">
        <v>0</v>
      </c>
      <c r="O190" t="n">
        <v>0</v>
      </c>
      <c r="P190" t="n">
        <v>0</v>
      </c>
      <c r="Q190" t="n">
        <v>0</v>
      </c>
      <c r="R190" s="2" t="inlineStr"/>
    </row>
    <row r="191" ht="15" customHeight="1">
      <c r="A191" t="inlineStr">
        <is>
          <t>A 11872-2024</t>
        </is>
      </c>
      <c r="B191" s="1" t="n">
        <v>45376.46833333333</v>
      </c>
      <c r="C191" s="1" t="n">
        <v>45886</v>
      </c>
      <c r="D191" t="inlineStr">
        <is>
          <t>DALARNAS LÄN</t>
        </is>
      </c>
      <c r="E191" t="inlineStr">
        <is>
          <t>LEKSAND</t>
        </is>
      </c>
      <c r="G191" t="n">
        <v>3.1</v>
      </c>
      <c r="H191" t="n">
        <v>0</v>
      </c>
      <c r="I191" t="n">
        <v>0</v>
      </c>
      <c r="J191" t="n">
        <v>0</v>
      </c>
      <c r="K191" t="n">
        <v>0</v>
      </c>
      <c r="L191" t="n">
        <v>0</v>
      </c>
      <c r="M191" t="n">
        <v>0</v>
      </c>
      <c r="N191" t="n">
        <v>0</v>
      </c>
      <c r="O191" t="n">
        <v>0</v>
      </c>
      <c r="P191" t="n">
        <v>0</v>
      </c>
      <c r="Q191" t="n">
        <v>0</v>
      </c>
      <c r="R191" s="2" t="inlineStr"/>
    </row>
    <row r="192" ht="15" customHeight="1">
      <c r="A192" t="inlineStr">
        <is>
          <t>A 21600-2025</t>
        </is>
      </c>
      <c r="B192" s="1" t="n">
        <v>45783.3521875</v>
      </c>
      <c r="C192" s="1" t="n">
        <v>45886</v>
      </c>
      <c r="D192" t="inlineStr">
        <is>
          <t>DALARNAS LÄN</t>
        </is>
      </c>
      <c r="E192" t="inlineStr">
        <is>
          <t>LEKSAND</t>
        </is>
      </c>
      <c r="G192" t="n">
        <v>7.7</v>
      </c>
      <c r="H192" t="n">
        <v>0</v>
      </c>
      <c r="I192" t="n">
        <v>0</v>
      </c>
      <c r="J192" t="n">
        <v>0</v>
      </c>
      <c r="K192" t="n">
        <v>0</v>
      </c>
      <c r="L192" t="n">
        <v>0</v>
      </c>
      <c r="M192" t="n">
        <v>0</v>
      </c>
      <c r="N192" t="n">
        <v>0</v>
      </c>
      <c r="O192" t="n">
        <v>0</v>
      </c>
      <c r="P192" t="n">
        <v>0</v>
      </c>
      <c r="Q192" t="n">
        <v>0</v>
      </c>
      <c r="R192" s="2" t="inlineStr"/>
    </row>
    <row r="193" ht="15" customHeight="1">
      <c r="A193" t="inlineStr">
        <is>
          <t>A 27520-2023</t>
        </is>
      </c>
      <c r="B193" s="1" t="n">
        <v>45097</v>
      </c>
      <c r="C193" s="1" t="n">
        <v>45886</v>
      </c>
      <c r="D193" t="inlineStr">
        <is>
          <t>DALARNAS LÄN</t>
        </is>
      </c>
      <c r="E193" t="inlineStr">
        <is>
          <t>LEKSAND</t>
        </is>
      </c>
      <c r="G193" t="n">
        <v>0.7</v>
      </c>
      <c r="H193" t="n">
        <v>0</v>
      </c>
      <c r="I193" t="n">
        <v>0</v>
      </c>
      <c r="J193" t="n">
        <v>0</v>
      </c>
      <c r="K193" t="n">
        <v>0</v>
      </c>
      <c r="L193" t="n">
        <v>0</v>
      </c>
      <c r="M193" t="n">
        <v>0</v>
      </c>
      <c r="N193" t="n">
        <v>0</v>
      </c>
      <c r="O193" t="n">
        <v>0</v>
      </c>
      <c r="P193" t="n">
        <v>0</v>
      </c>
      <c r="Q193" t="n">
        <v>0</v>
      </c>
      <c r="R193" s="2" t="inlineStr"/>
    </row>
    <row r="194" ht="15" customHeight="1">
      <c r="A194" t="inlineStr">
        <is>
          <t>A 30169-2023</t>
        </is>
      </c>
      <c r="B194" s="1" t="n">
        <v>45110</v>
      </c>
      <c r="C194" s="1" t="n">
        <v>45886</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37952-2024</t>
        </is>
      </c>
      <c r="B195" s="1" t="n">
        <v>45544.5200462963</v>
      </c>
      <c r="C195" s="1" t="n">
        <v>45886</v>
      </c>
      <c r="D195" t="inlineStr">
        <is>
          <t>DALARNAS LÄN</t>
        </is>
      </c>
      <c r="E195" t="inlineStr">
        <is>
          <t>LEKSAND</t>
        </is>
      </c>
      <c r="G195" t="n">
        <v>1</v>
      </c>
      <c r="H195" t="n">
        <v>0</v>
      </c>
      <c r="I195" t="n">
        <v>0</v>
      </c>
      <c r="J195" t="n">
        <v>0</v>
      </c>
      <c r="K195" t="n">
        <v>0</v>
      </c>
      <c r="L195" t="n">
        <v>0</v>
      </c>
      <c r="M195" t="n">
        <v>0</v>
      </c>
      <c r="N195" t="n">
        <v>0</v>
      </c>
      <c r="O195" t="n">
        <v>0</v>
      </c>
      <c r="P195" t="n">
        <v>0</v>
      </c>
      <c r="Q195" t="n">
        <v>0</v>
      </c>
      <c r="R195" s="2" t="inlineStr"/>
    </row>
    <row r="196" ht="15" customHeight="1">
      <c r="A196" t="inlineStr">
        <is>
          <t>A 40627-2023</t>
        </is>
      </c>
      <c r="B196" s="1" t="n">
        <v>45170</v>
      </c>
      <c r="C196" s="1" t="n">
        <v>45886</v>
      </c>
      <c r="D196" t="inlineStr">
        <is>
          <t>DALARNAS LÄN</t>
        </is>
      </c>
      <c r="E196" t="inlineStr">
        <is>
          <t>LEKSAND</t>
        </is>
      </c>
      <c r="F196" t="inlineStr">
        <is>
          <t>Bergvik skog väst AB</t>
        </is>
      </c>
      <c r="G196" t="n">
        <v>3.3</v>
      </c>
      <c r="H196" t="n">
        <v>0</v>
      </c>
      <c r="I196" t="n">
        <v>0</v>
      </c>
      <c r="J196" t="n">
        <v>0</v>
      </c>
      <c r="K196" t="n">
        <v>0</v>
      </c>
      <c r="L196" t="n">
        <v>0</v>
      </c>
      <c r="M196" t="n">
        <v>0</v>
      </c>
      <c r="N196" t="n">
        <v>0</v>
      </c>
      <c r="O196" t="n">
        <v>0</v>
      </c>
      <c r="P196" t="n">
        <v>0</v>
      </c>
      <c r="Q196" t="n">
        <v>0</v>
      </c>
      <c r="R196" s="2" t="inlineStr"/>
    </row>
    <row r="197" ht="15" customHeight="1">
      <c r="A197" t="inlineStr">
        <is>
          <t>A 21916-2025</t>
        </is>
      </c>
      <c r="B197" s="1" t="n">
        <v>45784.50115740741</v>
      </c>
      <c r="C197" s="1" t="n">
        <v>45886</v>
      </c>
      <c r="D197" t="inlineStr">
        <is>
          <t>DALARNAS LÄN</t>
        </is>
      </c>
      <c r="E197" t="inlineStr">
        <is>
          <t>LEKSAND</t>
        </is>
      </c>
      <c r="G197" t="n">
        <v>2.6</v>
      </c>
      <c r="H197" t="n">
        <v>0</v>
      </c>
      <c r="I197" t="n">
        <v>0</v>
      </c>
      <c r="J197" t="n">
        <v>0</v>
      </c>
      <c r="K197" t="n">
        <v>0</v>
      </c>
      <c r="L197" t="n">
        <v>0</v>
      </c>
      <c r="M197" t="n">
        <v>0</v>
      </c>
      <c r="N197" t="n">
        <v>0</v>
      </c>
      <c r="O197" t="n">
        <v>0</v>
      </c>
      <c r="P197" t="n">
        <v>0</v>
      </c>
      <c r="Q197" t="n">
        <v>0</v>
      </c>
      <c r="R197" s="2" t="inlineStr"/>
    </row>
    <row r="198" ht="15" customHeight="1">
      <c r="A198" t="inlineStr">
        <is>
          <t>A 14967-2023</t>
        </is>
      </c>
      <c r="B198" s="1" t="n">
        <v>45015</v>
      </c>
      <c r="C198" s="1" t="n">
        <v>45886</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3352-2024</t>
        </is>
      </c>
      <c r="B199" s="1" t="n">
        <v>45317</v>
      </c>
      <c r="C199" s="1" t="n">
        <v>45886</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45991-2020</t>
        </is>
      </c>
      <c r="B200" s="1" t="n">
        <v>44088</v>
      </c>
      <c r="C200" s="1" t="n">
        <v>45886</v>
      </c>
      <c r="D200" t="inlineStr">
        <is>
          <t>DALARNAS LÄN</t>
        </is>
      </c>
      <c r="E200" t="inlineStr">
        <is>
          <t>LEKSAND</t>
        </is>
      </c>
      <c r="G200" t="n">
        <v>9.9</v>
      </c>
      <c r="H200" t="n">
        <v>0</v>
      </c>
      <c r="I200" t="n">
        <v>0</v>
      </c>
      <c r="J200" t="n">
        <v>0</v>
      </c>
      <c r="K200" t="n">
        <v>0</v>
      </c>
      <c r="L200" t="n">
        <v>0</v>
      </c>
      <c r="M200" t="n">
        <v>0</v>
      </c>
      <c r="N200" t="n">
        <v>0</v>
      </c>
      <c r="O200" t="n">
        <v>0</v>
      </c>
      <c r="P200" t="n">
        <v>0</v>
      </c>
      <c r="Q200" t="n">
        <v>0</v>
      </c>
      <c r="R200" s="2" t="inlineStr"/>
    </row>
    <row r="201" ht="15" customHeight="1">
      <c r="A201" t="inlineStr">
        <is>
          <t>A 23615-2024</t>
        </is>
      </c>
      <c r="B201" s="1" t="n">
        <v>45454.43050925926</v>
      </c>
      <c r="C201" s="1" t="n">
        <v>45886</v>
      </c>
      <c r="D201" t="inlineStr">
        <is>
          <t>DALARNAS LÄN</t>
        </is>
      </c>
      <c r="E201" t="inlineStr">
        <is>
          <t>LEKSAND</t>
        </is>
      </c>
      <c r="G201" t="n">
        <v>1.7</v>
      </c>
      <c r="H201" t="n">
        <v>0</v>
      </c>
      <c r="I201" t="n">
        <v>0</v>
      </c>
      <c r="J201" t="n">
        <v>0</v>
      </c>
      <c r="K201" t="n">
        <v>0</v>
      </c>
      <c r="L201" t="n">
        <v>0</v>
      </c>
      <c r="M201" t="n">
        <v>0</v>
      </c>
      <c r="N201" t="n">
        <v>0</v>
      </c>
      <c r="O201" t="n">
        <v>0</v>
      </c>
      <c r="P201" t="n">
        <v>0</v>
      </c>
      <c r="Q201" t="n">
        <v>0</v>
      </c>
      <c r="R201" s="2" t="inlineStr"/>
    </row>
    <row r="202" ht="15" customHeight="1">
      <c r="A202" t="inlineStr">
        <is>
          <t>A 31391-2024</t>
        </is>
      </c>
      <c r="B202" s="1" t="n">
        <v>45505.46616898148</v>
      </c>
      <c r="C202" s="1" t="n">
        <v>45886</v>
      </c>
      <c r="D202" t="inlineStr">
        <is>
          <t>DALARNAS LÄN</t>
        </is>
      </c>
      <c r="E202" t="inlineStr">
        <is>
          <t>LEKSAND</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62307-2023</t>
        </is>
      </c>
      <c r="B203" s="1" t="n">
        <v>45266</v>
      </c>
      <c r="C203" s="1" t="n">
        <v>45886</v>
      </c>
      <c r="D203" t="inlineStr">
        <is>
          <t>DALARNAS LÄN</t>
        </is>
      </c>
      <c r="E203" t="inlineStr">
        <is>
          <t>LEKSAND</t>
        </is>
      </c>
      <c r="G203" t="n">
        <v>3.9</v>
      </c>
      <c r="H203" t="n">
        <v>0</v>
      </c>
      <c r="I203" t="n">
        <v>0</v>
      </c>
      <c r="J203" t="n">
        <v>0</v>
      </c>
      <c r="K203" t="n">
        <v>0</v>
      </c>
      <c r="L203" t="n">
        <v>0</v>
      </c>
      <c r="M203" t="n">
        <v>0</v>
      </c>
      <c r="N203" t="n">
        <v>0</v>
      </c>
      <c r="O203" t="n">
        <v>0</v>
      </c>
      <c r="P203" t="n">
        <v>0</v>
      </c>
      <c r="Q203" t="n">
        <v>0</v>
      </c>
      <c r="R203" s="2" t="inlineStr"/>
    </row>
    <row r="204" ht="15" customHeight="1">
      <c r="A204" t="inlineStr">
        <is>
          <t>A 61554-2024</t>
        </is>
      </c>
      <c r="B204" s="1" t="n">
        <v>45646.60748842593</v>
      </c>
      <c r="C204" s="1" t="n">
        <v>45886</v>
      </c>
      <c r="D204" t="inlineStr">
        <is>
          <t>DALARNAS LÄN</t>
        </is>
      </c>
      <c r="E204" t="inlineStr">
        <is>
          <t>LEKSAND</t>
        </is>
      </c>
      <c r="G204" t="n">
        <v>2.6</v>
      </c>
      <c r="H204" t="n">
        <v>0</v>
      </c>
      <c r="I204" t="n">
        <v>0</v>
      </c>
      <c r="J204" t="n">
        <v>0</v>
      </c>
      <c r="K204" t="n">
        <v>0</v>
      </c>
      <c r="L204" t="n">
        <v>0</v>
      </c>
      <c r="M204" t="n">
        <v>0</v>
      </c>
      <c r="N204" t="n">
        <v>0</v>
      </c>
      <c r="O204" t="n">
        <v>0</v>
      </c>
      <c r="P204" t="n">
        <v>0</v>
      </c>
      <c r="Q204" t="n">
        <v>0</v>
      </c>
      <c r="R204" s="2" t="inlineStr"/>
    </row>
    <row r="205" ht="15" customHeight="1">
      <c r="A205" t="inlineStr">
        <is>
          <t>A 36534-2024</t>
        </is>
      </c>
      <c r="B205" s="1" t="n">
        <v>45537.45143518518</v>
      </c>
      <c r="C205" s="1" t="n">
        <v>45886</v>
      </c>
      <c r="D205" t="inlineStr">
        <is>
          <t>DALARNAS LÄN</t>
        </is>
      </c>
      <c r="E205" t="inlineStr">
        <is>
          <t>LEKSAND</t>
        </is>
      </c>
      <c r="G205" t="n">
        <v>4</v>
      </c>
      <c r="H205" t="n">
        <v>0</v>
      </c>
      <c r="I205" t="n">
        <v>0</v>
      </c>
      <c r="J205" t="n">
        <v>0</v>
      </c>
      <c r="K205" t="n">
        <v>0</v>
      </c>
      <c r="L205" t="n">
        <v>0</v>
      </c>
      <c r="M205" t="n">
        <v>0</v>
      </c>
      <c r="N205" t="n">
        <v>0</v>
      </c>
      <c r="O205" t="n">
        <v>0</v>
      </c>
      <c r="P205" t="n">
        <v>0</v>
      </c>
      <c r="Q205" t="n">
        <v>0</v>
      </c>
      <c r="R205" s="2" t="inlineStr"/>
    </row>
    <row r="206" ht="15" customHeight="1">
      <c r="A206" t="inlineStr">
        <is>
          <t>A 22361-2025</t>
        </is>
      </c>
      <c r="B206" s="1" t="n">
        <v>45786.46650462963</v>
      </c>
      <c r="C206" s="1" t="n">
        <v>45886</v>
      </c>
      <c r="D206" t="inlineStr">
        <is>
          <t>DALARNAS LÄN</t>
        </is>
      </c>
      <c r="E206" t="inlineStr">
        <is>
          <t>LEKSAND</t>
        </is>
      </c>
      <c r="G206" t="n">
        <v>3.5</v>
      </c>
      <c r="H206" t="n">
        <v>0</v>
      </c>
      <c r="I206" t="n">
        <v>0</v>
      </c>
      <c r="J206" t="n">
        <v>0</v>
      </c>
      <c r="K206" t="n">
        <v>0</v>
      </c>
      <c r="L206" t="n">
        <v>0</v>
      </c>
      <c r="M206" t="n">
        <v>0</v>
      </c>
      <c r="N206" t="n">
        <v>0</v>
      </c>
      <c r="O206" t="n">
        <v>0</v>
      </c>
      <c r="P206" t="n">
        <v>0</v>
      </c>
      <c r="Q206" t="n">
        <v>0</v>
      </c>
      <c r="R206" s="2" t="inlineStr"/>
    </row>
    <row r="207" ht="15" customHeight="1">
      <c r="A207" t="inlineStr">
        <is>
          <t>A 11004-2023</t>
        </is>
      </c>
      <c r="B207" s="1" t="n">
        <v>44986</v>
      </c>
      <c r="C207" s="1" t="n">
        <v>45886</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27244-2023</t>
        </is>
      </c>
      <c r="B208" s="1" t="n">
        <v>45096</v>
      </c>
      <c r="C208" s="1" t="n">
        <v>45886</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34244-2024</t>
        </is>
      </c>
      <c r="B209" s="1" t="n">
        <v>45524.58349537037</v>
      </c>
      <c r="C209" s="1" t="n">
        <v>45886</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7861-2024</t>
        </is>
      </c>
      <c r="B210" s="1" t="n">
        <v>45350.30831018519</v>
      </c>
      <c r="C210" s="1" t="n">
        <v>45886</v>
      </c>
      <c r="D210" t="inlineStr">
        <is>
          <t>DALARNAS LÄN</t>
        </is>
      </c>
      <c r="E210" t="inlineStr">
        <is>
          <t>LEKSAND</t>
        </is>
      </c>
      <c r="G210" t="n">
        <v>1.8</v>
      </c>
      <c r="H210" t="n">
        <v>0</v>
      </c>
      <c r="I210" t="n">
        <v>0</v>
      </c>
      <c r="J210" t="n">
        <v>0</v>
      </c>
      <c r="K210" t="n">
        <v>0</v>
      </c>
      <c r="L210" t="n">
        <v>0</v>
      </c>
      <c r="M210" t="n">
        <v>0</v>
      </c>
      <c r="N210" t="n">
        <v>0</v>
      </c>
      <c r="O210" t="n">
        <v>0</v>
      </c>
      <c r="P210" t="n">
        <v>0</v>
      </c>
      <c r="Q210" t="n">
        <v>0</v>
      </c>
      <c r="R210" s="2" t="inlineStr"/>
    </row>
    <row r="211" ht="15" customHeight="1">
      <c r="A211" t="inlineStr">
        <is>
          <t>A 18107-2025</t>
        </is>
      </c>
      <c r="B211" s="1" t="n">
        <v>45761.55939814815</v>
      </c>
      <c r="C211" s="1" t="n">
        <v>45886</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22080-2025</t>
        </is>
      </c>
      <c r="B212" s="1" t="n">
        <v>45785</v>
      </c>
      <c r="C212" s="1" t="n">
        <v>45886</v>
      </c>
      <c r="D212" t="inlineStr">
        <is>
          <t>DALARNAS LÄN</t>
        </is>
      </c>
      <c r="E212" t="inlineStr">
        <is>
          <t>LEKSAND</t>
        </is>
      </c>
      <c r="G212" t="n">
        <v>7</v>
      </c>
      <c r="H212" t="n">
        <v>0</v>
      </c>
      <c r="I212" t="n">
        <v>0</v>
      </c>
      <c r="J212" t="n">
        <v>0</v>
      </c>
      <c r="K212" t="n">
        <v>0</v>
      </c>
      <c r="L212" t="n">
        <v>0</v>
      </c>
      <c r="M212" t="n">
        <v>0</v>
      </c>
      <c r="N212" t="n">
        <v>0</v>
      </c>
      <c r="O212" t="n">
        <v>0</v>
      </c>
      <c r="P212" t="n">
        <v>0</v>
      </c>
      <c r="Q212" t="n">
        <v>0</v>
      </c>
      <c r="R212" s="2" t="inlineStr"/>
    </row>
    <row r="213" ht="15" customHeight="1">
      <c r="A213" t="inlineStr">
        <is>
          <t>A 16051-2023</t>
        </is>
      </c>
      <c r="B213" s="1" t="n">
        <v>45027</v>
      </c>
      <c r="C213" s="1" t="n">
        <v>45886</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56059-2024</t>
        </is>
      </c>
      <c r="B214" s="1" t="n">
        <v>45624.36729166667</v>
      </c>
      <c r="C214" s="1" t="n">
        <v>45886</v>
      </c>
      <c r="D214" t="inlineStr">
        <is>
          <t>DALARNAS LÄN</t>
        </is>
      </c>
      <c r="E214" t="inlineStr">
        <is>
          <t>LEKSAND</t>
        </is>
      </c>
      <c r="G214" t="n">
        <v>3.1</v>
      </c>
      <c r="H214" t="n">
        <v>0</v>
      </c>
      <c r="I214" t="n">
        <v>0</v>
      </c>
      <c r="J214" t="n">
        <v>0</v>
      </c>
      <c r="K214" t="n">
        <v>0</v>
      </c>
      <c r="L214" t="n">
        <v>0</v>
      </c>
      <c r="M214" t="n">
        <v>0</v>
      </c>
      <c r="N214" t="n">
        <v>0</v>
      </c>
      <c r="O214" t="n">
        <v>0</v>
      </c>
      <c r="P214" t="n">
        <v>0</v>
      </c>
      <c r="Q214" t="n">
        <v>0</v>
      </c>
      <c r="R214" s="2" t="inlineStr"/>
    </row>
    <row r="215" ht="15" customHeight="1">
      <c r="A215" t="inlineStr">
        <is>
          <t>A 2579-2022</t>
        </is>
      </c>
      <c r="B215" s="1" t="n">
        <v>44580</v>
      </c>
      <c r="C215" s="1" t="n">
        <v>45886</v>
      </c>
      <c r="D215" t="inlineStr">
        <is>
          <t>DALARNAS LÄN</t>
        </is>
      </c>
      <c r="E215" t="inlineStr">
        <is>
          <t>LEKSAND</t>
        </is>
      </c>
      <c r="G215" t="n">
        <v>0.3</v>
      </c>
      <c r="H215" t="n">
        <v>0</v>
      </c>
      <c r="I215" t="n">
        <v>0</v>
      </c>
      <c r="J215" t="n">
        <v>0</v>
      </c>
      <c r="K215" t="n">
        <v>0</v>
      </c>
      <c r="L215" t="n">
        <v>0</v>
      </c>
      <c r="M215" t="n">
        <v>0</v>
      </c>
      <c r="N215" t="n">
        <v>0</v>
      </c>
      <c r="O215" t="n">
        <v>0</v>
      </c>
      <c r="P215" t="n">
        <v>0</v>
      </c>
      <c r="Q215" t="n">
        <v>0</v>
      </c>
      <c r="R215" s="2" t="inlineStr"/>
    </row>
    <row r="216" ht="15" customHeight="1">
      <c r="A216" t="inlineStr">
        <is>
          <t>A 22947-2025</t>
        </is>
      </c>
      <c r="B216" s="1" t="n">
        <v>45790.48791666667</v>
      </c>
      <c r="C216" s="1" t="n">
        <v>45886</v>
      </c>
      <c r="D216" t="inlineStr">
        <is>
          <t>DALARNAS LÄN</t>
        </is>
      </c>
      <c r="E216" t="inlineStr">
        <is>
          <t>LEKSAND</t>
        </is>
      </c>
      <c r="G216" t="n">
        <v>4.6</v>
      </c>
      <c r="H216" t="n">
        <v>0</v>
      </c>
      <c r="I216" t="n">
        <v>0</v>
      </c>
      <c r="J216" t="n">
        <v>0</v>
      </c>
      <c r="K216" t="n">
        <v>0</v>
      </c>
      <c r="L216" t="n">
        <v>0</v>
      </c>
      <c r="M216" t="n">
        <v>0</v>
      </c>
      <c r="N216" t="n">
        <v>0</v>
      </c>
      <c r="O216" t="n">
        <v>0</v>
      </c>
      <c r="P216" t="n">
        <v>0</v>
      </c>
      <c r="Q216" t="n">
        <v>0</v>
      </c>
      <c r="R216" s="2" t="inlineStr"/>
    </row>
    <row r="217" ht="15" customHeight="1">
      <c r="A217" t="inlineStr">
        <is>
          <t>A 49395-2024</t>
        </is>
      </c>
      <c r="B217" s="1" t="n">
        <v>45595</v>
      </c>
      <c r="C217" s="1" t="n">
        <v>45886</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22536-2025</t>
        </is>
      </c>
      <c r="B218" s="1" t="n">
        <v>45787.33037037037</v>
      </c>
      <c r="C218" s="1" t="n">
        <v>45886</v>
      </c>
      <c r="D218" t="inlineStr">
        <is>
          <t>DALARNAS LÄN</t>
        </is>
      </c>
      <c r="E218" t="inlineStr">
        <is>
          <t>LEKSAND</t>
        </is>
      </c>
      <c r="G218" t="n">
        <v>1.8</v>
      </c>
      <c r="H218" t="n">
        <v>0</v>
      </c>
      <c r="I218" t="n">
        <v>0</v>
      </c>
      <c r="J218" t="n">
        <v>0</v>
      </c>
      <c r="K218" t="n">
        <v>0</v>
      </c>
      <c r="L218" t="n">
        <v>0</v>
      </c>
      <c r="M218" t="n">
        <v>0</v>
      </c>
      <c r="N218" t="n">
        <v>0</v>
      </c>
      <c r="O218" t="n">
        <v>0</v>
      </c>
      <c r="P218" t="n">
        <v>0</v>
      </c>
      <c r="Q218" t="n">
        <v>0</v>
      </c>
      <c r="R218" s="2" t="inlineStr"/>
    </row>
    <row r="219" ht="15" customHeight="1">
      <c r="A219" t="inlineStr">
        <is>
          <t>A 60042-2023</t>
        </is>
      </c>
      <c r="B219" s="1" t="n">
        <v>45256</v>
      </c>
      <c r="C219" s="1" t="n">
        <v>45886</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22876-2025</t>
        </is>
      </c>
      <c r="B220" s="1" t="n">
        <v>45790.3728587963</v>
      </c>
      <c r="C220" s="1" t="n">
        <v>45886</v>
      </c>
      <c r="D220" t="inlineStr">
        <is>
          <t>DALARNAS LÄN</t>
        </is>
      </c>
      <c r="E220" t="inlineStr">
        <is>
          <t>LEKSAND</t>
        </is>
      </c>
      <c r="G220" t="n">
        <v>5.9</v>
      </c>
      <c r="H220" t="n">
        <v>0</v>
      </c>
      <c r="I220" t="n">
        <v>0</v>
      </c>
      <c r="J220" t="n">
        <v>0</v>
      </c>
      <c r="K220" t="n">
        <v>0</v>
      </c>
      <c r="L220" t="n">
        <v>0</v>
      </c>
      <c r="M220" t="n">
        <v>0</v>
      </c>
      <c r="N220" t="n">
        <v>0</v>
      </c>
      <c r="O220" t="n">
        <v>0</v>
      </c>
      <c r="P220" t="n">
        <v>0</v>
      </c>
      <c r="Q220" t="n">
        <v>0</v>
      </c>
      <c r="R220" s="2" t="inlineStr"/>
    </row>
    <row r="221" ht="15" customHeight="1">
      <c r="A221" t="inlineStr">
        <is>
          <t>A 23517-2025</t>
        </is>
      </c>
      <c r="B221" s="1" t="n">
        <v>45792</v>
      </c>
      <c r="C221" s="1" t="n">
        <v>45886</v>
      </c>
      <c r="D221" t="inlineStr">
        <is>
          <t>DALARNAS LÄN</t>
        </is>
      </c>
      <c r="E221" t="inlineStr">
        <is>
          <t>LEKSAND</t>
        </is>
      </c>
      <c r="G221" t="n">
        <v>2.2</v>
      </c>
      <c r="H221" t="n">
        <v>0</v>
      </c>
      <c r="I221" t="n">
        <v>0</v>
      </c>
      <c r="J221" t="n">
        <v>0</v>
      </c>
      <c r="K221" t="n">
        <v>0</v>
      </c>
      <c r="L221" t="n">
        <v>0</v>
      </c>
      <c r="M221" t="n">
        <v>0</v>
      </c>
      <c r="N221" t="n">
        <v>0</v>
      </c>
      <c r="O221" t="n">
        <v>0</v>
      </c>
      <c r="P221" t="n">
        <v>0</v>
      </c>
      <c r="Q221" t="n">
        <v>0</v>
      </c>
      <c r="R221" s="2" t="inlineStr"/>
    </row>
    <row r="222" ht="15" customHeight="1">
      <c r="A222" t="inlineStr">
        <is>
          <t>A 23058-2025</t>
        </is>
      </c>
      <c r="B222" s="1" t="n">
        <v>45790.78076388889</v>
      </c>
      <c r="C222" s="1" t="n">
        <v>45886</v>
      </c>
      <c r="D222" t="inlineStr">
        <is>
          <t>DALARNAS LÄN</t>
        </is>
      </c>
      <c r="E222" t="inlineStr">
        <is>
          <t>LEKSAND</t>
        </is>
      </c>
      <c r="G222" t="n">
        <v>6.7</v>
      </c>
      <c r="H222" t="n">
        <v>0</v>
      </c>
      <c r="I222" t="n">
        <v>0</v>
      </c>
      <c r="J222" t="n">
        <v>0</v>
      </c>
      <c r="K222" t="n">
        <v>0</v>
      </c>
      <c r="L222" t="n">
        <v>0</v>
      </c>
      <c r="M222" t="n">
        <v>0</v>
      </c>
      <c r="N222" t="n">
        <v>0</v>
      </c>
      <c r="O222" t="n">
        <v>0</v>
      </c>
      <c r="P222" t="n">
        <v>0</v>
      </c>
      <c r="Q222" t="n">
        <v>0</v>
      </c>
      <c r="R222" s="2" t="inlineStr"/>
    </row>
    <row r="223" ht="15" customHeight="1">
      <c r="A223" t="inlineStr">
        <is>
          <t>A 23076-2025</t>
        </is>
      </c>
      <c r="B223" s="1" t="n">
        <v>45790.90960648148</v>
      </c>
      <c r="C223" s="1" t="n">
        <v>45886</v>
      </c>
      <c r="D223" t="inlineStr">
        <is>
          <t>DALARNAS LÄN</t>
        </is>
      </c>
      <c r="E223" t="inlineStr">
        <is>
          <t>LEKSAND</t>
        </is>
      </c>
      <c r="G223" t="n">
        <v>0.9</v>
      </c>
      <c r="H223" t="n">
        <v>0</v>
      </c>
      <c r="I223" t="n">
        <v>0</v>
      </c>
      <c r="J223" t="n">
        <v>0</v>
      </c>
      <c r="K223" t="n">
        <v>0</v>
      </c>
      <c r="L223" t="n">
        <v>0</v>
      </c>
      <c r="M223" t="n">
        <v>0</v>
      </c>
      <c r="N223" t="n">
        <v>0</v>
      </c>
      <c r="O223" t="n">
        <v>0</v>
      </c>
      <c r="P223" t="n">
        <v>0</v>
      </c>
      <c r="Q223" t="n">
        <v>0</v>
      </c>
      <c r="R223" s="2" t="inlineStr"/>
    </row>
    <row r="224" ht="15" customHeight="1">
      <c r="A224" t="inlineStr">
        <is>
          <t>A 57468-2023</t>
        </is>
      </c>
      <c r="B224" s="1" t="n">
        <v>45246</v>
      </c>
      <c r="C224" s="1" t="n">
        <v>45886</v>
      </c>
      <c r="D224" t="inlineStr">
        <is>
          <t>DALARNAS LÄN</t>
        </is>
      </c>
      <c r="E224" t="inlineStr">
        <is>
          <t>LEKSAND</t>
        </is>
      </c>
      <c r="G224" t="n">
        <v>4.6</v>
      </c>
      <c r="H224" t="n">
        <v>0</v>
      </c>
      <c r="I224" t="n">
        <v>0</v>
      </c>
      <c r="J224" t="n">
        <v>0</v>
      </c>
      <c r="K224" t="n">
        <v>0</v>
      </c>
      <c r="L224" t="n">
        <v>0</v>
      </c>
      <c r="M224" t="n">
        <v>0</v>
      </c>
      <c r="N224" t="n">
        <v>0</v>
      </c>
      <c r="O224" t="n">
        <v>0</v>
      </c>
      <c r="P224" t="n">
        <v>0</v>
      </c>
      <c r="Q224" t="n">
        <v>0</v>
      </c>
      <c r="R224" s="2" t="inlineStr"/>
    </row>
    <row r="225" ht="15" customHeight="1">
      <c r="A225" t="inlineStr">
        <is>
          <t>A 44822-2024</t>
        </is>
      </c>
      <c r="B225" s="1" t="n">
        <v>45574.6646412037</v>
      </c>
      <c r="C225" s="1" t="n">
        <v>45886</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49499-2024</t>
        </is>
      </c>
      <c r="B226" s="1" t="n">
        <v>45596</v>
      </c>
      <c r="C226" s="1" t="n">
        <v>45886</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33317-2023</t>
        </is>
      </c>
      <c r="B227" s="1" t="n">
        <v>45127.84586805556</v>
      </c>
      <c r="C227" s="1" t="n">
        <v>45886</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33318-2023</t>
        </is>
      </c>
      <c r="B228" s="1" t="n">
        <v>45127</v>
      </c>
      <c r="C228" s="1" t="n">
        <v>45886</v>
      </c>
      <c r="D228" t="inlineStr">
        <is>
          <t>DALARNAS LÄN</t>
        </is>
      </c>
      <c r="E228" t="inlineStr">
        <is>
          <t>LEKSAND</t>
        </is>
      </c>
      <c r="G228" t="n">
        <v>5.5</v>
      </c>
      <c r="H228" t="n">
        <v>0</v>
      </c>
      <c r="I228" t="n">
        <v>0</v>
      </c>
      <c r="J228" t="n">
        <v>0</v>
      </c>
      <c r="K228" t="n">
        <v>0</v>
      </c>
      <c r="L228" t="n">
        <v>0</v>
      </c>
      <c r="M228" t="n">
        <v>0</v>
      </c>
      <c r="N228" t="n">
        <v>0</v>
      </c>
      <c r="O228" t="n">
        <v>0</v>
      </c>
      <c r="P228" t="n">
        <v>0</v>
      </c>
      <c r="Q228" t="n">
        <v>0</v>
      </c>
      <c r="R228" s="2" t="inlineStr"/>
    </row>
    <row r="229" ht="15" customHeight="1">
      <c r="A229" t="inlineStr">
        <is>
          <t>A 23855-2025</t>
        </is>
      </c>
      <c r="B229" s="1" t="n">
        <v>45793.65900462963</v>
      </c>
      <c r="C229" s="1" t="n">
        <v>45886</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24919-2024</t>
        </is>
      </c>
      <c r="B230" s="1" t="n">
        <v>45461.60636574074</v>
      </c>
      <c r="C230" s="1" t="n">
        <v>45886</v>
      </c>
      <c r="D230" t="inlineStr">
        <is>
          <t>DALARNAS LÄN</t>
        </is>
      </c>
      <c r="E230" t="inlineStr">
        <is>
          <t>LEKSAND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7450-2023</t>
        </is>
      </c>
      <c r="B231" s="1" t="n">
        <v>44971</v>
      </c>
      <c r="C231" s="1" t="n">
        <v>45886</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23891-2025</t>
        </is>
      </c>
      <c r="B232" s="1" t="n">
        <v>45793</v>
      </c>
      <c r="C232" s="1" t="n">
        <v>45886</v>
      </c>
      <c r="D232" t="inlineStr">
        <is>
          <t>DALARNAS LÄN</t>
        </is>
      </c>
      <c r="E232" t="inlineStr">
        <is>
          <t>LEKSAND</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40009-2024</t>
        </is>
      </c>
      <c r="B233" s="1" t="n">
        <v>45553.65361111111</v>
      </c>
      <c r="C233" s="1" t="n">
        <v>45886</v>
      </c>
      <c r="D233" t="inlineStr">
        <is>
          <t>DALARNAS LÄN</t>
        </is>
      </c>
      <c r="E233" t="inlineStr">
        <is>
          <t>LEKSAND</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52572-2024</t>
        </is>
      </c>
      <c r="B234" s="1" t="n">
        <v>45609.66488425926</v>
      </c>
      <c r="C234" s="1" t="n">
        <v>45886</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12851-2023</t>
        </is>
      </c>
      <c r="B235" s="1" t="n">
        <v>45001.49347222222</v>
      </c>
      <c r="C235" s="1" t="n">
        <v>45886</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19295-2024</t>
        </is>
      </c>
      <c r="B236" s="1" t="n">
        <v>45428.69106481481</v>
      </c>
      <c r="C236" s="1" t="n">
        <v>45886</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19296-2024</t>
        </is>
      </c>
      <c r="B237" s="1" t="n">
        <v>45428.69438657408</v>
      </c>
      <c r="C237" s="1" t="n">
        <v>45886</v>
      </c>
      <c r="D237" t="inlineStr">
        <is>
          <t>DALARNAS LÄN</t>
        </is>
      </c>
      <c r="E237" t="inlineStr">
        <is>
          <t>LEKSAND</t>
        </is>
      </c>
      <c r="G237" t="n">
        <v>2.4</v>
      </c>
      <c r="H237" t="n">
        <v>0</v>
      </c>
      <c r="I237" t="n">
        <v>0</v>
      </c>
      <c r="J237" t="n">
        <v>0</v>
      </c>
      <c r="K237" t="n">
        <v>0</v>
      </c>
      <c r="L237" t="n">
        <v>0</v>
      </c>
      <c r="M237" t="n">
        <v>0</v>
      </c>
      <c r="N237" t="n">
        <v>0</v>
      </c>
      <c r="O237" t="n">
        <v>0</v>
      </c>
      <c r="P237" t="n">
        <v>0</v>
      </c>
      <c r="Q237" t="n">
        <v>0</v>
      </c>
      <c r="R237" s="2" t="inlineStr"/>
    </row>
    <row r="238" ht="15" customHeight="1">
      <c r="A238" t="inlineStr">
        <is>
          <t>A 23852-2025</t>
        </is>
      </c>
      <c r="B238" s="1" t="n">
        <v>45793.65388888889</v>
      </c>
      <c r="C238" s="1" t="n">
        <v>45886</v>
      </c>
      <c r="D238" t="inlineStr">
        <is>
          <t>DALARNAS LÄN</t>
        </is>
      </c>
      <c r="E238" t="inlineStr">
        <is>
          <t>LEKSAND</t>
        </is>
      </c>
      <c r="G238" t="n">
        <v>3</v>
      </c>
      <c r="H238" t="n">
        <v>0</v>
      </c>
      <c r="I238" t="n">
        <v>0</v>
      </c>
      <c r="J238" t="n">
        <v>0</v>
      </c>
      <c r="K238" t="n">
        <v>0</v>
      </c>
      <c r="L238" t="n">
        <v>0</v>
      </c>
      <c r="M238" t="n">
        <v>0</v>
      </c>
      <c r="N238" t="n">
        <v>0</v>
      </c>
      <c r="O238" t="n">
        <v>0</v>
      </c>
      <c r="P238" t="n">
        <v>0</v>
      </c>
      <c r="Q238" t="n">
        <v>0</v>
      </c>
      <c r="R238" s="2" t="inlineStr"/>
    </row>
    <row r="239" ht="15" customHeight="1">
      <c r="A239" t="inlineStr">
        <is>
          <t>A 24187-2025</t>
        </is>
      </c>
      <c r="B239" s="1" t="n">
        <v>45796</v>
      </c>
      <c r="C239" s="1" t="n">
        <v>45886</v>
      </c>
      <c r="D239" t="inlineStr">
        <is>
          <t>DALARNAS LÄN</t>
        </is>
      </c>
      <c r="E239" t="inlineStr">
        <is>
          <t>LEKSAND</t>
        </is>
      </c>
      <c r="G239" t="n">
        <v>2.1</v>
      </c>
      <c r="H239" t="n">
        <v>0</v>
      </c>
      <c r="I239" t="n">
        <v>0</v>
      </c>
      <c r="J239" t="n">
        <v>0</v>
      </c>
      <c r="K239" t="n">
        <v>0</v>
      </c>
      <c r="L239" t="n">
        <v>0</v>
      </c>
      <c r="M239" t="n">
        <v>0</v>
      </c>
      <c r="N239" t="n">
        <v>0</v>
      </c>
      <c r="O239" t="n">
        <v>0</v>
      </c>
      <c r="P239" t="n">
        <v>0</v>
      </c>
      <c r="Q239" t="n">
        <v>0</v>
      </c>
      <c r="R239" s="2" t="inlineStr"/>
    </row>
    <row r="240" ht="15" customHeight="1">
      <c r="A240" t="inlineStr">
        <is>
          <t>A 24188-2025</t>
        </is>
      </c>
      <c r="B240" s="1" t="n">
        <v>45796</v>
      </c>
      <c r="C240" s="1" t="n">
        <v>45886</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56211-2023</t>
        </is>
      </c>
      <c r="B241" s="1" t="n">
        <v>45240</v>
      </c>
      <c r="C241" s="1" t="n">
        <v>45886</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9781-2024</t>
        </is>
      </c>
      <c r="B242" s="1" t="n">
        <v>45362.66299768518</v>
      </c>
      <c r="C242" s="1" t="n">
        <v>45886</v>
      </c>
      <c r="D242" t="inlineStr">
        <is>
          <t>DALARNAS LÄN</t>
        </is>
      </c>
      <c r="E242" t="inlineStr">
        <is>
          <t>LEKSAND</t>
        </is>
      </c>
      <c r="G242" t="n">
        <v>1.1</v>
      </c>
      <c r="H242" t="n">
        <v>0</v>
      </c>
      <c r="I242" t="n">
        <v>0</v>
      </c>
      <c r="J242" t="n">
        <v>0</v>
      </c>
      <c r="K242" t="n">
        <v>0</v>
      </c>
      <c r="L242" t="n">
        <v>0</v>
      </c>
      <c r="M242" t="n">
        <v>0</v>
      </c>
      <c r="N242" t="n">
        <v>0</v>
      </c>
      <c r="O242" t="n">
        <v>0</v>
      </c>
      <c r="P242" t="n">
        <v>0</v>
      </c>
      <c r="Q242" t="n">
        <v>0</v>
      </c>
      <c r="R242" s="2" t="inlineStr"/>
    </row>
    <row r="243" ht="15" customHeight="1">
      <c r="A243" t="inlineStr">
        <is>
          <t>A 24373-2025</t>
        </is>
      </c>
      <c r="B243" s="1" t="n">
        <v>45797.61113425926</v>
      </c>
      <c r="C243" s="1" t="n">
        <v>45886</v>
      </c>
      <c r="D243" t="inlineStr">
        <is>
          <t>DALARNAS LÄN</t>
        </is>
      </c>
      <c r="E243" t="inlineStr">
        <is>
          <t>LEKSAND</t>
        </is>
      </c>
      <c r="G243" t="n">
        <v>2.4</v>
      </c>
      <c r="H243" t="n">
        <v>0</v>
      </c>
      <c r="I243" t="n">
        <v>0</v>
      </c>
      <c r="J243" t="n">
        <v>0</v>
      </c>
      <c r="K243" t="n">
        <v>0</v>
      </c>
      <c r="L243" t="n">
        <v>0</v>
      </c>
      <c r="M243" t="n">
        <v>0</v>
      </c>
      <c r="N243" t="n">
        <v>0</v>
      </c>
      <c r="O243" t="n">
        <v>0</v>
      </c>
      <c r="P243" t="n">
        <v>0</v>
      </c>
      <c r="Q243" t="n">
        <v>0</v>
      </c>
      <c r="R243" s="2" t="inlineStr"/>
    </row>
    <row r="244" ht="15" customHeight="1">
      <c r="A244" t="inlineStr">
        <is>
          <t>A 63513-2023</t>
        </is>
      </c>
      <c r="B244" s="1" t="n">
        <v>45274</v>
      </c>
      <c r="C244" s="1" t="n">
        <v>45886</v>
      </c>
      <c r="D244" t="inlineStr">
        <is>
          <t>DALARNAS LÄN</t>
        </is>
      </c>
      <c r="E244" t="inlineStr">
        <is>
          <t>LEKSAND</t>
        </is>
      </c>
      <c r="G244" t="n">
        <v>2.3</v>
      </c>
      <c r="H244" t="n">
        <v>0</v>
      </c>
      <c r="I244" t="n">
        <v>0</v>
      </c>
      <c r="J244" t="n">
        <v>0</v>
      </c>
      <c r="K244" t="n">
        <v>0</v>
      </c>
      <c r="L244" t="n">
        <v>0</v>
      </c>
      <c r="M244" t="n">
        <v>0</v>
      </c>
      <c r="N244" t="n">
        <v>0</v>
      </c>
      <c r="O244" t="n">
        <v>0</v>
      </c>
      <c r="P244" t="n">
        <v>0</v>
      </c>
      <c r="Q244" t="n">
        <v>0</v>
      </c>
      <c r="R244" s="2" t="inlineStr"/>
    </row>
    <row r="245" ht="15" customHeight="1">
      <c r="A245" t="inlineStr">
        <is>
          <t>A 40230-2023</t>
        </is>
      </c>
      <c r="B245" s="1" t="n">
        <v>45169.46887731482</v>
      </c>
      <c r="C245" s="1" t="n">
        <v>45886</v>
      </c>
      <c r="D245" t="inlineStr">
        <is>
          <t>DALARNAS LÄN</t>
        </is>
      </c>
      <c r="E245" t="inlineStr">
        <is>
          <t>LEKSAND</t>
        </is>
      </c>
      <c r="G245" t="n">
        <v>0.5</v>
      </c>
      <c r="H245" t="n">
        <v>0</v>
      </c>
      <c r="I245" t="n">
        <v>0</v>
      </c>
      <c r="J245" t="n">
        <v>0</v>
      </c>
      <c r="K245" t="n">
        <v>0</v>
      </c>
      <c r="L245" t="n">
        <v>0</v>
      </c>
      <c r="M245" t="n">
        <v>0</v>
      </c>
      <c r="N245" t="n">
        <v>0</v>
      </c>
      <c r="O245" t="n">
        <v>0</v>
      </c>
      <c r="P245" t="n">
        <v>0</v>
      </c>
      <c r="Q245" t="n">
        <v>0</v>
      </c>
      <c r="R245" s="2" t="inlineStr"/>
    </row>
    <row r="246" ht="15" customHeight="1">
      <c r="A246" t="inlineStr">
        <is>
          <t>A 24317-2025</t>
        </is>
      </c>
      <c r="B246" s="1" t="n">
        <v>45797.53577546297</v>
      </c>
      <c r="C246" s="1" t="n">
        <v>45886</v>
      </c>
      <c r="D246" t="inlineStr">
        <is>
          <t>DALARNAS LÄN</t>
        </is>
      </c>
      <c r="E246" t="inlineStr">
        <is>
          <t>LEKSAND</t>
        </is>
      </c>
      <c r="G246" t="n">
        <v>3.4</v>
      </c>
      <c r="H246" t="n">
        <v>0</v>
      </c>
      <c r="I246" t="n">
        <v>0</v>
      </c>
      <c r="J246" t="n">
        <v>0</v>
      </c>
      <c r="K246" t="n">
        <v>0</v>
      </c>
      <c r="L246" t="n">
        <v>0</v>
      </c>
      <c r="M246" t="n">
        <v>0</v>
      </c>
      <c r="N246" t="n">
        <v>0</v>
      </c>
      <c r="O246" t="n">
        <v>0</v>
      </c>
      <c r="P246" t="n">
        <v>0</v>
      </c>
      <c r="Q246" t="n">
        <v>0</v>
      </c>
      <c r="R246" s="2" t="inlineStr"/>
    </row>
    <row r="247" ht="15" customHeight="1">
      <c r="A247" t="inlineStr">
        <is>
          <t>A 40868-2024</t>
        </is>
      </c>
      <c r="B247" s="1" t="n">
        <v>45558</v>
      </c>
      <c r="C247" s="1" t="n">
        <v>45886</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22646-2025</t>
        </is>
      </c>
      <c r="B248" s="1" t="n">
        <v>45786</v>
      </c>
      <c r="C248" s="1" t="n">
        <v>45886</v>
      </c>
      <c r="D248" t="inlineStr">
        <is>
          <t>DALARNAS LÄN</t>
        </is>
      </c>
      <c r="E248" t="inlineStr">
        <is>
          <t>LEKSAND</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24369-2025</t>
        </is>
      </c>
      <c r="B249" s="1" t="n">
        <v>45797.60731481481</v>
      </c>
      <c r="C249" s="1" t="n">
        <v>45886</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39819-2024</t>
        </is>
      </c>
      <c r="B250" s="1" t="n">
        <v>45553.38774305556</v>
      </c>
      <c r="C250" s="1" t="n">
        <v>45886</v>
      </c>
      <c r="D250" t="inlineStr">
        <is>
          <t>DALARNAS LÄN</t>
        </is>
      </c>
      <c r="E250" t="inlineStr">
        <is>
          <t>LEKSAND</t>
        </is>
      </c>
      <c r="F250" t="inlineStr">
        <is>
          <t>Bergvik skog väst AB</t>
        </is>
      </c>
      <c r="G250" t="n">
        <v>3.7</v>
      </c>
      <c r="H250" t="n">
        <v>0</v>
      </c>
      <c r="I250" t="n">
        <v>0</v>
      </c>
      <c r="J250" t="n">
        <v>0</v>
      </c>
      <c r="K250" t="n">
        <v>0</v>
      </c>
      <c r="L250" t="n">
        <v>0</v>
      </c>
      <c r="M250" t="n">
        <v>0</v>
      </c>
      <c r="N250" t="n">
        <v>0</v>
      </c>
      <c r="O250" t="n">
        <v>0</v>
      </c>
      <c r="P250" t="n">
        <v>0</v>
      </c>
      <c r="Q250" t="n">
        <v>0</v>
      </c>
      <c r="R250" s="2" t="inlineStr"/>
    </row>
    <row r="251" ht="15" customHeight="1">
      <c r="A251" t="inlineStr">
        <is>
          <t>A 24715-2025</t>
        </is>
      </c>
      <c r="B251" s="1" t="n">
        <v>45798.97899305556</v>
      </c>
      <c r="C251" s="1" t="n">
        <v>45886</v>
      </c>
      <c r="D251" t="inlineStr">
        <is>
          <t>DALARNAS LÄN</t>
        </is>
      </c>
      <c r="E251" t="inlineStr">
        <is>
          <t>LEKSAND</t>
        </is>
      </c>
      <c r="G251" t="n">
        <v>8.4</v>
      </c>
      <c r="H251" t="n">
        <v>0</v>
      </c>
      <c r="I251" t="n">
        <v>0</v>
      </c>
      <c r="J251" t="n">
        <v>0</v>
      </c>
      <c r="K251" t="n">
        <v>0</v>
      </c>
      <c r="L251" t="n">
        <v>0</v>
      </c>
      <c r="M251" t="n">
        <v>0</v>
      </c>
      <c r="N251" t="n">
        <v>0</v>
      </c>
      <c r="O251" t="n">
        <v>0</v>
      </c>
      <c r="P251" t="n">
        <v>0</v>
      </c>
      <c r="Q251" t="n">
        <v>0</v>
      </c>
      <c r="R251" s="2" t="inlineStr"/>
    </row>
    <row r="252" ht="15" customHeight="1">
      <c r="A252" t="inlineStr">
        <is>
          <t>A 52100-2024</t>
        </is>
      </c>
      <c r="B252" s="1" t="n">
        <v>45608.41634259259</v>
      </c>
      <c r="C252" s="1" t="n">
        <v>45886</v>
      </c>
      <c r="D252" t="inlineStr">
        <is>
          <t>DALARNAS LÄN</t>
        </is>
      </c>
      <c r="E252" t="inlineStr">
        <is>
          <t>LEKSAND</t>
        </is>
      </c>
      <c r="G252" t="n">
        <v>1.9</v>
      </c>
      <c r="H252" t="n">
        <v>0</v>
      </c>
      <c r="I252" t="n">
        <v>0</v>
      </c>
      <c r="J252" t="n">
        <v>0</v>
      </c>
      <c r="K252" t="n">
        <v>0</v>
      </c>
      <c r="L252" t="n">
        <v>0</v>
      </c>
      <c r="M252" t="n">
        <v>0</v>
      </c>
      <c r="N252" t="n">
        <v>0</v>
      </c>
      <c r="O252" t="n">
        <v>0</v>
      </c>
      <c r="P252" t="n">
        <v>0</v>
      </c>
      <c r="Q252" t="n">
        <v>0</v>
      </c>
      <c r="R252" s="2" t="inlineStr"/>
    </row>
    <row r="253" ht="15" customHeight="1">
      <c r="A253" t="inlineStr">
        <is>
          <t>A 25096-2025</t>
        </is>
      </c>
      <c r="B253" s="1" t="n">
        <v>45800.33868055556</v>
      </c>
      <c r="C253" s="1" t="n">
        <v>45886</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45886</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31726-2024</t>
        </is>
      </c>
      <c r="B255" s="1" t="n">
        <v>45509.33908564815</v>
      </c>
      <c r="C255" s="1" t="n">
        <v>45886</v>
      </c>
      <c r="D255" t="inlineStr">
        <is>
          <t>DALARNAS LÄN</t>
        </is>
      </c>
      <c r="E255" t="inlineStr">
        <is>
          <t>LEKSAND</t>
        </is>
      </c>
      <c r="G255" t="n">
        <v>1.1</v>
      </c>
      <c r="H255" t="n">
        <v>0</v>
      </c>
      <c r="I255" t="n">
        <v>0</v>
      </c>
      <c r="J255" t="n">
        <v>0</v>
      </c>
      <c r="K255" t="n">
        <v>0</v>
      </c>
      <c r="L255" t="n">
        <v>0</v>
      </c>
      <c r="M255" t="n">
        <v>0</v>
      </c>
      <c r="N255" t="n">
        <v>0</v>
      </c>
      <c r="O255" t="n">
        <v>0</v>
      </c>
      <c r="P255" t="n">
        <v>0</v>
      </c>
      <c r="Q255" t="n">
        <v>0</v>
      </c>
      <c r="R255" s="2" t="inlineStr"/>
    </row>
    <row r="256" ht="15" customHeight="1">
      <c r="A256" t="inlineStr">
        <is>
          <t>A 24711-2025</t>
        </is>
      </c>
      <c r="B256" s="1" t="n">
        <v>45798.87723379629</v>
      </c>
      <c r="C256" s="1" t="n">
        <v>45886</v>
      </c>
      <c r="D256" t="inlineStr">
        <is>
          <t>DALARNAS LÄN</t>
        </is>
      </c>
      <c r="E256" t="inlineStr">
        <is>
          <t>LEKSAND</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25105-2025</t>
        </is>
      </c>
      <c r="B257" s="1" t="n">
        <v>45800.34751157407</v>
      </c>
      <c r="C257" s="1" t="n">
        <v>45886</v>
      </c>
      <c r="D257" t="inlineStr">
        <is>
          <t>DALARNAS LÄN</t>
        </is>
      </c>
      <c r="E257" t="inlineStr">
        <is>
          <t>LEKSAND</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24714-2025</t>
        </is>
      </c>
      <c r="B258" s="1" t="n">
        <v>45798.96927083333</v>
      </c>
      <c r="C258" s="1" t="n">
        <v>45886</v>
      </c>
      <c r="D258" t="inlineStr">
        <is>
          <t>DALARNAS LÄN</t>
        </is>
      </c>
      <c r="E258" t="inlineStr">
        <is>
          <t>LEKSAND</t>
        </is>
      </c>
      <c r="F258" t="inlineStr">
        <is>
          <t>Bergvik skog väst AB</t>
        </is>
      </c>
      <c r="G258" t="n">
        <v>6.2</v>
      </c>
      <c r="H258" t="n">
        <v>0</v>
      </c>
      <c r="I258" t="n">
        <v>0</v>
      </c>
      <c r="J258" t="n">
        <v>0</v>
      </c>
      <c r="K258" t="n">
        <v>0</v>
      </c>
      <c r="L258" t="n">
        <v>0</v>
      </c>
      <c r="M258" t="n">
        <v>0</v>
      </c>
      <c r="N258" t="n">
        <v>0</v>
      </c>
      <c r="O258" t="n">
        <v>0</v>
      </c>
      <c r="P258" t="n">
        <v>0</v>
      </c>
      <c r="Q258" t="n">
        <v>0</v>
      </c>
      <c r="R258" s="2" t="inlineStr"/>
    </row>
    <row r="259" ht="15" customHeight="1">
      <c r="A259" t="inlineStr">
        <is>
          <t>A 55512-2024</t>
        </is>
      </c>
      <c r="B259" s="1" t="n">
        <v>45621</v>
      </c>
      <c r="C259" s="1" t="n">
        <v>45886</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25249-2024</t>
        </is>
      </c>
      <c r="B260" s="1" t="n">
        <v>45462.60643518518</v>
      </c>
      <c r="C260" s="1" t="n">
        <v>45886</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52059-2024</t>
        </is>
      </c>
      <c r="B261" s="1" t="n">
        <v>45608.35609953704</v>
      </c>
      <c r="C261" s="1" t="n">
        <v>45886</v>
      </c>
      <c r="D261" t="inlineStr">
        <is>
          <t>DALARNAS LÄN</t>
        </is>
      </c>
      <c r="E261" t="inlineStr">
        <is>
          <t>LEKSAND</t>
        </is>
      </c>
      <c r="G261" t="n">
        <v>0.8</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45886</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31255-2023</t>
        </is>
      </c>
      <c r="B263" s="1" t="n">
        <v>45114.36729166667</v>
      </c>
      <c r="C263" s="1" t="n">
        <v>45886</v>
      </c>
      <c r="D263" t="inlineStr">
        <is>
          <t>DALARNAS LÄN</t>
        </is>
      </c>
      <c r="E263" t="inlineStr">
        <is>
          <t>LEKSAND</t>
        </is>
      </c>
      <c r="G263" t="n">
        <v>1.3</v>
      </c>
      <c r="H263" t="n">
        <v>0</v>
      </c>
      <c r="I263" t="n">
        <v>0</v>
      </c>
      <c r="J263" t="n">
        <v>0</v>
      </c>
      <c r="K263" t="n">
        <v>0</v>
      </c>
      <c r="L263" t="n">
        <v>0</v>
      </c>
      <c r="M263" t="n">
        <v>0</v>
      </c>
      <c r="N263" t="n">
        <v>0</v>
      </c>
      <c r="O263" t="n">
        <v>0</v>
      </c>
      <c r="P263" t="n">
        <v>0</v>
      </c>
      <c r="Q263" t="n">
        <v>0</v>
      </c>
      <c r="R263" s="2" t="inlineStr"/>
    </row>
    <row r="264" ht="15" customHeight="1">
      <c r="A264" t="inlineStr">
        <is>
          <t>A 11712-2025</t>
        </is>
      </c>
      <c r="B264" s="1" t="n">
        <v>45727</v>
      </c>
      <c r="C264" s="1" t="n">
        <v>45886</v>
      </c>
      <c r="D264" t="inlineStr">
        <is>
          <t>DALARNAS LÄN</t>
        </is>
      </c>
      <c r="E264" t="inlineStr">
        <is>
          <t>LEKSAND</t>
        </is>
      </c>
      <c r="G264" t="n">
        <v>6</v>
      </c>
      <c r="H264" t="n">
        <v>0</v>
      </c>
      <c r="I264" t="n">
        <v>0</v>
      </c>
      <c r="J264" t="n">
        <v>0</v>
      </c>
      <c r="K264" t="n">
        <v>0</v>
      </c>
      <c r="L264" t="n">
        <v>0</v>
      </c>
      <c r="M264" t="n">
        <v>0</v>
      </c>
      <c r="N264" t="n">
        <v>0</v>
      </c>
      <c r="O264" t="n">
        <v>0</v>
      </c>
      <c r="P264" t="n">
        <v>0</v>
      </c>
      <c r="Q264" t="n">
        <v>0</v>
      </c>
      <c r="R264" s="2" t="inlineStr"/>
    </row>
    <row r="265" ht="15" customHeight="1">
      <c r="A265" t="inlineStr">
        <is>
          <t>A 25610-2025</t>
        </is>
      </c>
      <c r="B265" s="1" t="n">
        <v>45803.56033564815</v>
      </c>
      <c r="C265" s="1" t="n">
        <v>45886</v>
      </c>
      <c r="D265" t="inlineStr">
        <is>
          <t>DALARNAS LÄN</t>
        </is>
      </c>
      <c r="E265" t="inlineStr">
        <is>
          <t>LEKSAND</t>
        </is>
      </c>
      <c r="G265" t="n">
        <v>5.2</v>
      </c>
      <c r="H265" t="n">
        <v>0</v>
      </c>
      <c r="I265" t="n">
        <v>0</v>
      </c>
      <c r="J265" t="n">
        <v>0</v>
      </c>
      <c r="K265" t="n">
        <v>0</v>
      </c>
      <c r="L265" t="n">
        <v>0</v>
      </c>
      <c r="M265" t="n">
        <v>0</v>
      </c>
      <c r="N265" t="n">
        <v>0</v>
      </c>
      <c r="O265" t="n">
        <v>0</v>
      </c>
      <c r="P265" t="n">
        <v>0</v>
      </c>
      <c r="Q265" t="n">
        <v>0</v>
      </c>
      <c r="R265" s="2" t="inlineStr"/>
    </row>
    <row r="266" ht="15" customHeight="1">
      <c r="A266" t="inlineStr">
        <is>
          <t>A 5738-2023</t>
        </is>
      </c>
      <c r="B266" s="1" t="n">
        <v>44962</v>
      </c>
      <c r="C266" s="1" t="n">
        <v>45886</v>
      </c>
      <c r="D266" t="inlineStr">
        <is>
          <t>DALARNAS LÄN</t>
        </is>
      </c>
      <c r="E266" t="inlineStr">
        <is>
          <t>LEKSAND</t>
        </is>
      </c>
      <c r="G266" t="n">
        <v>0.2</v>
      </c>
      <c r="H266" t="n">
        <v>0</v>
      </c>
      <c r="I266" t="n">
        <v>0</v>
      </c>
      <c r="J266" t="n">
        <v>0</v>
      </c>
      <c r="K266" t="n">
        <v>0</v>
      </c>
      <c r="L266" t="n">
        <v>0</v>
      </c>
      <c r="M266" t="n">
        <v>0</v>
      </c>
      <c r="N266" t="n">
        <v>0</v>
      </c>
      <c r="O266" t="n">
        <v>0</v>
      </c>
      <c r="P266" t="n">
        <v>0</v>
      </c>
      <c r="Q266" t="n">
        <v>0</v>
      </c>
      <c r="R266" s="2" t="inlineStr"/>
    </row>
    <row r="267" ht="15" customHeight="1">
      <c r="A267" t="inlineStr">
        <is>
          <t>A 5570-2024</t>
        </is>
      </c>
      <c r="B267" s="1" t="n">
        <v>45334</v>
      </c>
      <c r="C267" s="1" t="n">
        <v>45886</v>
      </c>
      <c r="D267" t="inlineStr">
        <is>
          <t>DALARNAS LÄN</t>
        </is>
      </c>
      <c r="E267" t="inlineStr">
        <is>
          <t>LEKSAND</t>
        </is>
      </c>
      <c r="G267" t="n">
        <v>0.3</v>
      </c>
      <c r="H267" t="n">
        <v>0</v>
      </c>
      <c r="I267" t="n">
        <v>0</v>
      </c>
      <c r="J267" t="n">
        <v>0</v>
      </c>
      <c r="K267" t="n">
        <v>0</v>
      </c>
      <c r="L267" t="n">
        <v>0</v>
      </c>
      <c r="M267" t="n">
        <v>0</v>
      </c>
      <c r="N267" t="n">
        <v>0</v>
      </c>
      <c r="O267" t="n">
        <v>0</v>
      </c>
      <c r="P267" t="n">
        <v>0</v>
      </c>
      <c r="Q267" t="n">
        <v>0</v>
      </c>
      <c r="R267" s="2" t="inlineStr"/>
    </row>
    <row r="268" ht="15" customHeight="1">
      <c r="A268" t="inlineStr">
        <is>
          <t>A 24003-2024</t>
        </is>
      </c>
      <c r="B268" s="1" t="n">
        <v>45456.39003472222</v>
      </c>
      <c r="C268" s="1" t="n">
        <v>45886</v>
      </c>
      <c r="D268" t="inlineStr">
        <is>
          <t>DALARNAS LÄN</t>
        </is>
      </c>
      <c r="E268" t="inlineStr">
        <is>
          <t>LEKSAND</t>
        </is>
      </c>
      <c r="F268" t="inlineStr">
        <is>
          <t>Bergvik skog väst AB</t>
        </is>
      </c>
      <c r="G268" t="n">
        <v>3.2</v>
      </c>
      <c r="H268" t="n">
        <v>0</v>
      </c>
      <c r="I268" t="n">
        <v>0</v>
      </c>
      <c r="J268" t="n">
        <v>0</v>
      </c>
      <c r="K268" t="n">
        <v>0</v>
      </c>
      <c r="L268" t="n">
        <v>0</v>
      </c>
      <c r="M268" t="n">
        <v>0</v>
      </c>
      <c r="N268" t="n">
        <v>0</v>
      </c>
      <c r="O268" t="n">
        <v>0</v>
      </c>
      <c r="P268" t="n">
        <v>0</v>
      </c>
      <c r="Q268" t="n">
        <v>0</v>
      </c>
      <c r="R268" s="2" t="inlineStr"/>
    </row>
    <row r="269" ht="15" customHeight="1">
      <c r="A269" t="inlineStr">
        <is>
          <t>A 40642-2023</t>
        </is>
      </c>
      <c r="B269" s="1" t="n">
        <v>45169</v>
      </c>
      <c r="C269" s="1" t="n">
        <v>45886</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47854-2023</t>
        </is>
      </c>
      <c r="B270" s="1" t="n">
        <v>45198</v>
      </c>
      <c r="C270" s="1" t="n">
        <v>45886</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39136-2023</t>
        </is>
      </c>
      <c r="B271" s="1" t="n">
        <v>45165</v>
      </c>
      <c r="C271" s="1" t="n">
        <v>45886</v>
      </c>
      <c r="D271" t="inlineStr">
        <is>
          <t>DALARNAS LÄN</t>
        </is>
      </c>
      <c r="E271" t="inlineStr">
        <is>
          <t>LEKSAND</t>
        </is>
      </c>
      <c r="G271" t="n">
        <v>0.3</v>
      </c>
      <c r="H271" t="n">
        <v>0</v>
      </c>
      <c r="I271" t="n">
        <v>0</v>
      </c>
      <c r="J271" t="n">
        <v>0</v>
      </c>
      <c r="K271" t="n">
        <v>0</v>
      </c>
      <c r="L271" t="n">
        <v>0</v>
      </c>
      <c r="M271" t="n">
        <v>0</v>
      </c>
      <c r="N271" t="n">
        <v>0</v>
      </c>
      <c r="O271" t="n">
        <v>0</v>
      </c>
      <c r="P271" t="n">
        <v>0</v>
      </c>
      <c r="Q271" t="n">
        <v>0</v>
      </c>
      <c r="R271" s="2" t="inlineStr"/>
    </row>
    <row r="272" ht="15" customHeight="1">
      <c r="A272" t="inlineStr">
        <is>
          <t>A 34537-2025</t>
        </is>
      </c>
      <c r="B272" s="1" t="n">
        <v>45847</v>
      </c>
      <c r="C272" s="1" t="n">
        <v>45886</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43693-2022</t>
        </is>
      </c>
      <c r="B273" s="1" t="n">
        <v>44837.6369212963</v>
      </c>
      <c r="C273" s="1" t="n">
        <v>45886</v>
      </c>
      <c r="D273" t="inlineStr">
        <is>
          <t>DALARNAS LÄN</t>
        </is>
      </c>
      <c r="E273" t="inlineStr">
        <is>
          <t>LEKSAND</t>
        </is>
      </c>
      <c r="G273" t="n">
        <v>2.7</v>
      </c>
      <c r="H273" t="n">
        <v>0</v>
      </c>
      <c r="I273" t="n">
        <v>0</v>
      </c>
      <c r="J273" t="n">
        <v>0</v>
      </c>
      <c r="K273" t="n">
        <v>0</v>
      </c>
      <c r="L273" t="n">
        <v>0</v>
      </c>
      <c r="M273" t="n">
        <v>0</v>
      </c>
      <c r="N273" t="n">
        <v>0</v>
      </c>
      <c r="O273" t="n">
        <v>0</v>
      </c>
      <c r="P273" t="n">
        <v>0</v>
      </c>
      <c r="Q273" t="n">
        <v>0</v>
      </c>
      <c r="R273" s="2" t="inlineStr"/>
    </row>
    <row r="274" ht="15" customHeight="1">
      <c r="A274" t="inlineStr">
        <is>
          <t>A 43735-2022</t>
        </is>
      </c>
      <c r="B274" s="1" t="n">
        <v>44837.70210648148</v>
      </c>
      <c r="C274" s="1" t="n">
        <v>45886</v>
      </c>
      <c r="D274" t="inlineStr">
        <is>
          <t>DALARNAS LÄN</t>
        </is>
      </c>
      <c r="E274" t="inlineStr">
        <is>
          <t>LEKSAND</t>
        </is>
      </c>
      <c r="G274" t="n">
        <v>2.9</v>
      </c>
      <c r="H274" t="n">
        <v>0</v>
      </c>
      <c r="I274" t="n">
        <v>0</v>
      </c>
      <c r="J274" t="n">
        <v>0</v>
      </c>
      <c r="K274" t="n">
        <v>0</v>
      </c>
      <c r="L274" t="n">
        <v>0</v>
      </c>
      <c r="M274" t="n">
        <v>0</v>
      </c>
      <c r="N274" t="n">
        <v>0</v>
      </c>
      <c r="O274" t="n">
        <v>0</v>
      </c>
      <c r="P274" t="n">
        <v>0</v>
      </c>
      <c r="Q274" t="n">
        <v>0</v>
      </c>
      <c r="R274" s="2" t="inlineStr"/>
    </row>
    <row r="275" ht="15" customHeight="1">
      <c r="A275" t="inlineStr">
        <is>
          <t>A 17726-2024</t>
        </is>
      </c>
      <c r="B275" s="1" t="n">
        <v>45418.55609953704</v>
      </c>
      <c r="C275" s="1" t="n">
        <v>45886</v>
      </c>
      <c r="D275" t="inlineStr">
        <is>
          <t>DALARNAS LÄN</t>
        </is>
      </c>
      <c r="E275" t="inlineStr">
        <is>
          <t>LEKSAND</t>
        </is>
      </c>
      <c r="G275" t="n">
        <v>5.2</v>
      </c>
      <c r="H275" t="n">
        <v>0</v>
      </c>
      <c r="I275" t="n">
        <v>0</v>
      </c>
      <c r="J275" t="n">
        <v>0</v>
      </c>
      <c r="K275" t="n">
        <v>0</v>
      </c>
      <c r="L275" t="n">
        <v>0</v>
      </c>
      <c r="M275" t="n">
        <v>0</v>
      </c>
      <c r="N275" t="n">
        <v>0</v>
      </c>
      <c r="O275" t="n">
        <v>0</v>
      </c>
      <c r="P275" t="n">
        <v>0</v>
      </c>
      <c r="Q275" t="n">
        <v>0</v>
      </c>
      <c r="R275" s="2" t="inlineStr"/>
    </row>
    <row r="276" ht="15" customHeight="1">
      <c r="A276" t="inlineStr">
        <is>
          <t>A 44469-2024</t>
        </is>
      </c>
      <c r="B276" s="1" t="n">
        <v>45574</v>
      </c>
      <c r="C276" s="1" t="n">
        <v>45886</v>
      </c>
      <c r="D276" t="inlineStr">
        <is>
          <t>DALARNAS LÄN</t>
        </is>
      </c>
      <c r="E276" t="inlineStr">
        <is>
          <t>LEKSAND</t>
        </is>
      </c>
      <c r="G276" t="n">
        <v>2</v>
      </c>
      <c r="H276" t="n">
        <v>0</v>
      </c>
      <c r="I276" t="n">
        <v>0</v>
      </c>
      <c r="J276" t="n">
        <v>0</v>
      </c>
      <c r="K276" t="n">
        <v>0</v>
      </c>
      <c r="L276" t="n">
        <v>0</v>
      </c>
      <c r="M276" t="n">
        <v>0</v>
      </c>
      <c r="N276" t="n">
        <v>0</v>
      </c>
      <c r="O276" t="n">
        <v>0</v>
      </c>
      <c r="P276" t="n">
        <v>0</v>
      </c>
      <c r="Q276" t="n">
        <v>0</v>
      </c>
      <c r="R276" s="2" t="inlineStr"/>
    </row>
    <row r="277" ht="15" customHeight="1">
      <c r="A277" t="inlineStr">
        <is>
          <t>A 2517-2024</t>
        </is>
      </c>
      <c r="B277" s="1" t="n">
        <v>45313</v>
      </c>
      <c r="C277" s="1" t="n">
        <v>45886</v>
      </c>
      <c r="D277" t="inlineStr">
        <is>
          <t>DALARNAS LÄN</t>
        </is>
      </c>
      <c r="E277" t="inlineStr">
        <is>
          <t>LEKSAND</t>
        </is>
      </c>
      <c r="F277" t="inlineStr">
        <is>
          <t>Bergvik skog väst AB</t>
        </is>
      </c>
      <c r="G277" t="n">
        <v>4</v>
      </c>
      <c r="H277" t="n">
        <v>0</v>
      </c>
      <c r="I277" t="n">
        <v>0</v>
      </c>
      <c r="J277" t="n">
        <v>0</v>
      </c>
      <c r="K277" t="n">
        <v>0</v>
      </c>
      <c r="L277" t="n">
        <v>0</v>
      </c>
      <c r="M277" t="n">
        <v>0</v>
      </c>
      <c r="N277" t="n">
        <v>0</v>
      </c>
      <c r="O277" t="n">
        <v>0</v>
      </c>
      <c r="P277" t="n">
        <v>0</v>
      </c>
      <c r="Q277" t="n">
        <v>0</v>
      </c>
      <c r="R277" s="2" t="inlineStr"/>
    </row>
    <row r="278" ht="15" customHeight="1">
      <c r="A278" t="inlineStr">
        <is>
          <t>A 52293-2024</t>
        </is>
      </c>
      <c r="B278" s="1" t="n">
        <v>45608.71297453704</v>
      </c>
      <c r="C278" s="1" t="n">
        <v>45886</v>
      </c>
      <c r="D278" t="inlineStr">
        <is>
          <t>DALARNAS LÄN</t>
        </is>
      </c>
      <c r="E278" t="inlineStr">
        <is>
          <t>LEKSAND</t>
        </is>
      </c>
      <c r="G278" t="n">
        <v>1.6</v>
      </c>
      <c r="H278" t="n">
        <v>0</v>
      </c>
      <c r="I278" t="n">
        <v>0</v>
      </c>
      <c r="J278" t="n">
        <v>0</v>
      </c>
      <c r="K278" t="n">
        <v>0</v>
      </c>
      <c r="L278" t="n">
        <v>0</v>
      </c>
      <c r="M278" t="n">
        <v>0</v>
      </c>
      <c r="N278" t="n">
        <v>0</v>
      </c>
      <c r="O278" t="n">
        <v>0</v>
      </c>
      <c r="P278" t="n">
        <v>0</v>
      </c>
      <c r="Q278" t="n">
        <v>0</v>
      </c>
      <c r="R278" s="2" t="inlineStr"/>
    </row>
    <row r="279" ht="15" customHeight="1">
      <c r="A279" t="inlineStr">
        <is>
          <t>A 46876-2023</t>
        </is>
      </c>
      <c r="B279" s="1" t="n">
        <v>45200</v>
      </c>
      <c r="C279" s="1" t="n">
        <v>45886</v>
      </c>
      <c r="D279" t="inlineStr">
        <is>
          <t>DALARNAS LÄN</t>
        </is>
      </c>
      <c r="E279" t="inlineStr">
        <is>
          <t>LEKSAND</t>
        </is>
      </c>
      <c r="G279" t="n">
        <v>2.4</v>
      </c>
      <c r="H279" t="n">
        <v>0</v>
      </c>
      <c r="I279" t="n">
        <v>0</v>
      </c>
      <c r="J279" t="n">
        <v>0</v>
      </c>
      <c r="K279" t="n">
        <v>0</v>
      </c>
      <c r="L279" t="n">
        <v>0</v>
      </c>
      <c r="M279" t="n">
        <v>0</v>
      </c>
      <c r="N279" t="n">
        <v>0</v>
      </c>
      <c r="O279" t="n">
        <v>0</v>
      </c>
      <c r="P279" t="n">
        <v>0</v>
      </c>
      <c r="Q279" t="n">
        <v>0</v>
      </c>
      <c r="R279" s="2" t="inlineStr"/>
    </row>
    <row r="280" ht="15" customHeight="1">
      <c r="A280" t="inlineStr">
        <is>
          <t>A 60692-2023</t>
        </is>
      </c>
      <c r="B280" s="1" t="n">
        <v>45260.50008101852</v>
      </c>
      <c r="C280" s="1" t="n">
        <v>45886</v>
      </c>
      <c r="D280" t="inlineStr">
        <is>
          <t>DALARNAS LÄN</t>
        </is>
      </c>
      <c r="E280" t="inlineStr">
        <is>
          <t>LEKSAND</t>
        </is>
      </c>
      <c r="G280" t="n">
        <v>1.2</v>
      </c>
      <c r="H280" t="n">
        <v>0</v>
      </c>
      <c r="I280" t="n">
        <v>0</v>
      </c>
      <c r="J280" t="n">
        <v>0</v>
      </c>
      <c r="K280" t="n">
        <v>0</v>
      </c>
      <c r="L280" t="n">
        <v>0</v>
      </c>
      <c r="M280" t="n">
        <v>0</v>
      </c>
      <c r="N280" t="n">
        <v>0</v>
      </c>
      <c r="O280" t="n">
        <v>0</v>
      </c>
      <c r="P280" t="n">
        <v>0</v>
      </c>
      <c r="Q280" t="n">
        <v>0</v>
      </c>
      <c r="R280" s="2" t="inlineStr"/>
    </row>
    <row r="281" ht="15" customHeight="1">
      <c r="A281" t="inlineStr">
        <is>
          <t>A 9857-2025</t>
        </is>
      </c>
      <c r="B281" s="1" t="n">
        <v>45716.62609953704</v>
      </c>
      <c r="C281" s="1" t="n">
        <v>45886</v>
      </c>
      <c r="D281" t="inlineStr">
        <is>
          <t>DALARNAS LÄN</t>
        </is>
      </c>
      <c r="E281" t="inlineStr">
        <is>
          <t>LEKSAND</t>
        </is>
      </c>
      <c r="G281" t="n">
        <v>1.7</v>
      </c>
      <c r="H281" t="n">
        <v>0</v>
      </c>
      <c r="I281" t="n">
        <v>0</v>
      </c>
      <c r="J281" t="n">
        <v>0</v>
      </c>
      <c r="K281" t="n">
        <v>0</v>
      </c>
      <c r="L281" t="n">
        <v>0</v>
      </c>
      <c r="M281" t="n">
        <v>0</v>
      </c>
      <c r="N281" t="n">
        <v>0</v>
      </c>
      <c r="O281" t="n">
        <v>0</v>
      </c>
      <c r="P281" t="n">
        <v>0</v>
      </c>
      <c r="Q281" t="n">
        <v>0</v>
      </c>
      <c r="R281" s="2" t="inlineStr"/>
    </row>
    <row r="282" ht="15" customHeight="1">
      <c r="A282" t="inlineStr">
        <is>
          <t>A 40181-2023</t>
        </is>
      </c>
      <c r="B282" s="1" t="n">
        <v>45169</v>
      </c>
      <c r="C282" s="1" t="n">
        <v>45886</v>
      </c>
      <c r="D282" t="inlineStr">
        <is>
          <t>DALARNAS LÄN</t>
        </is>
      </c>
      <c r="E282" t="inlineStr">
        <is>
          <t>LEKSAND</t>
        </is>
      </c>
      <c r="G282" t="n">
        <v>2.8</v>
      </c>
      <c r="H282" t="n">
        <v>0</v>
      </c>
      <c r="I282" t="n">
        <v>0</v>
      </c>
      <c r="J282" t="n">
        <v>0</v>
      </c>
      <c r="K282" t="n">
        <v>0</v>
      </c>
      <c r="L282" t="n">
        <v>0</v>
      </c>
      <c r="M282" t="n">
        <v>0</v>
      </c>
      <c r="N282" t="n">
        <v>0</v>
      </c>
      <c r="O282" t="n">
        <v>0</v>
      </c>
      <c r="P282" t="n">
        <v>0</v>
      </c>
      <c r="Q282" t="n">
        <v>0</v>
      </c>
      <c r="R282" s="2" t="inlineStr"/>
    </row>
    <row r="283" ht="15" customHeight="1">
      <c r="A283" t="inlineStr">
        <is>
          <t>A 30204-2024</t>
        </is>
      </c>
      <c r="B283" s="1" t="n">
        <v>45490.35402777778</v>
      </c>
      <c r="C283" s="1" t="n">
        <v>45886</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19618-2024</t>
        </is>
      </c>
      <c r="B284" s="1" t="n">
        <v>45432.32896990741</v>
      </c>
      <c r="C284" s="1" t="n">
        <v>45886</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1267-2025</t>
        </is>
      </c>
      <c r="B285" s="1" t="n">
        <v>45667</v>
      </c>
      <c r="C285" s="1" t="n">
        <v>45886</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23283-2024</t>
        </is>
      </c>
      <c r="B286" s="1" t="n">
        <v>45453</v>
      </c>
      <c r="C286" s="1" t="n">
        <v>45886</v>
      </c>
      <c r="D286" t="inlineStr">
        <is>
          <t>DALARNAS LÄN</t>
        </is>
      </c>
      <c r="E286" t="inlineStr">
        <is>
          <t>LEKSAND</t>
        </is>
      </c>
      <c r="G286" t="n">
        <v>0.9</v>
      </c>
      <c r="H286" t="n">
        <v>0</v>
      </c>
      <c r="I286" t="n">
        <v>0</v>
      </c>
      <c r="J286" t="n">
        <v>0</v>
      </c>
      <c r="K286" t="n">
        <v>0</v>
      </c>
      <c r="L286" t="n">
        <v>0</v>
      </c>
      <c r="M286" t="n">
        <v>0</v>
      </c>
      <c r="N286" t="n">
        <v>0</v>
      </c>
      <c r="O286" t="n">
        <v>0</v>
      </c>
      <c r="P286" t="n">
        <v>0</v>
      </c>
      <c r="Q286" t="n">
        <v>0</v>
      </c>
      <c r="R286" s="2" t="inlineStr"/>
    </row>
    <row r="287" ht="15" customHeight="1">
      <c r="A287" t="inlineStr">
        <is>
          <t>A 42230-2023</t>
        </is>
      </c>
      <c r="B287" s="1" t="n">
        <v>45180</v>
      </c>
      <c r="C287" s="1" t="n">
        <v>45886</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3183-2025</t>
        </is>
      </c>
      <c r="B288" s="1" t="n">
        <v>45679.40298611111</v>
      </c>
      <c r="C288" s="1" t="n">
        <v>45886</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47121-2021</t>
        </is>
      </c>
      <c r="B289" s="1" t="n">
        <v>44446</v>
      </c>
      <c r="C289" s="1" t="n">
        <v>45886</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32688-2024</t>
        </is>
      </c>
      <c r="B290" s="1" t="n">
        <v>45515.83091435185</v>
      </c>
      <c r="C290" s="1" t="n">
        <v>45886</v>
      </c>
      <c r="D290" t="inlineStr">
        <is>
          <t>DALARNAS LÄN</t>
        </is>
      </c>
      <c r="E290" t="inlineStr">
        <is>
          <t>LEKSAND</t>
        </is>
      </c>
      <c r="G290" t="n">
        <v>1.3</v>
      </c>
      <c r="H290" t="n">
        <v>0</v>
      </c>
      <c r="I290" t="n">
        <v>0</v>
      </c>
      <c r="J290" t="n">
        <v>0</v>
      </c>
      <c r="K290" t="n">
        <v>0</v>
      </c>
      <c r="L290" t="n">
        <v>0</v>
      </c>
      <c r="M290" t="n">
        <v>0</v>
      </c>
      <c r="N290" t="n">
        <v>0</v>
      </c>
      <c r="O290" t="n">
        <v>0</v>
      </c>
      <c r="P290" t="n">
        <v>0</v>
      </c>
      <c r="Q290" t="n">
        <v>0</v>
      </c>
      <c r="R290" s="2" t="inlineStr"/>
    </row>
    <row r="291" ht="15" customHeight="1">
      <c r="A291" t="inlineStr">
        <is>
          <t>A 59751-2024</t>
        </is>
      </c>
      <c r="B291" s="1" t="n">
        <v>45638</v>
      </c>
      <c r="C291" s="1" t="n">
        <v>45886</v>
      </c>
      <c r="D291" t="inlineStr">
        <is>
          <t>DALARNAS LÄN</t>
        </is>
      </c>
      <c r="E291" t="inlineStr">
        <is>
          <t>LEKSAND</t>
        </is>
      </c>
      <c r="G291" t="n">
        <v>5.2</v>
      </c>
      <c r="H291" t="n">
        <v>0</v>
      </c>
      <c r="I291" t="n">
        <v>0</v>
      </c>
      <c r="J291" t="n">
        <v>0</v>
      </c>
      <c r="K291" t="n">
        <v>0</v>
      </c>
      <c r="L291" t="n">
        <v>0</v>
      </c>
      <c r="M291" t="n">
        <v>0</v>
      </c>
      <c r="N291" t="n">
        <v>0</v>
      </c>
      <c r="O291" t="n">
        <v>0</v>
      </c>
      <c r="P291" t="n">
        <v>0</v>
      </c>
      <c r="Q291" t="n">
        <v>0</v>
      </c>
      <c r="R291" s="2" t="inlineStr"/>
    </row>
    <row r="292" ht="15" customHeight="1">
      <c r="A292" t="inlineStr">
        <is>
          <t>A 34966-2025</t>
        </is>
      </c>
      <c r="B292" s="1" t="n">
        <v>45849</v>
      </c>
      <c r="C292" s="1" t="n">
        <v>45886</v>
      </c>
      <c r="D292" t="inlineStr">
        <is>
          <t>DALARNAS LÄN</t>
        </is>
      </c>
      <c r="E292" t="inlineStr">
        <is>
          <t>LEKSAND</t>
        </is>
      </c>
      <c r="F292" t="inlineStr">
        <is>
          <t>Bergvik skog väst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4121-2024</t>
        </is>
      </c>
      <c r="B293" s="1" t="n">
        <v>45323</v>
      </c>
      <c r="C293" s="1" t="n">
        <v>45886</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47640-2024</t>
        </is>
      </c>
      <c r="B294" s="1" t="n">
        <v>45588.36508101852</v>
      </c>
      <c r="C294" s="1" t="n">
        <v>45886</v>
      </c>
      <c r="D294" t="inlineStr">
        <is>
          <t>DALARNAS LÄN</t>
        </is>
      </c>
      <c r="E294" t="inlineStr">
        <is>
          <t>LEKSAND</t>
        </is>
      </c>
      <c r="G294" t="n">
        <v>9.1</v>
      </c>
      <c r="H294" t="n">
        <v>0</v>
      </c>
      <c r="I294" t="n">
        <v>0</v>
      </c>
      <c r="J294" t="n">
        <v>0</v>
      </c>
      <c r="K294" t="n">
        <v>0</v>
      </c>
      <c r="L294" t="n">
        <v>0</v>
      </c>
      <c r="M294" t="n">
        <v>0</v>
      </c>
      <c r="N294" t="n">
        <v>0</v>
      </c>
      <c r="O294" t="n">
        <v>0</v>
      </c>
      <c r="P294" t="n">
        <v>0</v>
      </c>
      <c r="Q294" t="n">
        <v>0</v>
      </c>
      <c r="R294" s="2" t="inlineStr"/>
    </row>
    <row r="295" ht="15" customHeight="1">
      <c r="A295" t="inlineStr">
        <is>
          <t>A 34789-2025</t>
        </is>
      </c>
      <c r="B295" s="1" t="n">
        <v>45848</v>
      </c>
      <c r="C295" s="1" t="n">
        <v>45886</v>
      </c>
      <c r="D295" t="inlineStr">
        <is>
          <t>DALARNAS LÄN</t>
        </is>
      </c>
      <c r="E295" t="inlineStr">
        <is>
          <t>LEKSAND</t>
        </is>
      </c>
      <c r="F295" t="inlineStr">
        <is>
          <t>Bergvik skog väst AB</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72575-2021</t>
        </is>
      </c>
      <c r="B296" s="1" t="n">
        <v>44546</v>
      </c>
      <c r="C296" s="1" t="n">
        <v>45886</v>
      </c>
      <c r="D296" t="inlineStr">
        <is>
          <t>DALARNAS LÄN</t>
        </is>
      </c>
      <c r="E296" t="inlineStr">
        <is>
          <t>LEKSAND</t>
        </is>
      </c>
      <c r="G296" t="n">
        <v>0.7</v>
      </c>
      <c r="H296" t="n">
        <v>0</v>
      </c>
      <c r="I296" t="n">
        <v>0</v>
      </c>
      <c r="J296" t="n">
        <v>0</v>
      </c>
      <c r="K296" t="n">
        <v>0</v>
      </c>
      <c r="L296" t="n">
        <v>0</v>
      </c>
      <c r="M296" t="n">
        <v>0</v>
      </c>
      <c r="N296" t="n">
        <v>0</v>
      </c>
      <c r="O296" t="n">
        <v>0</v>
      </c>
      <c r="P296" t="n">
        <v>0</v>
      </c>
      <c r="Q296" t="n">
        <v>0</v>
      </c>
      <c r="R296" s="2" t="inlineStr"/>
    </row>
    <row r="297" ht="15" customHeight="1">
      <c r="A297" t="inlineStr">
        <is>
          <t>A 72581-2021</t>
        </is>
      </c>
      <c r="B297" s="1" t="n">
        <v>44546.46354166666</v>
      </c>
      <c r="C297" s="1" t="n">
        <v>45886</v>
      </c>
      <c r="D297" t="inlineStr">
        <is>
          <t>DALARNAS LÄN</t>
        </is>
      </c>
      <c r="E297" t="inlineStr">
        <is>
          <t>LEKSAND</t>
        </is>
      </c>
      <c r="G297" t="n">
        <v>0.6</v>
      </c>
      <c r="H297" t="n">
        <v>0</v>
      </c>
      <c r="I297" t="n">
        <v>0</v>
      </c>
      <c r="J297" t="n">
        <v>0</v>
      </c>
      <c r="K297" t="n">
        <v>0</v>
      </c>
      <c r="L297" t="n">
        <v>0</v>
      </c>
      <c r="M297" t="n">
        <v>0</v>
      </c>
      <c r="N297" t="n">
        <v>0</v>
      </c>
      <c r="O297" t="n">
        <v>0</v>
      </c>
      <c r="P297" t="n">
        <v>0</v>
      </c>
      <c r="Q297" t="n">
        <v>0</v>
      </c>
      <c r="R297" s="2" t="inlineStr"/>
    </row>
    <row r="298" ht="15" customHeight="1">
      <c r="A298" t="inlineStr">
        <is>
          <t>A 54917-2024</t>
        </is>
      </c>
      <c r="B298" s="1" t="n">
        <v>45618.69581018519</v>
      </c>
      <c r="C298" s="1" t="n">
        <v>45886</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34965-2025</t>
        </is>
      </c>
      <c r="B299" s="1" t="n">
        <v>45849</v>
      </c>
      <c r="C299" s="1" t="n">
        <v>45886</v>
      </c>
      <c r="D299" t="inlineStr">
        <is>
          <t>DALARNAS LÄN</t>
        </is>
      </c>
      <c r="E299" t="inlineStr">
        <is>
          <t>LEKSAND</t>
        </is>
      </c>
      <c r="F299" t="inlineStr">
        <is>
          <t>Bergvik skog väst AB</t>
        </is>
      </c>
      <c r="G299" t="n">
        <v>1.8</v>
      </c>
      <c r="H299" t="n">
        <v>0</v>
      </c>
      <c r="I299" t="n">
        <v>0</v>
      </c>
      <c r="J299" t="n">
        <v>0</v>
      </c>
      <c r="K299" t="n">
        <v>0</v>
      </c>
      <c r="L299" t="n">
        <v>0</v>
      </c>
      <c r="M299" t="n">
        <v>0</v>
      </c>
      <c r="N299" t="n">
        <v>0</v>
      </c>
      <c r="O299" t="n">
        <v>0</v>
      </c>
      <c r="P299" t="n">
        <v>0</v>
      </c>
      <c r="Q299" t="n">
        <v>0</v>
      </c>
      <c r="R299" s="2" t="inlineStr"/>
    </row>
    <row r="300" ht="15" customHeight="1">
      <c r="A300" t="inlineStr">
        <is>
          <t>A 19700-2025</t>
        </is>
      </c>
      <c r="B300" s="1" t="n">
        <v>45771.32445601852</v>
      </c>
      <c r="C300" s="1" t="n">
        <v>45886</v>
      </c>
      <c r="D300" t="inlineStr">
        <is>
          <t>DALARNAS LÄN</t>
        </is>
      </c>
      <c r="E300" t="inlineStr">
        <is>
          <t>LEKSAND</t>
        </is>
      </c>
      <c r="G300" t="n">
        <v>0.9</v>
      </c>
      <c r="H300" t="n">
        <v>0</v>
      </c>
      <c r="I300" t="n">
        <v>0</v>
      </c>
      <c r="J300" t="n">
        <v>0</v>
      </c>
      <c r="K300" t="n">
        <v>0</v>
      </c>
      <c r="L300" t="n">
        <v>0</v>
      </c>
      <c r="M300" t="n">
        <v>0</v>
      </c>
      <c r="N300" t="n">
        <v>0</v>
      </c>
      <c r="O300" t="n">
        <v>0</v>
      </c>
      <c r="P300" t="n">
        <v>0</v>
      </c>
      <c r="Q300" t="n">
        <v>0</v>
      </c>
      <c r="R300" s="2" t="inlineStr"/>
    </row>
    <row r="301" ht="15" customHeight="1">
      <c r="A301" t="inlineStr">
        <is>
          <t>A 26386-2025</t>
        </is>
      </c>
      <c r="B301" s="1" t="n">
        <v>45806</v>
      </c>
      <c r="C301" s="1" t="n">
        <v>45886</v>
      </c>
      <c r="D301" t="inlineStr">
        <is>
          <t>DALARNAS LÄN</t>
        </is>
      </c>
      <c r="E301" t="inlineStr">
        <is>
          <t>LEKSAND</t>
        </is>
      </c>
      <c r="F301" t="inlineStr">
        <is>
          <t>Bergvik skog väst AB</t>
        </is>
      </c>
      <c r="G301" t="n">
        <v>26.3</v>
      </c>
      <c r="H301" t="n">
        <v>0</v>
      </c>
      <c r="I301" t="n">
        <v>0</v>
      </c>
      <c r="J301" t="n">
        <v>0</v>
      </c>
      <c r="K301" t="n">
        <v>0</v>
      </c>
      <c r="L301" t="n">
        <v>0</v>
      </c>
      <c r="M301" t="n">
        <v>0</v>
      </c>
      <c r="N301" t="n">
        <v>0</v>
      </c>
      <c r="O301" t="n">
        <v>0</v>
      </c>
      <c r="P301" t="n">
        <v>0</v>
      </c>
      <c r="Q301" t="n">
        <v>0</v>
      </c>
      <c r="R301" s="2" t="inlineStr"/>
    </row>
    <row r="302" ht="15" customHeight="1">
      <c r="A302" t="inlineStr">
        <is>
          <t>A 61614-2023</t>
        </is>
      </c>
      <c r="B302" s="1" t="n">
        <v>45261</v>
      </c>
      <c r="C302" s="1" t="n">
        <v>45886</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26062-2024</t>
        </is>
      </c>
      <c r="B303" s="1" t="n">
        <v>45468.3509375</v>
      </c>
      <c r="C303" s="1" t="n">
        <v>45886</v>
      </c>
      <c r="D303" t="inlineStr">
        <is>
          <t>DALARNAS LÄN</t>
        </is>
      </c>
      <c r="E303" t="inlineStr">
        <is>
          <t>LEKSAND</t>
        </is>
      </c>
      <c r="F303" t="inlineStr">
        <is>
          <t>Övriga statliga verk och myndigheter</t>
        </is>
      </c>
      <c r="G303" t="n">
        <v>6.4</v>
      </c>
      <c r="H303" t="n">
        <v>0</v>
      </c>
      <c r="I303" t="n">
        <v>0</v>
      </c>
      <c r="J303" t="n">
        <v>0</v>
      </c>
      <c r="K303" t="n">
        <v>0</v>
      </c>
      <c r="L303" t="n">
        <v>0</v>
      </c>
      <c r="M303" t="n">
        <v>0</v>
      </c>
      <c r="N303" t="n">
        <v>0</v>
      </c>
      <c r="O303" t="n">
        <v>0</v>
      </c>
      <c r="P303" t="n">
        <v>0</v>
      </c>
      <c r="Q303" t="n">
        <v>0</v>
      </c>
      <c r="R303" s="2" t="inlineStr"/>
    </row>
    <row r="304" ht="15" customHeight="1">
      <c r="A304" t="inlineStr">
        <is>
          <t>A 8045-2024</t>
        </is>
      </c>
      <c r="B304" s="1" t="n">
        <v>45351.31371527778</v>
      </c>
      <c r="C304" s="1" t="n">
        <v>45886</v>
      </c>
      <c r="D304" t="inlineStr">
        <is>
          <t>DALARNAS LÄN</t>
        </is>
      </c>
      <c r="E304" t="inlineStr">
        <is>
          <t>LEKSAND</t>
        </is>
      </c>
      <c r="G304" t="n">
        <v>6.7</v>
      </c>
      <c r="H304" t="n">
        <v>0</v>
      </c>
      <c r="I304" t="n">
        <v>0</v>
      </c>
      <c r="J304" t="n">
        <v>0</v>
      </c>
      <c r="K304" t="n">
        <v>0</v>
      </c>
      <c r="L304" t="n">
        <v>0</v>
      </c>
      <c r="M304" t="n">
        <v>0</v>
      </c>
      <c r="N304" t="n">
        <v>0</v>
      </c>
      <c r="O304" t="n">
        <v>0</v>
      </c>
      <c r="P304" t="n">
        <v>0</v>
      </c>
      <c r="Q304" t="n">
        <v>0</v>
      </c>
      <c r="R304" s="2" t="inlineStr"/>
    </row>
    <row r="305" ht="15" customHeight="1">
      <c r="A305" t="inlineStr">
        <is>
          <t>A 776-2021</t>
        </is>
      </c>
      <c r="B305" s="1" t="n">
        <v>44203</v>
      </c>
      <c r="C305" s="1" t="n">
        <v>45886</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34585-2024</t>
        </is>
      </c>
      <c r="B306" s="1" t="n">
        <v>45526.37697916666</v>
      </c>
      <c r="C306" s="1" t="n">
        <v>45886</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57013-2023</t>
        </is>
      </c>
      <c r="B307" s="1" t="n">
        <v>45244</v>
      </c>
      <c r="C307" s="1" t="n">
        <v>45886</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63514-2023</t>
        </is>
      </c>
      <c r="B308" s="1" t="n">
        <v>45274</v>
      </c>
      <c r="C308" s="1" t="n">
        <v>45886</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37832-2023</t>
        </is>
      </c>
      <c r="B309" s="1" t="n">
        <v>45160.3479050926</v>
      </c>
      <c r="C309" s="1" t="n">
        <v>45886</v>
      </c>
      <c r="D309" t="inlineStr">
        <is>
          <t>DALARNAS LÄN</t>
        </is>
      </c>
      <c r="E309" t="inlineStr">
        <is>
          <t>LEKSAND</t>
        </is>
      </c>
      <c r="G309" t="n">
        <v>2</v>
      </c>
      <c r="H309" t="n">
        <v>0</v>
      </c>
      <c r="I309" t="n">
        <v>0</v>
      </c>
      <c r="J309" t="n">
        <v>0</v>
      </c>
      <c r="K309" t="n">
        <v>0</v>
      </c>
      <c r="L309" t="n">
        <v>0</v>
      </c>
      <c r="M309" t="n">
        <v>0</v>
      </c>
      <c r="N309" t="n">
        <v>0</v>
      </c>
      <c r="O309" t="n">
        <v>0</v>
      </c>
      <c r="P309" t="n">
        <v>0</v>
      </c>
      <c r="Q309" t="n">
        <v>0</v>
      </c>
      <c r="R309" s="2" t="inlineStr"/>
    </row>
    <row r="310" ht="15" customHeight="1">
      <c r="A310" t="inlineStr">
        <is>
          <t>A 25329-2022</t>
        </is>
      </c>
      <c r="B310" s="1" t="n">
        <v>44731.8799537037</v>
      </c>
      <c r="C310" s="1" t="n">
        <v>45886</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18040-2024</t>
        </is>
      </c>
      <c r="B311" s="1" t="n">
        <v>45420.36664351852</v>
      </c>
      <c r="C311" s="1" t="n">
        <v>45886</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7928-2023</t>
        </is>
      </c>
      <c r="B312" s="1" t="n">
        <v>44973</v>
      </c>
      <c r="C312" s="1" t="n">
        <v>45886</v>
      </c>
      <c r="D312" t="inlineStr">
        <is>
          <t>DALARNAS LÄN</t>
        </is>
      </c>
      <c r="E312" t="inlineStr">
        <is>
          <t>LEKSAND</t>
        </is>
      </c>
      <c r="G312" t="n">
        <v>1.9</v>
      </c>
      <c r="H312" t="n">
        <v>0</v>
      </c>
      <c r="I312" t="n">
        <v>0</v>
      </c>
      <c r="J312" t="n">
        <v>0</v>
      </c>
      <c r="K312" t="n">
        <v>0</v>
      </c>
      <c r="L312" t="n">
        <v>0</v>
      </c>
      <c r="M312" t="n">
        <v>0</v>
      </c>
      <c r="N312" t="n">
        <v>0</v>
      </c>
      <c r="O312" t="n">
        <v>0</v>
      </c>
      <c r="P312" t="n">
        <v>0</v>
      </c>
      <c r="Q312" t="n">
        <v>0</v>
      </c>
      <c r="R312" s="2" t="inlineStr"/>
    </row>
    <row r="313" ht="15" customHeight="1">
      <c r="A313" t="inlineStr">
        <is>
          <t>A 26421-2025</t>
        </is>
      </c>
      <c r="B313" s="1" t="n">
        <v>45807.37355324074</v>
      </c>
      <c r="C313" s="1" t="n">
        <v>45886</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6778-2025</t>
        </is>
      </c>
      <c r="B314" s="1" t="n">
        <v>45700.64615740741</v>
      </c>
      <c r="C314" s="1" t="n">
        <v>45886</v>
      </c>
      <c r="D314" t="inlineStr">
        <is>
          <t>DALARNAS LÄN</t>
        </is>
      </c>
      <c r="E314" t="inlineStr">
        <is>
          <t>LEKSAND</t>
        </is>
      </c>
      <c r="G314" t="n">
        <v>2.4</v>
      </c>
      <c r="H314" t="n">
        <v>0</v>
      </c>
      <c r="I314" t="n">
        <v>0</v>
      </c>
      <c r="J314" t="n">
        <v>0</v>
      </c>
      <c r="K314" t="n">
        <v>0</v>
      </c>
      <c r="L314" t="n">
        <v>0</v>
      </c>
      <c r="M314" t="n">
        <v>0</v>
      </c>
      <c r="N314" t="n">
        <v>0</v>
      </c>
      <c r="O314" t="n">
        <v>0</v>
      </c>
      <c r="P314" t="n">
        <v>0</v>
      </c>
      <c r="Q314" t="n">
        <v>0</v>
      </c>
      <c r="R314" s="2" t="inlineStr"/>
    </row>
    <row r="315" ht="15" customHeight="1">
      <c r="A315" t="inlineStr">
        <is>
          <t>A 30860-2024</t>
        </is>
      </c>
      <c r="B315" s="1" t="n">
        <v>45497.69108796296</v>
      </c>
      <c r="C315" s="1" t="n">
        <v>45886</v>
      </c>
      <c r="D315" t="inlineStr">
        <is>
          <t>DALARNAS LÄN</t>
        </is>
      </c>
      <c r="E315" t="inlineStr">
        <is>
          <t>LEKSAND</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30864-2024</t>
        </is>
      </c>
      <c r="B316" s="1" t="n">
        <v>45497.71550925926</v>
      </c>
      <c r="C316" s="1" t="n">
        <v>45886</v>
      </c>
      <c r="D316" t="inlineStr">
        <is>
          <t>DALARNAS LÄN</t>
        </is>
      </c>
      <c r="E316" t="inlineStr">
        <is>
          <t>LEKSAND</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5582-2024</t>
        </is>
      </c>
      <c r="B317" s="1" t="n">
        <v>45334</v>
      </c>
      <c r="C317" s="1" t="n">
        <v>45886</v>
      </c>
      <c r="D317" t="inlineStr">
        <is>
          <t>DALARNAS LÄN</t>
        </is>
      </c>
      <c r="E317" t="inlineStr">
        <is>
          <t>LEKSAND</t>
        </is>
      </c>
      <c r="G317" t="n">
        <v>0.5</v>
      </c>
      <c r="H317" t="n">
        <v>0</v>
      </c>
      <c r="I317" t="n">
        <v>0</v>
      </c>
      <c r="J317" t="n">
        <v>0</v>
      </c>
      <c r="K317" t="n">
        <v>0</v>
      </c>
      <c r="L317" t="n">
        <v>0</v>
      </c>
      <c r="M317" t="n">
        <v>0</v>
      </c>
      <c r="N317" t="n">
        <v>0</v>
      </c>
      <c r="O317" t="n">
        <v>0</v>
      </c>
      <c r="P317" t="n">
        <v>0</v>
      </c>
      <c r="Q317" t="n">
        <v>0</v>
      </c>
      <c r="R317" s="2" t="inlineStr"/>
    </row>
    <row r="318" ht="15" customHeight="1">
      <c r="A318" t="inlineStr">
        <is>
          <t>A 5584-2024</t>
        </is>
      </c>
      <c r="B318" s="1" t="n">
        <v>45334</v>
      </c>
      <c r="C318" s="1" t="n">
        <v>45886</v>
      </c>
      <c r="D318" t="inlineStr">
        <is>
          <t>DALARNAS LÄN</t>
        </is>
      </c>
      <c r="E318" t="inlineStr">
        <is>
          <t>LEKSAND</t>
        </is>
      </c>
      <c r="F318" t="inlineStr">
        <is>
          <t>Kyrkan</t>
        </is>
      </c>
      <c r="G318" t="n">
        <v>0.4</v>
      </c>
      <c r="H318" t="n">
        <v>0</v>
      </c>
      <c r="I318" t="n">
        <v>0</v>
      </c>
      <c r="J318" t="n">
        <v>0</v>
      </c>
      <c r="K318" t="n">
        <v>0</v>
      </c>
      <c r="L318" t="n">
        <v>0</v>
      </c>
      <c r="M318" t="n">
        <v>0</v>
      </c>
      <c r="N318" t="n">
        <v>0</v>
      </c>
      <c r="O318" t="n">
        <v>0</v>
      </c>
      <c r="P318" t="n">
        <v>0</v>
      </c>
      <c r="Q318" t="n">
        <v>0</v>
      </c>
      <c r="R318" s="2" t="inlineStr"/>
    </row>
    <row r="319" ht="15" customHeight="1">
      <c r="A319" t="inlineStr">
        <is>
          <t>A 43419-2024</t>
        </is>
      </c>
      <c r="B319" s="1" t="n">
        <v>45568</v>
      </c>
      <c r="C319" s="1" t="n">
        <v>45886</v>
      </c>
      <c r="D319" t="inlineStr">
        <is>
          <t>DALARNAS LÄN</t>
        </is>
      </c>
      <c r="E319" t="inlineStr">
        <is>
          <t>LEKSAND</t>
        </is>
      </c>
      <c r="G319" t="n">
        <v>0.4</v>
      </c>
      <c r="H319" t="n">
        <v>0</v>
      </c>
      <c r="I319" t="n">
        <v>0</v>
      </c>
      <c r="J319" t="n">
        <v>0</v>
      </c>
      <c r="K319" t="n">
        <v>0</v>
      </c>
      <c r="L319" t="n">
        <v>0</v>
      </c>
      <c r="M319" t="n">
        <v>0</v>
      </c>
      <c r="N319" t="n">
        <v>0</v>
      </c>
      <c r="O319" t="n">
        <v>0</v>
      </c>
      <c r="P319" t="n">
        <v>0</v>
      </c>
      <c r="Q319" t="n">
        <v>0</v>
      </c>
      <c r="R319" s="2" t="inlineStr"/>
    </row>
    <row r="320" ht="15" customHeight="1">
      <c r="A320" t="inlineStr">
        <is>
          <t>A 26423-2025</t>
        </is>
      </c>
      <c r="B320" s="1" t="n">
        <v>45807.37829861111</v>
      </c>
      <c r="C320" s="1" t="n">
        <v>45886</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41896-2024</t>
        </is>
      </c>
      <c r="B321" s="1" t="n">
        <v>45561.51310185185</v>
      </c>
      <c r="C321" s="1" t="n">
        <v>45886</v>
      </c>
      <c r="D321" t="inlineStr">
        <is>
          <t>DALARNAS LÄN</t>
        </is>
      </c>
      <c r="E321" t="inlineStr">
        <is>
          <t>LEKSAND</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39595-2023</t>
        </is>
      </c>
      <c r="B322" s="1" t="n">
        <v>45167</v>
      </c>
      <c r="C322" s="1" t="n">
        <v>45886</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27323-2025</t>
        </is>
      </c>
      <c r="B323" s="1" t="n">
        <v>45812.60392361111</v>
      </c>
      <c r="C323" s="1" t="n">
        <v>45886</v>
      </c>
      <c r="D323" t="inlineStr">
        <is>
          <t>DALARNAS LÄN</t>
        </is>
      </c>
      <c r="E323" t="inlineStr">
        <is>
          <t>LEKSAND</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24481-2024</t>
        </is>
      </c>
      <c r="B324" s="1" t="n">
        <v>45459.36460648148</v>
      </c>
      <c r="C324" s="1" t="n">
        <v>45886</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17606-2024</t>
        </is>
      </c>
      <c r="B325" s="1" t="n">
        <v>45415</v>
      </c>
      <c r="C325" s="1" t="n">
        <v>45886</v>
      </c>
      <c r="D325" t="inlineStr">
        <is>
          <t>DALARNAS LÄN</t>
        </is>
      </c>
      <c r="E325" t="inlineStr">
        <is>
          <t>LEKSAND</t>
        </is>
      </c>
      <c r="G325" t="n">
        <v>0.6</v>
      </c>
      <c r="H325" t="n">
        <v>0</v>
      </c>
      <c r="I325" t="n">
        <v>0</v>
      </c>
      <c r="J325" t="n">
        <v>0</v>
      </c>
      <c r="K325" t="n">
        <v>0</v>
      </c>
      <c r="L325" t="n">
        <v>0</v>
      </c>
      <c r="M325" t="n">
        <v>0</v>
      </c>
      <c r="N325" t="n">
        <v>0</v>
      </c>
      <c r="O325" t="n">
        <v>0</v>
      </c>
      <c r="P325" t="n">
        <v>0</v>
      </c>
      <c r="Q325" t="n">
        <v>0</v>
      </c>
      <c r="R325" s="2" t="inlineStr"/>
    </row>
    <row r="326" ht="15" customHeight="1">
      <c r="A326" t="inlineStr">
        <is>
          <t>A 34033-2024</t>
        </is>
      </c>
      <c r="B326" s="1" t="n">
        <v>45523.59265046296</v>
      </c>
      <c r="C326" s="1" t="n">
        <v>45886</v>
      </c>
      <c r="D326" t="inlineStr">
        <is>
          <t>DALARNAS LÄN</t>
        </is>
      </c>
      <c r="E326" t="inlineStr">
        <is>
          <t>LEKSAND</t>
        </is>
      </c>
      <c r="G326" t="n">
        <v>2.6</v>
      </c>
      <c r="H326" t="n">
        <v>0</v>
      </c>
      <c r="I326" t="n">
        <v>0</v>
      </c>
      <c r="J326" t="n">
        <v>0</v>
      </c>
      <c r="K326" t="n">
        <v>0</v>
      </c>
      <c r="L326" t="n">
        <v>0</v>
      </c>
      <c r="M326" t="n">
        <v>0</v>
      </c>
      <c r="N326" t="n">
        <v>0</v>
      </c>
      <c r="O326" t="n">
        <v>0</v>
      </c>
      <c r="P326" t="n">
        <v>0</v>
      </c>
      <c r="Q326" t="n">
        <v>0</v>
      </c>
      <c r="R326" s="2" t="inlineStr"/>
    </row>
    <row r="327" ht="15" customHeight="1">
      <c r="A327" t="inlineStr">
        <is>
          <t>A 61054-2023</t>
        </is>
      </c>
      <c r="B327" s="1" t="n">
        <v>45261</v>
      </c>
      <c r="C327" s="1" t="n">
        <v>45886</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61056-2023</t>
        </is>
      </c>
      <c r="B328" s="1" t="n">
        <v>45261</v>
      </c>
      <c r="C328" s="1" t="n">
        <v>45886</v>
      </c>
      <c r="D328" t="inlineStr">
        <is>
          <t>DALARNAS LÄN</t>
        </is>
      </c>
      <c r="E328" t="inlineStr">
        <is>
          <t>LEKSAND</t>
        </is>
      </c>
      <c r="G328" t="n">
        <v>0.3</v>
      </c>
      <c r="H328" t="n">
        <v>0</v>
      </c>
      <c r="I328" t="n">
        <v>0</v>
      </c>
      <c r="J328" t="n">
        <v>0</v>
      </c>
      <c r="K328" t="n">
        <v>0</v>
      </c>
      <c r="L328" t="n">
        <v>0</v>
      </c>
      <c r="M328" t="n">
        <v>0</v>
      </c>
      <c r="N328" t="n">
        <v>0</v>
      </c>
      <c r="O328" t="n">
        <v>0</v>
      </c>
      <c r="P328" t="n">
        <v>0</v>
      </c>
      <c r="Q328" t="n">
        <v>0</v>
      </c>
      <c r="R328" s="2" t="inlineStr"/>
    </row>
    <row r="329" ht="15" customHeight="1">
      <c r="A329" t="inlineStr">
        <is>
          <t>A 40752-2024</t>
        </is>
      </c>
      <c r="B329" s="1" t="n">
        <v>45558.45638888889</v>
      </c>
      <c r="C329" s="1" t="n">
        <v>45886</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35094-2025</t>
        </is>
      </c>
      <c r="B330" s="1" t="n">
        <v>45852</v>
      </c>
      <c r="C330" s="1" t="n">
        <v>45886</v>
      </c>
      <c r="D330" t="inlineStr">
        <is>
          <t>DALARNAS LÄN</t>
        </is>
      </c>
      <c r="E330" t="inlineStr">
        <is>
          <t>LEKSAND</t>
        </is>
      </c>
      <c r="G330" t="n">
        <v>1.3</v>
      </c>
      <c r="H330" t="n">
        <v>0</v>
      </c>
      <c r="I330" t="n">
        <v>0</v>
      </c>
      <c r="J330" t="n">
        <v>0</v>
      </c>
      <c r="K330" t="n">
        <v>0</v>
      </c>
      <c r="L330" t="n">
        <v>0</v>
      </c>
      <c r="M330" t="n">
        <v>0</v>
      </c>
      <c r="N330" t="n">
        <v>0</v>
      </c>
      <c r="O330" t="n">
        <v>0</v>
      </c>
      <c r="P330" t="n">
        <v>0</v>
      </c>
      <c r="Q330" t="n">
        <v>0</v>
      </c>
      <c r="R330" s="2" t="inlineStr"/>
    </row>
    <row r="331" ht="15" customHeight="1">
      <c r="A331" t="inlineStr">
        <is>
          <t>A 27183-2025</t>
        </is>
      </c>
      <c r="B331" s="1" t="n">
        <v>45812.36097222222</v>
      </c>
      <c r="C331" s="1" t="n">
        <v>45886</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27262-2025</t>
        </is>
      </c>
      <c r="B332" s="1" t="n">
        <v>45812</v>
      </c>
      <c r="C332" s="1" t="n">
        <v>45886</v>
      </c>
      <c r="D332" t="inlineStr">
        <is>
          <t>DALARNAS LÄN</t>
        </is>
      </c>
      <c r="E332" t="inlineStr">
        <is>
          <t>LEKSAND</t>
        </is>
      </c>
      <c r="F332" t="inlineStr">
        <is>
          <t>Bergvik skog väst AB</t>
        </is>
      </c>
      <c r="G332" t="n">
        <v>7.7</v>
      </c>
      <c r="H332" t="n">
        <v>0</v>
      </c>
      <c r="I332" t="n">
        <v>0</v>
      </c>
      <c r="J332" t="n">
        <v>0</v>
      </c>
      <c r="K332" t="n">
        <v>0</v>
      </c>
      <c r="L332" t="n">
        <v>0</v>
      </c>
      <c r="M332" t="n">
        <v>0</v>
      </c>
      <c r="N332" t="n">
        <v>0</v>
      </c>
      <c r="O332" t="n">
        <v>0</v>
      </c>
      <c r="P332" t="n">
        <v>0</v>
      </c>
      <c r="Q332" t="n">
        <v>0</v>
      </c>
      <c r="R332" s="2" t="inlineStr"/>
    </row>
    <row r="333" ht="15" customHeight="1">
      <c r="A333" t="inlineStr">
        <is>
          <t>A 27329-2025</t>
        </is>
      </c>
      <c r="B333" s="1" t="n">
        <v>45812.60864583333</v>
      </c>
      <c r="C333" s="1" t="n">
        <v>45886</v>
      </c>
      <c r="D333" t="inlineStr">
        <is>
          <t>DALARNAS LÄN</t>
        </is>
      </c>
      <c r="E333" t="inlineStr">
        <is>
          <t>LEKSAND</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27332-2025</t>
        </is>
      </c>
      <c r="B334" s="1" t="n">
        <v>45812.61265046296</v>
      </c>
      <c r="C334" s="1" t="n">
        <v>45886</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27682-2025</t>
        </is>
      </c>
      <c r="B335" s="1" t="n">
        <v>45813.64782407408</v>
      </c>
      <c r="C335" s="1" t="n">
        <v>45886</v>
      </c>
      <c r="D335" t="inlineStr">
        <is>
          <t>DALARNAS LÄN</t>
        </is>
      </c>
      <c r="E335" t="inlineStr">
        <is>
          <t>LEKSAND</t>
        </is>
      </c>
      <c r="G335" t="n">
        <v>1.2</v>
      </c>
      <c r="H335" t="n">
        <v>0</v>
      </c>
      <c r="I335" t="n">
        <v>0</v>
      </c>
      <c r="J335" t="n">
        <v>0</v>
      </c>
      <c r="K335" t="n">
        <v>0</v>
      </c>
      <c r="L335" t="n">
        <v>0</v>
      </c>
      <c r="M335" t="n">
        <v>0</v>
      </c>
      <c r="N335" t="n">
        <v>0</v>
      </c>
      <c r="O335" t="n">
        <v>0</v>
      </c>
      <c r="P335" t="n">
        <v>0</v>
      </c>
      <c r="Q335" t="n">
        <v>0</v>
      </c>
      <c r="R335" s="2" t="inlineStr"/>
    </row>
    <row r="336" ht="15" customHeight="1">
      <c r="A336" t="inlineStr">
        <is>
          <t>A 27705-2025</t>
        </is>
      </c>
      <c r="B336" s="1" t="n">
        <v>45813</v>
      </c>
      <c r="C336" s="1" t="n">
        <v>45886</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58244-2024</t>
        </is>
      </c>
      <c r="B337" s="1" t="n">
        <v>45631</v>
      </c>
      <c r="C337" s="1" t="n">
        <v>45886</v>
      </c>
      <c r="D337" t="inlineStr">
        <is>
          <t>DALARNAS LÄN</t>
        </is>
      </c>
      <c r="E337" t="inlineStr">
        <is>
          <t>LEKSAND</t>
        </is>
      </c>
      <c r="G337" t="n">
        <v>1.9</v>
      </c>
      <c r="H337" t="n">
        <v>0</v>
      </c>
      <c r="I337" t="n">
        <v>0</v>
      </c>
      <c r="J337" t="n">
        <v>0</v>
      </c>
      <c r="K337" t="n">
        <v>0</v>
      </c>
      <c r="L337" t="n">
        <v>0</v>
      </c>
      <c r="M337" t="n">
        <v>0</v>
      </c>
      <c r="N337" t="n">
        <v>0</v>
      </c>
      <c r="O337" t="n">
        <v>0</v>
      </c>
      <c r="P337" t="n">
        <v>0</v>
      </c>
      <c r="Q337" t="n">
        <v>0</v>
      </c>
      <c r="R337" s="2" t="inlineStr"/>
    </row>
    <row r="338" ht="15" customHeight="1">
      <c r="A338" t="inlineStr">
        <is>
          <t>A 62161-2024</t>
        </is>
      </c>
      <c r="B338" s="1" t="n">
        <v>45656.86009259259</v>
      </c>
      <c r="C338" s="1" t="n">
        <v>45886</v>
      </c>
      <c r="D338" t="inlineStr">
        <is>
          <t>DALARNAS LÄN</t>
        </is>
      </c>
      <c r="E338" t="inlineStr">
        <is>
          <t>LEKSAND</t>
        </is>
      </c>
      <c r="G338" t="n">
        <v>2</v>
      </c>
      <c r="H338" t="n">
        <v>0</v>
      </c>
      <c r="I338" t="n">
        <v>0</v>
      </c>
      <c r="J338" t="n">
        <v>0</v>
      </c>
      <c r="K338" t="n">
        <v>0</v>
      </c>
      <c r="L338" t="n">
        <v>0</v>
      </c>
      <c r="M338" t="n">
        <v>0</v>
      </c>
      <c r="N338" t="n">
        <v>0</v>
      </c>
      <c r="O338" t="n">
        <v>0</v>
      </c>
      <c r="P338" t="n">
        <v>0</v>
      </c>
      <c r="Q338" t="n">
        <v>0</v>
      </c>
      <c r="R338" s="2" t="inlineStr"/>
    </row>
    <row r="339" ht="15" customHeight="1">
      <c r="A339" t="inlineStr">
        <is>
          <t>A 27680-2025</t>
        </is>
      </c>
      <c r="B339" s="1" t="n">
        <v>45813.64618055556</v>
      </c>
      <c r="C339" s="1" t="n">
        <v>45886</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11606-2025</t>
        </is>
      </c>
      <c r="B340" s="1" t="n">
        <v>45727</v>
      </c>
      <c r="C340" s="1" t="n">
        <v>45886</v>
      </c>
      <c r="D340" t="inlineStr">
        <is>
          <t>DALARNAS LÄN</t>
        </is>
      </c>
      <c r="E340" t="inlineStr">
        <is>
          <t>LEKSAND</t>
        </is>
      </c>
      <c r="G340" t="n">
        <v>2.3</v>
      </c>
      <c r="H340" t="n">
        <v>0</v>
      </c>
      <c r="I340" t="n">
        <v>0</v>
      </c>
      <c r="J340" t="n">
        <v>0</v>
      </c>
      <c r="K340" t="n">
        <v>0</v>
      </c>
      <c r="L340" t="n">
        <v>0</v>
      </c>
      <c r="M340" t="n">
        <v>0</v>
      </c>
      <c r="N340" t="n">
        <v>0</v>
      </c>
      <c r="O340" t="n">
        <v>0</v>
      </c>
      <c r="P340" t="n">
        <v>0</v>
      </c>
      <c r="Q340" t="n">
        <v>0</v>
      </c>
      <c r="R340" s="2" t="inlineStr"/>
    </row>
    <row r="341" ht="15" customHeight="1">
      <c r="A341" t="inlineStr">
        <is>
          <t>A 7894-2025</t>
        </is>
      </c>
      <c r="B341" s="1" t="n">
        <v>45707.30268518518</v>
      </c>
      <c r="C341" s="1" t="n">
        <v>45886</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21954-2023</t>
        </is>
      </c>
      <c r="B342" s="1" t="n">
        <v>45068</v>
      </c>
      <c r="C342" s="1" t="n">
        <v>45886</v>
      </c>
      <c r="D342" t="inlineStr">
        <is>
          <t>DALARNAS LÄN</t>
        </is>
      </c>
      <c r="E342" t="inlineStr">
        <is>
          <t>LEKSAND</t>
        </is>
      </c>
      <c r="G342" t="n">
        <v>0.8</v>
      </c>
      <c r="H342" t="n">
        <v>0</v>
      </c>
      <c r="I342" t="n">
        <v>0</v>
      </c>
      <c r="J342" t="n">
        <v>0</v>
      </c>
      <c r="K342" t="n">
        <v>0</v>
      </c>
      <c r="L342" t="n">
        <v>0</v>
      </c>
      <c r="M342" t="n">
        <v>0</v>
      </c>
      <c r="N342" t="n">
        <v>0</v>
      </c>
      <c r="O342" t="n">
        <v>0</v>
      </c>
      <c r="P342" t="n">
        <v>0</v>
      </c>
      <c r="Q342" t="n">
        <v>0</v>
      </c>
      <c r="R342" s="2" t="inlineStr"/>
    </row>
    <row r="343" ht="15" customHeight="1">
      <c r="A343" t="inlineStr">
        <is>
          <t>A 58877-2023</t>
        </is>
      </c>
      <c r="B343" s="1" t="n">
        <v>45252</v>
      </c>
      <c r="C343" s="1" t="n">
        <v>45886</v>
      </c>
      <c r="D343" t="inlineStr">
        <is>
          <t>DALARNAS LÄN</t>
        </is>
      </c>
      <c r="E343" t="inlineStr">
        <is>
          <t>LEKSAND</t>
        </is>
      </c>
      <c r="G343" t="n">
        <v>1.9</v>
      </c>
      <c r="H343" t="n">
        <v>0</v>
      </c>
      <c r="I343" t="n">
        <v>0</v>
      </c>
      <c r="J343" t="n">
        <v>0</v>
      </c>
      <c r="K343" t="n">
        <v>0</v>
      </c>
      <c r="L343" t="n">
        <v>0</v>
      </c>
      <c r="M343" t="n">
        <v>0</v>
      </c>
      <c r="N343" t="n">
        <v>0</v>
      </c>
      <c r="O343" t="n">
        <v>0</v>
      </c>
      <c r="P343" t="n">
        <v>0</v>
      </c>
      <c r="Q343" t="n">
        <v>0</v>
      </c>
      <c r="R343" s="2" t="inlineStr"/>
    </row>
    <row r="344" ht="15" customHeight="1">
      <c r="A344" t="inlineStr">
        <is>
          <t>A 17455-2022</t>
        </is>
      </c>
      <c r="B344" s="1" t="n">
        <v>44679.3775</v>
      </c>
      <c r="C344" s="1" t="n">
        <v>45886</v>
      </c>
      <c r="D344" t="inlineStr">
        <is>
          <t>DALARNAS LÄN</t>
        </is>
      </c>
      <c r="E344" t="inlineStr">
        <is>
          <t>LEKSAND</t>
        </is>
      </c>
      <c r="F344" t="inlineStr">
        <is>
          <t>Bergvik skog väst AB</t>
        </is>
      </c>
      <c r="G344" t="n">
        <v>1.8</v>
      </c>
      <c r="H344" t="n">
        <v>0</v>
      </c>
      <c r="I344" t="n">
        <v>0</v>
      </c>
      <c r="J344" t="n">
        <v>0</v>
      </c>
      <c r="K344" t="n">
        <v>0</v>
      </c>
      <c r="L344" t="n">
        <v>0</v>
      </c>
      <c r="M344" t="n">
        <v>0</v>
      </c>
      <c r="N344" t="n">
        <v>0</v>
      </c>
      <c r="O344" t="n">
        <v>0</v>
      </c>
      <c r="P344" t="n">
        <v>0</v>
      </c>
      <c r="Q344" t="n">
        <v>0</v>
      </c>
      <c r="R344" s="2" t="inlineStr"/>
    </row>
    <row r="345" ht="15" customHeight="1">
      <c r="A345" t="inlineStr">
        <is>
          <t>A 8743-2023</t>
        </is>
      </c>
      <c r="B345" s="1" t="n">
        <v>44978</v>
      </c>
      <c r="C345" s="1" t="n">
        <v>45886</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63544-2023</t>
        </is>
      </c>
      <c r="B346" s="1" t="n">
        <v>45275</v>
      </c>
      <c r="C346" s="1" t="n">
        <v>45886</v>
      </c>
      <c r="D346" t="inlineStr">
        <is>
          <t>DALARNAS LÄN</t>
        </is>
      </c>
      <c r="E346" t="inlineStr">
        <is>
          <t>LEKSAND</t>
        </is>
      </c>
      <c r="G346" t="n">
        <v>0.3</v>
      </c>
      <c r="H346" t="n">
        <v>0</v>
      </c>
      <c r="I346" t="n">
        <v>0</v>
      </c>
      <c r="J346" t="n">
        <v>0</v>
      </c>
      <c r="K346" t="n">
        <v>0</v>
      </c>
      <c r="L346" t="n">
        <v>0</v>
      </c>
      <c r="M346" t="n">
        <v>0</v>
      </c>
      <c r="N346" t="n">
        <v>0</v>
      </c>
      <c r="O346" t="n">
        <v>0</v>
      </c>
      <c r="P346" t="n">
        <v>0</v>
      </c>
      <c r="Q346" t="n">
        <v>0</v>
      </c>
      <c r="R346" s="2" t="inlineStr"/>
    </row>
    <row r="347" ht="15" customHeight="1">
      <c r="A347" t="inlineStr">
        <is>
          <t>A 28483-2025</t>
        </is>
      </c>
      <c r="B347" s="1" t="n">
        <v>45818</v>
      </c>
      <c r="C347" s="1" t="n">
        <v>45886</v>
      </c>
      <c r="D347" t="inlineStr">
        <is>
          <t>DALARNAS LÄN</t>
        </is>
      </c>
      <c r="E347" t="inlineStr">
        <is>
          <t>LEKSAND</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60040-2023</t>
        </is>
      </c>
      <c r="B348" s="1" t="n">
        <v>45256</v>
      </c>
      <c r="C348" s="1" t="n">
        <v>45886</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33306-2023</t>
        </is>
      </c>
      <c r="B349" s="1" t="n">
        <v>45127</v>
      </c>
      <c r="C349" s="1" t="n">
        <v>45886</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33316-2023</t>
        </is>
      </c>
      <c r="B350" s="1" t="n">
        <v>45127</v>
      </c>
      <c r="C350" s="1" t="n">
        <v>45886</v>
      </c>
      <c r="D350" t="inlineStr">
        <is>
          <t>DALARNAS LÄN</t>
        </is>
      </c>
      <c r="E350" t="inlineStr">
        <is>
          <t>LEKSAND</t>
        </is>
      </c>
      <c r="G350" t="n">
        <v>8.9</v>
      </c>
      <c r="H350" t="n">
        <v>0</v>
      </c>
      <c r="I350" t="n">
        <v>0</v>
      </c>
      <c r="J350" t="n">
        <v>0</v>
      </c>
      <c r="K350" t="n">
        <v>0</v>
      </c>
      <c r="L350" t="n">
        <v>0</v>
      </c>
      <c r="M350" t="n">
        <v>0</v>
      </c>
      <c r="N350" t="n">
        <v>0</v>
      </c>
      <c r="O350" t="n">
        <v>0</v>
      </c>
      <c r="P350" t="n">
        <v>0</v>
      </c>
      <c r="Q350" t="n">
        <v>0</v>
      </c>
      <c r="R350" s="2" t="inlineStr"/>
    </row>
    <row r="351" ht="15" customHeight="1">
      <c r="A351" t="inlineStr">
        <is>
          <t>A 28505-2025</t>
        </is>
      </c>
      <c r="B351" s="1" t="n">
        <v>45818</v>
      </c>
      <c r="C351" s="1" t="n">
        <v>45886</v>
      </c>
      <c r="D351" t="inlineStr">
        <is>
          <t>DALARNAS LÄN</t>
        </is>
      </c>
      <c r="E351" t="inlineStr">
        <is>
          <t>LEKSAND</t>
        </is>
      </c>
      <c r="G351" t="n">
        <v>0.8</v>
      </c>
      <c r="H351" t="n">
        <v>0</v>
      </c>
      <c r="I351" t="n">
        <v>0</v>
      </c>
      <c r="J351" t="n">
        <v>0</v>
      </c>
      <c r="K351" t="n">
        <v>0</v>
      </c>
      <c r="L351" t="n">
        <v>0</v>
      </c>
      <c r="M351" t="n">
        <v>0</v>
      </c>
      <c r="N351" t="n">
        <v>0</v>
      </c>
      <c r="O351" t="n">
        <v>0</v>
      </c>
      <c r="P351" t="n">
        <v>0</v>
      </c>
      <c r="Q351" t="n">
        <v>0</v>
      </c>
      <c r="R351" s="2" t="inlineStr"/>
    </row>
    <row r="352" ht="15" customHeight="1">
      <c r="A352" t="inlineStr">
        <is>
          <t>A 28499-2025</t>
        </is>
      </c>
      <c r="B352" s="1" t="n">
        <v>45818</v>
      </c>
      <c r="C352" s="1" t="n">
        <v>45886</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27984-2025</t>
        </is>
      </c>
      <c r="B353" s="1" t="n">
        <v>45817.57710648148</v>
      </c>
      <c r="C353" s="1" t="n">
        <v>45886</v>
      </c>
      <c r="D353" t="inlineStr">
        <is>
          <t>DALARNAS LÄN</t>
        </is>
      </c>
      <c r="E353" t="inlineStr">
        <is>
          <t>LEKSAND</t>
        </is>
      </c>
      <c r="G353" t="n">
        <v>0.7</v>
      </c>
      <c r="H353" t="n">
        <v>0</v>
      </c>
      <c r="I353" t="n">
        <v>0</v>
      </c>
      <c r="J353" t="n">
        <v>0</v>
      </c>
      <c r="K353" t="n">
        <v>0</v>
      </c>
      <c r="L353" t="n">
        <v>0</v>
      </c>
      <c r="M353" t="n">
        <v>0</v>
      </c>
      <c r="N353" t="n">
        <v>0</v>
      </c>
      <c r="O353" t="n">
        <v>0</v>
      </c>
      <c r="P353" t="n">
        <v>0</v>
      </c>
      <c r="Q353" t="n">
        <v>0</v>
      </c>
      <c r="R353" s="2" t="inlineStr"/>
    </row>
    <row r="354" ht="15" customHeight="1">
      <c r="A354" t="inlineStr">
        <is>
          <t>A 28488-2025</t>
        </is>
      </c>
      <c r="B354" s="1" t="n">
        <v>45818</v>
      </c>
      <c r="C354" s="1" t="n">
        <v>45886</v>
      </c>
      <c r="D354" t="inlineStr">
        <is>
          <t>DALARNAS LÄN</t>
        </is>
      </c>
      <c r="E354" t="inlineStr">
        <is>
          <t>LEKSAND</t>
        </is>
      </c>
      <c r="G354" t="n">
        <v>1.1</v>
      </c>
      <c r="H354" t="n">
        <v>0</v>
      </c>
      <c r="I354" t="n">
        <v>0</v>
      </c>
      <c r="J354" t="n">
        <v>0</v>
      </c>
      <c r="K354" t="n">
        <v>0</v>
      </c>
      <c r="L354" t="n">
        <v>0</v>
      </c>
      <c r="M354" t="n">
        <v>0</v>
      </c>
      <c r="N354" t="n">
        <v>0</v>
      </c>
      <c r="O354" t="n">
        <v>0</v>
      </c>
      <c r="P354" t="n">
        <v>0</v>
      </c>
      <c r="Q354" t="n">
        <v>0</v>
      </c>
      <c r="R354" s="2" t="inlineStr"/>
    </row>
    <row r="355" ht="15" customHeight="1">
      <c r="A355" t="inlineStr">
        <is>
          <t>A 35746-2025</t>
        </is>
      </c>
      <c r="B355" s="1" t="n">
        <v>45860.55237268518</v>
      </c>
      <c r="C355" s="1" t="n">
        <v>45886</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22681-2022</t>
        </is>
      </c>
      <c r="B356" s="1" t="n">
        <v>44714.50961805556</v>
      </c>
      <c r="C356" s="1" t="n">
        <v>45886</v>
      </c>
      <c r="D356" t="inlineStr">
        <is>
          <t>DALARNAS LÄN</t>
        </is>
      </c>
      <c r="E356" t="inlineStr">
        <is>
          <t>LEKSAND</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28032-2024</t>
        </is>
      </c>
      <c r="B357" s="1" t="n">
        <v>45476.49346064815</v>
      </c>
      <c r="C357" s="1" t="n">
        <v>45886</v>
      </c>
      <c r="D357" t="inlineStr">
        <is>
          <t>DALARNAS LÄN</t>
        </is>
      </c>
      <c r="E357" t="inlineStr">
        <is>
          <t>LEKSAND</t>
        </is>
      </c>
      <c r="G357" t="n">
        <v>2</v>
      </c>
      <c r="H357" t="n">
        <v>0</v>
      </c>
      <c r="I357" t="n">
        <v>0</v>
      </c>
      <c r="J357" t="n">
        <v>0</v>
      </c>
      <c r="K357" t="n">
        <v>0</v>
      </c>
      <c r="L357" t="n">
        <v>0</v>
      </c>
      <c r="M357" t="n">
        <v>0</v>
      </c>
      <c r="N357" t="n">
        <v>0</v>
      </c>
      <c r="O357" t="n">
        <v>0</v>
      </c>
      <c r="P357" t="n">
        <v>0</v>
      </c>
      <c r="Q357" t="n">
        <v>0</v>
      </c>
      <c r="R357" s="2" t="inlineStr"/>
    </row>
    <row r="358" ht="15" customHeight="1">
      <c r="A358" t="inlineStr">
        <is>
          <t>A 19550-2023</t>
        </is>
      </c>
      <c r="B358" s="1" t="n">
        <v>45049</v>
      </c>
      <c r="C358" s="1" t="n">
        <v>45886</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33593-2024</t>
        </is>
      </c>
      <c r="B359" s="1" t="n">
        <v>45520.36055555556</v>
      </c>
      <c r="C359" s="1" t="n">
        <v>45886</v>
      </c>
      <c r="D359" t="inlineStr">
        <is>
          <t>DALARNAS LÄN</t>
        </is>
      </c>
      <c r="E359" t="inlineStr">
        <is>
          <t>LEKSAND</t>
        </is>
      </c>
      <c r="G359" t="n">
        <v>0.3</v>
      </c>
      <c r="H359" t="n">
        <v>0</v>
      </c>
      <c r="I359" t="n">
        <v>0</v>
      </c>
      <c r="J359" t="n">
        <v>0</v>
      </c>
      <c r="K359" t="n">
        <v>0</v>
      </c>
      <c r="L359" t="n">
        <v>0</v>
      </c>
      <c r="M359" t="n">
        <v>0</v>
      </c>
      <c r="N359" t="n">
        <v>0</v>
      </c>
      <c r="O359" t="n">
        <v>0</v>
      </c>
      <c r="P359" t="n">
        <v>0</v>
      </c>
      <c r="Q359" t="n">
        <v>0</v>
      </c>
      <c r="R359" s="2" t="inlineStr"/>
    </row>
    <row r="360" ht="15" customHeight="1">
      <c r="A360" t="inlineStr">
        <is>
          <t>A 47203-2023</t>
        </is>
      </c>
      <c r="B360" s="1" t="n">
        <v>45202</v>
      </c>
      <c r="C360" s="1" t="n">
        <v>45886</v>
      </c>
      <c r="D360" t="inlineStr">
        <is>
          <t>DALARNAS LÄN</t>
        </is>
      </c>
      <c r="E360" t="inlineStr">
        <is>
          <t>LEKSAND</t>
        </is>
      </c>
      <c r="G360" t="n">
        <v>2.1</v>
      </c>
      <c r="H360" t="n">
        <v>0</v>
      </c>
      <c r="I360" t="n">
        <v>0</v>
      </c>
      <c r="J360" t="n">
        <v>0</v>
      </c>
      <c r="K360" t="n">
        <v>0</v>
      </c>
      <c r="L360" t="n">
        <v>0</v>
      </c>
      <c r="M360" t="n">
        <v>0</v>
      </c>
      <c r="N360" t="n">
        <v>0</v>
      </c>
      <c r="O360" t="n">
        <v>0</v>
      </c>
      <c r="P360" t="n">
        <v>0</v>
      </c>
      <c r="Q360" t="n">
        <v>0</v>
      </c>
      <c r="R360" s="2" t="inlineStr"/>
    </row>
    <row r="361" ht="15" customHeight="1">
      <c r="A361" t="inlineStr">
        <is>
          <t>A 9105-2024</t>
        </is>
      </c>
      <c r="B361" s="1" t="n">
        <v>45357</v>
      </c>
      <c r="C361" s="1" t="n">
        <v>45886</v>
      </c>
      <c r="D361" t="inlineStr">
        <is>
          <t>DALARNAS LÄN</t>
        </is>
      </c>
      <c r="E361" t="inlineStr">
        <is>
          <t>LEKSAND</t>
        </is>
      </c>
      <c r="G361" t="n">
        <v>1.2</v>
      </c>
      <c r="H361" t="n">
        <v>0</v>
      </c>
      <c r="I361" t="n">
        <v>0</v>
      </c>
      <c r="J361" t="n">
        <v>0</v>
      </c>
      <c r="K361" t="n">
        <v>0</v>
      </c>
      <c r="L361" t="n">
        <v>0</v>
      </c>
      <c r="M361" t="n">
        <v>0</v>
      </c>
      <c r="N361" t="n">
        <v>0</v>
      </c>
      <c r="O361" t="n">
        <v>0</v>
      </c>
      <c r="P361" t="n">
        <v>0</v>
      </c>
      <c r="Q361" t="n">
        <v>0</v>
      </c>
      <c r="R361" s="2" t="inlineStr"/>
    </row>
    <row r="362" ht="15" customHeight="1">
      <c r="A362" t="inlineStr">
        <is>
          <t>A 50447-2023</t>
        </is>
      </c>
      <c r="B362" s="1" t="n">
        <v>45216.72185185185</v>
      </c>
      <c r="C362" s="1" t="n">
        <v>45886</v>
      </c>
      <c r="D362" t="inlineStr">
        <is>
          <t>DALARNAS LÄN</t>
        </is>
      </c>
      <c r="E362" t="inlineStr">
        <is>
          <t>LEKSAND</t>
        </is>
      </c>
      <c r="G362" t="n">
        <v>1.1</v>
      </c>
      <c r="H362" t="n">
        <v>0</v>
      </c>
      <c r="I362" t="n">
        <v>0</v>
      </c>
      <c r="J362" t="n">
        <v>0</v>
      </c>
      <c r="K362" t="n">
        <v>0</v>
      </c>
      <c r="L362" t="n">
        <v>0</v>
      </c>
      <c r="M362" t="n">
        <v>0</v>
      </c>
      <c r="N362" t="n">
        <v>0</v>
      </c>
      <c r="O362" t="n">
        <v>0</v>
      </c>
      <c r="P362" t="n">
        <v>0</v>
      </c>
      <c r="Q362" t="n">
        <v>0</v>
      </c>
      <c r="R362" s="2" t="inlineStr"/>
    </row>
    <row r="363" ht="15" customHeight="1">
      <c r="A363" t="inlineStr">
        <is>
          <t>A 30196-2023</t>
        </is>
      </c>
      <c r="B363" s="1" t="n">
        <v>45110</v>
      </c>
      <c r="C363" s="1" t="n">
        <v>45886</v>
      </c>
      <c r="D363" t="inlineStr">
        <is>
          <t>DALARNAS LÄN</t>
        </is>
      </c>
      <c r="E363" t="inlineStr">
        <is>
          <t>LEKSAND</t>
        </is>
      </c>
      <c r="G363" t="n">
        <v>1.2</v>
      </c>
      <c r="H363" t="n">
        <v>0</v>
      </c>
      <c r="I363" t="n">
        <v>0</v>
      </c>
      <c r="J363" t="n">
        <v>0</v>
      </c>
      <c r="K363" t="n">
        <v>0</v>
      </c>
      <c r="L363" t="n">
        <v>0</v>
      </c>
      <c r="M363" t="n">
        <v>0</v>
      </c>
      <c r="N363" t="n">
        <v>0</v>
      </c>
      <c r="O363" t="n">
        <v>0</v>
      </c>
      <c r="P363" t="n">
        <v>0</v>
      </c>
      <c r="Q363" t="n">
        <v>0</v>
      </c>
      <c r="R363" s="2" t="inlineStr"/>
    </row>
    <row r="364" ht="15" customHeight="1">
      <c r="A364" t="inlineStr">
        <is>
          <t>A 60945-2024</t>
        </is>
      </c>
      <c r="B364" s="1" t="n">
        <v>45645.37893518519</v>
      </c>
      <c r="C364" s="1" t="n">
        <v>45886</v>
      </c>
      <c r="D364" t="inlineStr">
        <is>
          <t>DALARNAS LÄN</t>
        </is>
      </c>
      <c r="E364" t="inlineStr">
        <is>
          <t>LEKSAND</t>
        </is>
      </c>
      <c r="G364" t="n">
        <v>2.2</v>
      </c>
      <c r="H364" t="n">
        <v>0</v>
      </c>
      <c r="I364" t="n">
        <v>0</v>
      </c>
      <c r="J364" t="n">
        <v>0</v>
      </c>
      <c r="K364" t="n">
        <v>0</v>
      </c>
      <c r="L364" t="n">
        <v>0</v>
      </c>
      <c r="M364" t="n">
        <v>0</v>
      </c>
      <c r="N364" t="n">
        <v>0</v>
      </c>
      <c r="O364" t="n">
        <v>0</v>
      </c>
      <c r="P364" t="n">
        <v>0</v>
      </c>
      <c r="Q364" t="n">
        <v>0</v>
      </c>
      <c r="R364" s="2" t="inlineStr"/>
    </row>
    <row r="365" ht="15" customHeight="1">
      <c r="A365" t="inlineStr">
        <is>
          <t>A 46446-2023</t>
        </is>
      </c>
      <c r="B365" s="1" t="n">
        <v>45197.59344907408</v>
      </c>
      <c r="C365" s="1" t="n">
        <v>45886</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28770-2025</t>
        </is>
      </c>
      <c r="B366" s="1" t="n">
        <v>45820</v>
      </c>
      <c r="C366" s="1" t="n">
        <v>45886</v>
      </c>
      <c r="D366" t="inlineStr">
        <is>
          <t>DALARNAS LÄN</t>
        </is>
      </c>
      <c r="E366" t="inlineStr">
        <is>
          <t>LEKSAND</t>
        </is>
      </c>
      <c r="G366" t="n">
        <v>0.7</v>
      </c>
      <c r="H366" t="n">
        <v>0</v>
      </c>
      <c r="I366" t="n">
        <v>0</v>
      </c>
      <c r="J366" t="n">
        <v>0</v>
      </c>
      <c r="K366" t="n">
        <v>0</v>
      </c>
      <c r="L366" t="n">
        <v>0</v>
      </c>
      <c r="M366" t="n">
        <v>0</v>
      </c>
      <c r="N366" t="n">
        <v>0</v>
      </c>
      <c r="O366" t="n">
        <v>0</v>
      </c>
      <c r="P366" t="n">
        <v>0</v>
      </c>
      <c r="Q366" t="n">
        <v>0</v>
      </c>
      <c r="R366" s="2" t="inlineStr"/>
    </row>
    <row r="367" ht="15" customHeight="1">
      <c r="A367" t="inlineStr">
        <is>
          <t>A 28458-2025</t>
        </is>
      </c>
      <c r="B367" s="1" t="n">
        <v>45819.413125</v>
      </c>
      <c r="C367" s="1" t="n">
        <v>45886</v>
      </c>
      <c r="D367" t="inlineStr">
        <is>
          <t>DALARNAS LÄN</t>
        </is>
      </c>
      <c r="E367" t="inlineStr">
        <is>
          <t>LEKSAND</t>
        </is>
      </c>
      <c r="G367" t="n">
        <v>3</v>
      </c>
      <c r="H367" t="n">
        <v>0</v>
      </c>
      <c r="I367" t="n">
        <v>0</v>
      </c>
      <c r="J367" t="n">
        <v>0</v>
      </c>
      <c r="K367" t="n">
        <v>0</v>
      </c>
      <c r="L367" t="n">
        <v>0</v>
      </c>
      <c r="M367" t="n">
        <v>0</v>
      </c>
      <c r="N367" t="n">
        <v>0</v>
      </c>
      <c r="O367" t="n">
        <v>0</v>
      </c>
      <c r="P367" t="n">
        <v>0</v>
      </c>
      <c r="Q367" t="n">
        <v>0</v>
      </c>
      <c r="R367" s="2" t="inlineStr"/>
    </row>
    <row r="368" ht="15" customHeight="1">
      <c r="A368" t="inlineStr">
        <is>
          <t>A 61787-2022</t>
        </is>
      </c>
      <c r="B368" s="1" t="n">
        <v>44917</v>
      </c>
      <c r="C368" s="1" t="n">
        <v>45886</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28913-2024</t>
        </is>
      </c>
      <c r="B369" s="1" t="n">
        <v>45480.75318287037</v>
      </c>
      <c r="C369" s="1" t="n">
        <v>45886</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29005-2025</t>
        </is>
      </c>
      <c r="B370" s="1" t="n">
        <v>45821.39326388889</v>
      </c>
      <c r="C370" s="1" t="n">
        <v>45886</v>
      </c>
      <c r="D370" t="inlineStr">
        <is>
          <t>DALARNAS LÄN</t>
        </is>
      </c>
      <c r="E370" t="inlineStr">
        <is>
          <t>LEKSAND</t>
        </is>
      </c>
      <c r="G370" t="n">
        <v>2.1</v>
      </c>
      <c r="H370" t="n">
        <v>0</v>
      </c>
      <c r="I370" t="n">
        <v>0</v>
      </c>
      <c r="J370" t="n">
        <v>0</v>
      </c>
      <c r="K370" t="n">
        <v>0</v>
      </c>
      <c r="L370" t="n">
        <v>0</v>
      </c>
      <c r="M370" t="n">
        <v>0</v>
      </c>
      <c r="N370" t="n">
        <v>0</v>
      </c>
      <c r="O370" t="n">
        <v>0</v>
      </c>
      <c r="P370" t="n">
        <v>0</v>
      </c>
      <c r="Q370" t="n">
        <v>0</v>
      </c>
      <c r="R370" s="2" t="inlineStr"/>
    </row>
    <row r="371" ht="15" customHeight="1">
      <c r="A371" t="inlineStr">
        <is>
          <t>A 54682-2023</t>
        </is>
      </c>
      <c r="B371" s="1" t="n">
        <v>45235.90439814814</v>
      </c>
      <c r="C371" s="1" t="n">
        <v>45886</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18049-2025</t>
        </is>
      </c>
      <c r="B372" s="1" t="n">
        <v>45761.46743055555</v>
      </c>
      <c r="C372" s="1" t="n">
        <v>45886</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28985-2025</t>
        </is>
      </c>
      <c r="B373" s="1" t="n">
        <v>45821.36862268519</v>
      </c>
      <c r="C373" s="1" t="n">
        <v>45886</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1463-2024</t>
        </is>
      </c>
      <c r="B374" s="1" t="n">
        <v>45303</v>
      </c>
      <c r="C374" s="1" t="n">
        <v>45886</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35998-2025</t>
        </is>
      </c>
      <c r="B375" s="1" t="n">
        <v>45863.51550925926</v>
      </c>
      <c r="C375" s="1" t="n">
        <v>45886</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39921-2024</t>
        </is>
      </c>
      <c r="B376" s="1" t="n">
        <v>45553</v>
      </c>
      <c r="C376" s="1" t="n">
        <v>45886</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41015-2024</t>
        </is>
      </c>
      <c r="B377" s="1" t="n">
        <v>45559.32537037037</v>
      </c>
      <c r="C377" s="1" t="n">
        <v>45886</v>
      </c>
      <c r="D377" t="inlineStr">
        <is>
          <t>DALARNAS LÄN</t>
        </is>
      </c>
      <c r="E377" t="inlineStr">
        <is>
          <t>LEKSAND</t>
        </is>
      </c>
      <c r="G377" t="n">
        <v>1.6</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45886</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27791-2023</t>
        </is>
      </c>
      <c r="B379" s="1" t="n">
        <v>45098</v>
      </c>
      <c r="C379" s="1" t="n">
        <v>45886</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36190-2025</t>
        </is>
      </c>
      <c r="B380" s="1" t="n">
        <v>45867</v>
      </c>
      <c r="C380" s="1" t="n">
        <v>45886</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30000-2023</t>
        </is>
      </c>
      <c r="B381" s="1" t="n">
        <v>45109.71128472222</v>
      </c>
      <c r="C381" s="1" t="n">
        <v>45886</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14504-2025</t>
        </is>
      </c>
      <c r="B382" s="1" t="n">
        <v>45741</v>
      </c>
      <c r="C382" s="1" t="n">
        <v>45886</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29729-2025</t>
        </is>
      </c>
      <c r="B383" s="1" t="n">
        <v>45825.58077546296</v>
      </c>
      <c r="C383" s="1" t="n">
        <v>45886</v>
      </c>
      <c r="D383" t="inlineStr">
        <is>
          <t>DALARNAS LÄN</t>
        </is>
      </c>
      <c r="E383" t="inlineStr">
        <is>
          <t>LEKSAND</t>
        </is>
      </c>
      <c r="F383" t="inlineStr">
        <is>
          <t>Bergvik skog väst AB</t>
        </is>
      </c>
      <c r="G383" t="n">
        <v>4.3</v>
      </c>
      <c r="H383" t="n">
        <v>0</v>
      </c>
      <c r="I383" t="n">
        <v>0</v>
      </c>
      <c r="J383" t="n">
        <v>0</v>
      </c>
      <c r="K383" t="n">
        <v>0</v>
      </c>
      <c r="L383" t="n">
        <v>0</v>
      </c>
      <c r="M383" t="n">
        <v>0</v>
      </c>
      <c r="N383" t="n">
        <v>0</v>
      </c>
      <c r="O383" t="n">
        <v>0</v>
      </c>
      <c r="P383" t="n">
        <v>0</v>
      </c>
      <c r="Q383" t="n">
        <v>0</v>
      </c>
      <c r="R383" s="2" t="inlineStr"/>
    </row>
    <row r="384" ht="15" customHeight="1">
      <c r="A384" t="inlineStr">
        <is>
          <t>A 17282-2025</t>
        </is>
      </c>
      <c r="B384" s="1" t="n">
        <v>45756.57114583333</v>
      </c>
      <c r="C384" s="1" t="n">
        <v>45886</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12923-2025</t>
        </is>
      </c>
      <c r="B385" s="1" t="n">
        <v>45734.29193287037</v>
      </c>
      <c r="C385" s="1" t="n">
        <v>45886</v>
      </c>
      <c r="D385" t="inlineStr">
        <is>
          <t>DALARNAS LÄN</t>
        </is>
      </c>
      <c r="E385" t="inlineStr">
        <is>
          <t>LEKSAND</t>
        </is>
      </c>
      <c r="G385" t="n">
        <v>7.2</v>
      </c>
      <c r="H385" t="n">
        <v>0</v>
      </c>
      <c r="I385" t="n">
        <v>0</v>
      </c>
      <c r="J385" t="n">
        <v>0</v>
      </c>
      <c r="K385" t="n">
        <v>0</v>
      </c>
      <c r="L385" t="n">
        <v>0</v>
      </c>
      <c r="M385" t="n">
        <v>0</v>
      </c>
      <c r="N385" t="n">
        <v>0</v>
      </c>
      <c r="O385" t="n">
        <v>0</v>
      </c>
      <c r="P385" t="n">
        <v>0</v>
      </c>
      <c r="Q385" t="n">
        <v>0</v>
      </c>
      <c r="R385" s="2" t="inlineStr"/>
    </row>
    <row r="386" ht="15" customHeight="1">
      <c r="A386" t="inlineStr">
        <is>
          <t>A 2820-2024</t>
        </is>
      </c>
      <c r="B386" s="1" t="n">
        <v>45314.76287037037</v>
      </c>
      <c r="C386" s="1" t="n">
        <v>45886</v>
      </c>
      <c r="D386" t="inlineStr">
        <is>
          <t>DALARNAS LÄN</t>
        </is>
      </c>
      <c r="E386" t="inlineStr">
        <is>
          <t>LEKSAND</t>
        </is>
      </c>
      <c r="G386" t="n">
        <v>1.7</v>
      </c>
      <c r="H386" t="n">
        <v>0</v>
      </c>
      <c r="I386" t="n">
        <v>0</v>
      </c>
      <c r="J386" t="n">
        <v>0</v>
      </c>
      <c r="K386" t="n">
        <v>0</v>
      </c>
      <c r="L386" t="n">
        <v>0</v>
      </c>
      <c r="M386" t="n">
        <v>0</v>
      </c>
      <c r="N386" t="n">
        <v>0</v>
      </c>
      <c r="O386" t="n">
        <v>0</v>
      </c>
      <c r="P386" t="n">
        <v>0</v>
      </c>
      <c r="Q386" t="n">
        <v>0</v>
      </c>
      <c r="R386" s="2" t="inlineStr"/>
    </row>
    <row r="387" ht="15" customHeight="1">
      <c r="A387" t="inlineStr">
        <is>
          <t>A 2822-2024</t>
        </is>
      </c>
      <c r="B387" s="1" t="n">
        <v>45314.76622685185</v>
      </c>
      <c r="C387" s="1" t="n">
        <v>45886</v>
      </c>
      <c r="D387" t="inlineStr">
        <is>
          <t>DALARNAS LÄN</t>
        </is>
      </c>
      <c r="E387" t="inlineStr">
        <is>
          <t>LEKSAND</t>
        </is>
      </c>
      <c r="G387" t="n">
        <v>1.6</v>
      </c>
      <c r="H387" t="n">
        <v>0</v>
      </c>
      <c r="I387" t="n">
        <v>0</v>
      </c>
      <c r="J387" t="n">
        <v>0</v>
      </c>
      <c r="K387" t="n">
        <v>0</v>
      </c>
      <c r="L387" t="n">
        <v>0</v>
      </c>
      <c r="M387" t="n">
        <v>0</v>
      </c>
      <c r="N387" t="n">
        <v>0</v>
      </c>
      <c r="O387" t="n">
        <v>0</v>
      </c>
      <c r="P387" t="n">
        <v>0</v>
      </c>
      <c r="Q387" t="n">
        <v>0</v>
      </c>
      <c r="R387" s="2" t="inlineStr"/>
    </row>
    <row r="388" ht="15" customHeight="1">
      <c r="A388" t="inlineStr">
        <is>
          <t>A 29553-2025</t>
        </is>
      </c>
      <c r="B388" s="1" t="n">
        <v>45825.35315972222</v>
      </c>
      <c r="C388" s="1" t="n">
        <v>45886</v>
      </c>
      <c r="D388" t="inlineStr">
        <is>
          <t>DALARNAS LÄN</t>
        </is>
      </c>
      <c r="E388" t="inlineStr">
        <is>
          <t>LEKSAND</t>
        </is>
      </c>
      <c r="G388" t="n">
        <v>1.8</v>
      </c>
      <c r="H388" t="n">
        <v>0</v>
      </c>
      <c r="I388" t="n">
        <v>0</v>
      </c>
      <c r="J388" t="n">
        <v>0</v>
      </c>
      <c r="K388" t="n">
        <v>0</v>
      </c>
      <c r="L388" t="n">
        <v>0</v>
      </c>
      <c r="M388" t="n">
        <v>0</v>
      </c>
      <c r="N388" t="n">
        <v>0</v>
      </c>
      <c r="O388" t="n">
        <v>0</v>
      </c>
      <c r="P388" t="n">
        <v>0</v>
      </c>
      <c r="Q388" t="n">
        <v>0</v>
      </c>
      <c r="R388" s="2" t="inlineStr"/>
    </row>
    <row r="389" ht="15" customHeight="1">
      <c r="A389" t="inlineStr">
        <is>
          <t>A 40007-2024</t>
        </is>
      </c>
      <c r="B389" s="1" t="n">
        <v>45553.6516550926</v>
      </c>
      <c r="C389" s="1" t="n">
        <v>45886</v>
      </c>
      <c r="D389" t="inlineStr">
        <is>
          <t>DALARNAS LÄN</t>
        </is>
      </c>
      <c r="E389" t="inlineStr">
        <is>
          <t>LEKSAND</t>
        </is>
      </c>
      <c r="F389" t="inlineStr">
        <is>
          <t>Bergvik skog väst AB</t>
        </is>
      </c>
      <c r="G389" t="n">
        <v>3.2</v>
      </c>
      <c r="H389" t="n">
        <v>0</v>
      </c>
      <c r="I389" t="n">
        <v>0</v>
      </c>
      <c r="J389" t="n">
        <v>0</v>
      </c>
      <c r="K389" t="n">
        <v>0</v>
      </c>
      <c r="L389" t="n">
        <v>0</v>
      </c>
      <c r="M389" t="n">
        <v>0</v>
      </c>
      <c r="N389" t="n">
        <v>0</v>
      </c>
      <c r="O389" t="n">
        <v>0</v>
      </c>
      <c r="P389" t="n">
        <v>0</v>
      </c>
      <c r="Q389" t="n">
        <v>0</v>
      </c>
      <c r="R389" s="2" t="inlineStr"/>
    </row>
    <row r="390" ht="15" customHeight="1">
      <c r="A390" t="inlineStr">
        <is>
          <t>A 51320-2023</t>
        </is>
      </c>
      <c r="B390" s="1" t="n">
        <v>45219.57456018519</v>
      </c>
      <c r="C390" s="1" t="n">
        <v>45886</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2311-2021</t>
        </is>
      </c>
      <c r="B391" s="1" t="n">
        <v>44213</v>
      </c>
      <c r="C391" s="1" t="n">
        <v>45886</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32072-2024</t>
        </is>
      </c>
      <c r="B392" s="1" t="n">
        <v>45510.98405092592</v>
      </c>
      <c r="C392" s="1" t="n">
        <v>45886</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12621-2025</t>
        </is>
      </c>
      <c r="B393" s="1" t="n">
        <v>45733.3575</v>
      </c>
      <c r="C393" s="1" t="n">
        <v>45886</v>
      </c>
      <c r="D393" t="inlineStr">
        <is>
          <t>DALARNAS LÄN</t>
        </is>
      </c>
      <c r="E393" t="inlineStr">
        <is>
          <t>LEKSAND</t>
        </is>
      </c>
      <c r="F393" t="inlineStr">
        <is>
          <t>Bergvik skog väst AB</t>
        </is>
      </c>
      <c r="G393" t="n">
        <v>1.2</v>
      </c>
      <c r="H393" t="n">
        <v>0</v>
      </c>
      <c r="I393" t="n">
        <v>0</v>
      </c>
      <c r="J393" t="n">
        <v>0</v>
      </c>
      <c r="K393" t="n">
        <v>0</v>
      </c>
      <c r="L393" t="n">
        <v>0</v>
      </c>
      <c r="M393" t="n">
        <v>0</v>
      </c>
      <c r="N393" t="n">
        <v>0</v>
      </c>
      <c r="O393" t="n">
        <v>0</v>
      </c>
      <c r="P393" t="n">
        <v>0</v>
      </c>
      <c r="Q393" t="n">
        <v>0</v>
      </c>
      <c r="R393" s="2" t="inlineStr"/>
    </row>
    <row r="394" ht="15" customHeight="1">
      <c r="A394" t="inlineStr">
        <is>
          <t>A 30254-2025</t>
        </is>
      </c>
      <c r="B394" s="1" t="n">
        <v>45827.42336805556</v>
      </c>
      <c r="C394" s="1" t="n">
        <v>45886</v>
      </c>
      <c r="D394" t="inlineStr">
        <is>
          <t>DALARNAS LÄN</t>
        </is>
      </c>
      <c r="E394" t="inlineStr">
        <is>
          <t>LEKSAND</t>
        </is>
      </c>
      <c r="G394" t="n">
        <v>3.5</v>
      </c>
      <c r="H394" t="n">
        <v>0</v>
      </c>
      <c r="I394" t="n">
        <v>0</v>
      </c>
      <c r="J394" t="n">
        <v>0</v>
      </c>
      <c r="K394" t="n">
        <v>0</v>
      </c>
      <c r="L394" t="n">
        <v>0</v>
      </c>
      <c r="M394" t="n">
        <v>0</v>
      </c>
      <c r="N394" t="n">
        <v>0</v>
      </c>
      <c r="O394" t="n">
        <v>0</v>
      </c>
      <c r="P394" t="n">
        <v>0</v>
      </c>
      <c r="Q394" t="n">
        <v>0</v>
      </c>
      <c r="R394" s="2" t="inlineStr"/>
    </row>
    <row r="395" ht="15" customHeight="1">
      <c r="A395" t="inlineStr">
        <is>
          <t>A 13165-2023</t>
        </is>
      </c>
      <c r="B395" s="1" t="n">
        <v>45002.57731481481</v>
      </c>
      <c r="C395" s="1" t="n">
        <v>45886</v>
      </c>
      <c r="D395" t="inlineStr">
        <is>
          <t>DALARNAS LÄN</t>
        </is>
      </c>
      <c r="E395" t="inlineStr">
        <is>
          <t>LEKSAND</t>
        </is>
      </c>
      <c r="G395" t="n">
        <v>2.4</v>
      </c>
      <c r="H395" t="n">
        <v>0</v>
      </c>
      <c r="I395" t="n">
        <v>0</v>
      </c>
      <c r="J395" t="n">
        <v>0</v>
      </c>
      <c r="K395" t="n">
        <v>0</v>
      </c>
      <c r="L395" t="n">
        <v>0</v>
      </c>
      <c r="M395" t="n">
        <v>0</v>
      </c>
      <c r="N395" t="n">
        <v>0</v>
      </c>
      <c r="O395" t="n">
        <v>0</v>
      </c>
      <c r="P395" t="n">
        <v>0</v>
      </c>
      <c r="Q395" t="n">
        <v>0</v>
      </c>
      <c r="R395" s="2" t="inlineStr"/>
    </row>
    <row r="396" ht="15" customHeight="1">
      <c r="A396" t="inlineStr">
        <is>
          <t>A 7467-2023</t>
        </is>
      </c>
      <c r="B396" s="1" t="n">
        <v>44966</v>
      </c>
      <c r="C396" s="1" t="n">
        <v>45886</v>
      </c>
      <c r="D396" t="inlineStr">
        <is>
          <t>DALARNAS LÄN</t>
        </is>
      </c>
      <c r="E396" t="inlineStr">
        <is>
          <t>LEKSAND</t>
        </is>
      </c>
      <c r="G396" t="n">
        <v>2.4</v>
      </c>
      <c r="H396" t="n">
        <v>0</v>
      </c>
      <c r="I396" t="n">
        <v>0</v>
      </c>
      <c r="J396" t="n">
        <v>0</v>
      </c>
      <c r="K396" t="n">
        <v>0</v>
      </c>
      <c r="L396" t="n">
        <v>0</v>
      </c>
      <c r="M396" t="n">
        <v>0</v>
      </c>
      <c r="N396" t="n">
        <v>0</v>
      </c>
      <c r="O396" t="n">
        <v>0</v>
      </c>
      <c r="P396" t="n">
        <v>0</v>
      </c>
      <c r="Q396" t="n">
        <v>0</v>
      </c>
      <c r="R396" s="2" t="inlineStr"/>
    </row>
    <row r="397" ht="15" customHeight="1">
      <c r="A397" t="inlineStr">
        <is>
          <t>A 45788-2021</t>
        </is>
      </c>
      <c r="B397" s="1" t="n">
        <v>44441</v>
      </c>
      <c r="C397" s="1" t="n">
        <v>45886</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23892-2025</t>
        </is>
      </c>
      <c r="B398" s="1" t="n">
        <v>45793</v>
      </c>
      <c r="C398" s="1" t="n">
        <v>45886</v>
      </c>
      <c r="D398" t="inlineStr">
        <is>
          <t>DALARNAS LÄN</t>
        </is>
      </c>
      <c r="E398" t="inlineStr">
        <is>
          <t>LEKSAND</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51377-2023</t>
        </is>
      </c>
      <c r="B399" s="1" t="n">
        <v>45219</v>
      </c>
      <c r="C399" s="1" t="n">
        <v>45886</v>
      </c>
      <c r="D399" t="inlineStr">
        <is>
          <t>DALARNAS LÄN</t>
        </is>
      </c>
      <c r="E399" t="inlineStr">
        <is>
          <t>LEKSAND</t>
        </is>
      </c>
      <c r="G399" t="n">
        <v>0.9</v>
      </c>
      <c r="H399" t="n">
        <v>0</v>
      </c>
      <c r="I399" t="n">
        <v>0</v>
      </c>
      <c r="J399" t="n">
        <v>0</v>
      </c>
      <c r="K399" t="n">
        <v>0</v>
      </c>
      <c r="L399" t="n">
        <v>0</v>
      </c>
      <c r="M399" t="n">
        <v>0</v>
      </c>
      <c r="N399" t="n">
        <v>0</v>
      </c>
      <c r="O399" t="n">
        <v>0</v>
      </c>
      <c r="P399" t="n">
        <v>0</v>
      </c>
      <c r="Q399" t="n">
        <v>0</v>
      </c>
      <c r="R399" s="2" t="inlineStr"/>
    </row>
    <row r="400" ht="15" customHeight="1">
      <c r="A400" t="inlineStr">
        <is>
          <t>A 36540-2025</t>
        </is>
      </c>
      <c r="B400" s="1" t="n">
        <v>45869.63885416667</v>
      </c>
      <c r="C400" s="1" t="n">
        <v>45886</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59859-2023</t>
        </is>
      </c>
      <c r="B401" s="1" t="n">
        <v>45257</v>
      </c>
      <c r="C401" s="1" t="n">
        <v>45886</v>
      </c>
      <c r="D401" t="inlineStr">
        <is>
          <t>DALARNAS LÄN</t>
        </is>
      </c>
      <c r="E401" t="inlineStr">
        <is>
          <t>LEKSAND</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2158-2024</t>
        </is>
      </c>
      <c r="B402" s="1" t="n">
        <v>45309</v>
      </c>
      <c r="C402" s="1" t="n">
        <v>45886</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19330-2025</t>
        </is>
      </c>
      <c r="B403" s="1" t="n">
        <v>45769</v>
      </c>
      <c r="C403" s="1" t="n">
        <v>45886</v>
      </c>
      <c r="D403" t="inlineStr">
        <is>
          <t>DALARNAS LÄN</t>
        </is>
      </c>
      <c r="E403" t="inlineStr">
        <is>
          <t>LEKSAND</t>
        </is>
      </c>
      <c r="G403" t="n">
        <v>1.6</v>
      </c>
      <c r="H403" t="n">
        <v>0</v>
      </c>
      <c r="I403" t="n">
        <v>0</v>
      </c>
      <c r="J403" t="n">
        <v>0</v>
      </c>
      <c r="K403" t="n">
        <v>0</v>
      </c>
      <c r="L403" t="n">
        <v>0</v>
      </c>
      <c r="M403" t="n">
        <v>0</v>
      </c>
      <c r="N403" t="n">
        <v>0</v>
      </c>
      <c r="O403" t="n">
        <v>0</v>
      </c>
      <c r="P403" t="n">
        <v>0</v>
      </c>
      <c r="Q403" t="n">
        <v>0</v>
      </c>
      <c r="R403" s="2" t="inlineStr"/>
    </row>
    <row r="404" ht="15" customHeight="1">
      <c r="A404" t="inlineStr">
        <is>
          <t>A 45943-2022</t>
        </is>
      </c>
      <c r="B404" s="1" t="n">
        <v>44846.64418981481</v>
      </c>
      <c r="C404" s="1" t="n">
        <v>45886</v>
      </c>
      <c r="D404" t="inlineStr">
        <is>
          <t>DALARNAS LÄN</t>
        </is>
      </c>
      <c r="E404" t="inlineStr">
        <is>
          <t>LEKSAND</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28592-2023</t>
        </is>
      </c>
      <c r="B405" s="1" t="n">
        <v>45103</v>
      </c>
      <c r="C405" s="1" t="n">
        <v>45886</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30917-2025</t>
        </is>
      </c>
      <c r="B406" s="1" t="n">
        <v>45832.37989583334</v>
      </c>
      <c r="C406" s="1" t="n">
        <v>45886</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31179-2025</t>
        </is>
      </c>
      <c r="B407" s="1" t="n">
        <v>45832.67648148148</v>
      </c>
      <c r="C407" s="1" t="n">
        <v>45886</v>
      </c>
      <c r="D407" t="inlineStr">
        <is>
          <t>DALARNAS LÄN</t>
        </is>
      </c>
      <c r="E407" t="inlineStr">
        <is>
          <t>LEKSAND</t>
        </is>
      </c>
      <c r="G407" t="n">
        <v>4.7</v>
      </c>
      <c r="H407" t="n">
        <v>0</v>
      </c>
      <c r="I407" t="n">
        <v>0</v>
      </c>
      <c r="J407" t="n">
        <v>0</v>
      </c>
      <c r="K407" t="n">
        <v>0</v>
      </c>
      <c r="L407" t="n">
        <v>0</v>
      </c>
      <c r="M407" t="n">
        <v>0</v>
      </c>
      <c r="N407" t="n">
        <v>0</v>
      </c>
      <c r="O407" t="n">
        <v>0</v>
      </c>
      <c r="P407" t="n">
        <v>0</v>
      </c>
      <c r="Q407" t="n">
        <v>0</v>
      </c>
      <c r="R407" s="2" t="inlineStr"/>
    </row>
    <row r="408" ht="15" customHeight="1">
      <c r="A408" t="inlineStr">
        <is>
          <t>A 30969-2025</t>
        </is>
      </c>
      <c r="B408" s="1" t="n">
        <v>45832.45914351852</v>
      </c>
      <c r="C408" s="1" t="n">
        <v>45886</v>
      </c>
      <c r="D408" t="inlineStr">
        <is>
          <t>DALARNAS LÄN</t>
        </is>
      </c>
      <c r="E408" t="inlineStr">
        <is>
          <t>LEKSAND</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30911-2025</t>
        </is>
      </c>
      <c r="B409" s="1" t="n">
        <v>45832.37547453704</v>
      </c>
      <c r="C409" s="1" t="n">
        <v>45886</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60878-2023</t>
        </is>
      </c>
      <c r="B410" s="1" t="n">
        <v>45259</v>
      </c>
      <c r="C410" s="1" t="n">
        <v>45886</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164-2023</t>
        </is>
      </c>
      <c r="B411" s="1" t="n">
        <v>44918</v>
      </c>
      <c r="C411" s="1" t="n">
        <v>45886</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30920-2025</t>
        </is>
      </c>
      <c r="B412" s="1" t="n">
        <v>45832.38484953704</v>
      </c>
      <c r="C412" s="1" t="n">
        <v>45886</v>
      </c>
      <c r="D412" t="inlineStr">
        <is>
          <t>DALARNAS LÄN</t>
        </is>
      </c>
      <c r="E412" t="inlineStr">
        <is>
          <t>LEKSAND</t>
        </is>
      </c>
      <c r="G412" t="n">
        <v>1.9</v>
      </c>
      <c r="H412" t="n">
        <v>0</v>
      </c>
      <c r="I412" t="n">
        <v>0</v>
      </c>
      <c r="J412" t="n">
        <v>0</v>
      </c>
      <c r="K412" t="n">
        <v>0</v>
      </c>
      <c r="L412" t="n">
        <v>0</v>
      </c>
      <c r="M412" t="n">
        <v>0</v>
      </c>
      <c r="N412" t="n">
        <v>0</v>
      </c>
      <c r="O412" t="n">
        <v>0</v>
      </c>
      <c r="P412" t="n">
        <v>0</v>
      </c>
      <c r="Q412" t="n">
        <v>0</v>
      </c>
      <c r="R412" s="2" t="inlineStr"/>
    </row>
    <row r="413" ht="15" customHeight="1">
      <c r="A413" t="inlineStr">
        <is>
          <t>A 61502-2023</t>
        </is>
      </c>
      <c r="B413" s="1" t="n">
        <v>45264</v>
      </c>
      <c r="C413" s="1" t="n">
        <v>45886</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28965-2023</t>
        </is>
      </c>
      <c r="B414" s="1" t="n">
        <v>45104</v>
      </c>
      <c r="C414" s="1" t="n">
        <v>45886</v>
      </c>
      <c r="D414" t="inlineStr">
        <is>
          <t>DALARNAS LÄN</t>
        </is>
      </c>
      <c r="E414" t="inlineStr">
        <is>
          <t>LEKSAND</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1719-2024</t>
        </is>
      </c>
      <c r="B415" s="1" t="n">
        <v>45307</v>
      </c>
      <c r="C415" s="1" t="n">
        <v>45886</v>
      </c>
      <c r="D415" t="inlineStr">
        <is>
          <t>DALARNAS LÄN</t>
        </is>
      </c>
      <c r="E415" t="inlineStr">
        <is>
          <t>LEKSAND</t>
        </is>
      </c>
      <c r="G415" t="n">
        <v>2.8</v>
      </c>
      <c r="H415" t="n">
        <v>0</v>
      </c>
      <c r="I415" t="n">
        <v>0</v>
      </c>
      <c r="J415" t="n">
        <v>0</v>
      </c>
      <c r="K415" t="n">
        <v>0</v>
      </c>
      <c r="L415" t="n">
        <v>0</v>
      </c>
      <c r="M415" t="n">
        <v>0</v>
      </c>
      <c r="N415" t="n">
        <v>0</v>
      </c>
      <c r="O415" t="n">
        <v>0</v>
      </c>
      <c r="P415" t="n">
        <v>0</v>
      </c>
      <c r="Q415" t="n">
        <v>0</v>
      </c>
      <c r="R415" s="2" t="inlineStr"/>
    </row>
    <row r="416" ht="15" customHeight="1">
      <c r="A416" t="inlineStr">
        <is>
          <t>A 30916-2025</t>
        </is>
      </c>
      <c r="B416" s="1" t="n">
        <v>45832.37885416667</v>
      </c>
      <c r="C416" s="1" t="n">
        <v>45886</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30973-2025</t>
        </is>
      </c>
      <c r="B417" s="1" t="n">
        <v>45832.46300925926</v>
      </c>
      <c r="C417" s="1" t="n">
        <v>45886</v>
      </c>
      <c r="D417" t="inlineStr">
        <is>
          <t>DALARNAS LÄN</t>
        </is>
      </c>
      <c r="E417" t="inlineStr">
        <is>
          <t>LEKSAND</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16744-2025</t>
        </is>
      </c>
      <c r="B418" s="1" t="n">
        <v>45754</v>
      </c>
      <c r="C418" s="1" t="n">
        <v>45886</v>
      </c>
      <c r="D418" t="inlineStr">
        <is>
          <t>DALARNAS LÄN</t>
        </is>
      </c>
      <c r="E418" t="inlineStr">
        <is>
          <t>LEKSAND</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2630-2025</t>
        </is>
      </c>
      <c r="B419" s="1" t="n">
        <v>45675.85865740741</v>
      </c>
      <c r="C419" s="1" t="n">
        <v>45886</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31189-2025</t>
        </is>
      </c>
      <c r="B420" s="1" t="n">
        <v>45832.6799537037</v>
      </c>
      <c r="C420" s="1" t="n">
        <v>45886</v>
      </c>
      <c r="D420" t="inlineStr">
        <is>
          <t>DALARNAS LÄN</t>
        </is>
      </c>
      <c r="E420" t="inlineStr">
        <is>
          <t>LEKSAND</t>
        </is>
      </c>
      <c r="G420" t="n">
        <v>5</v>
      </c>
      <c r="H420" t="n">
        <v>0</v>
      </c>
      <c r="I420" t="n">
        <v>0</v>
      </c>
      <c r="J420" t="n">
        <v>0</v>
      </c>
      <c r="K420" t="n">
        <v>0</v>
      </c>
      <c r="L420" t="n">
        <v>0</v>
      </c>
      <c r="M420" t="n">
        <v>0</v>
      </c>
      <c r="N420" t="n">
        <v>0</v>
      </c>
      <c r="O420" t="n">
        <v>0</v>
      </c>
      <c r="P420" t="n">
        <v>0</v>
      </c>
      <c r="Q420" t="n">
        <v>0</v>
      </c>
      <c r="R420" s="2" t="inlineStr"/>
    </row>
    <row r="421" ht="15" customHeight="1">
      <c r="A421" t="inlineStr">
        <is>
          <t>A 22349-2024</t>
        </is>
      </c>
      <c r="B421" s="1" t="n">
        <v>45446</v>
      </c>
      <c r="C421" s="1" t="n">
        <v>45886</v>
      </c>
      <c r="D421" t="inlineStr">
        <is>
          <t>DALARNAS LÄN</t>
        </is>
      </c>
      <c r="E421" t="inlineStr">
        <is>
          <t>LEKSAND</t>
        </is>
      </c>
      <c r="G421" t="n">
        <v>0.6</v>
      </c>
      <c r="H421" t="n">
        <v>0</v>
      </c>
      <c r="I421" t="n">
        <v>0</v>
      </c>
      <c r="J421" t="n">
        <v>0</v>
      </c>
      <c r="K421" t="n">
        <v>0</v>
      </c>
      <c r="L421" t="n">
        <v>0</v>
      </c>
      <c r="M421" t="n">
        <v>0</v>
      </c>
      <c r="N421" t="n">
        <v>0</v>
      </c>
      <c r="O421" t="n">
        <v>0</v>
      </c>
      <c r="P421" t="n">
        <v>0</v>
      </c>
      <c r="Q421" t="n">
        <v>0</v>
      </c>
      <c r="R421" s="2" t="inlineStr"/>
    </row>
    <row r="422" ht="15" customHeight="1">
      <c r="A422" t="inlineStr">
        <is>
          <t>A 11617-2024</t>
        </is>
      </c>
      <c r="B422" s="1" t="n">
        <v>45373.42898148148</v>
      </c>
      <c r="C422" s="1" t="n">
        <v>45886</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25253-2024</t>
        </is>
      </c>
      <c r="B423" s="1" t="n">
        <v>45462.61121527778</v>
      </c>
      <c r="C423" s="1" t="n">
        <v>45886</v>
      </c>
      <c r="D423" t="inlineStr">
        <is>
          <t>DALARNAS LÄN</t>
        </is>
      </c>
      <c r="E423" t="inlineStr">
        <is>
          <t>LEKSAND</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37044-2025</t>
        </is>
      </c>
      <c r="B424" s="1" t="n">
        <v>45875.3437037037</v>
      </c>
      <c r="C424" s="1" t="n">
        <v>45886</v>
      </c>
      <c r="D424" t="inlineStr">
        <is>
          <t>DALARNAS LÄN</t>
        </is>
      </c>
      <c r="E424" t="inlineStr">
        <is>
          <t>LEKSAND</t>
        </is>
      </c>
      <c r="G424" t="n">
        <v>5.7</v>
      </c>
      <c r="H424" t="n">
        <v>0</v>
      </c>
      <c r="I424" t="n">
        <v>0</v>
      </c>
      <c r="J424" t="n">
        <v>0</v>
      </c>
      <c r="K424" t="n">
        <v>0</v>
      </c>
      <c r="L424" t="n">
        <v>0</v>
      </c>
      <c r="M424" t="n">
        <v>0</v>
      </c>
      <c r="N424" t="n">
        <v>0</v>
      </c>
      <c r="O424" t="n">
        <v>0</v>
      </c>
      <c r="P424" t="n">
        <v>0</v>
      </c>
      <c r="Q424" t="n">
        <v>0</v>
      </c>
      <c r="R424" s="2" t="inlineStr"/>
    </row>
    <row r="425" ht="15" customHeight="1">
      <c r="A425" t="inlineStr">
        <is>
          <t>A 61953-2023</t>
        </is>
      </c>
      <c r="B425" s="1" t="n">
        <v>45266</v>
      </c>
      <c r="C425" s="1" t="n">
        <v>45886</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31619-2025</t>
        </is>
      </c>
      <c r="B426" s="1" t="n">
        <v>45833</v>
      </c>
      <c r="C426" s="1" t="n">
        <v>45886</v>
      </c>
      <c r="D426" t="inlineStr">
        <is>
          <t>DALARNAS LÄN</t>
        </is>
      </c>
      <c r="E426" t="inlineStr">
        <is>
          <t>LEKSAND</t>
        </is>
      </c>
      <c r="G426" t="n">
        <v>2.5</v>
      </c>
      <c r="H426" t="n">
        <v>0</v>
      </c>
      <c r="I426" t="n">
        <v>0</v>
      </c>
      <c r="J426" t="n">
        <v>0</v>
      </c>
      <c r="K426" t="n">
        <v>0</v>
      </c>
      <c r="L426" t="n">
        <v>0</v>
      </c>
      <c r="M426" t="n">
        <v>0</v>
      </c>
      <c r="N426" t="n">
        <v>0</v>
      </c>
      <c r="O426" t="n">
        <v>0</v>
      </c>
      <c r="P426" t="n">
        <v>0</v>
      </c>
      <c r="Q426" t="n">
        <v>0</v>
      </c>
      <c r="R426" s="2" t="inlineStr"/>
    </row>
    <row r="427" ht="15" customHeight="1">
      <c r="A427" t="inlineStr">
        <is>
          <t>A 58619-2022</t>
        </is>
      </c>
      <c r="B427" s="1" t="n">
        <v>44902.59579861111</v>
      </c>
      <c r="C427" s="1" t="n">
        <v>45886</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45886</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31446-2025</t>
        </is>
      </c>
      <c r="B429" s="1" t="n">
        <v>45833</v>
      </c>
      <c r="C429" s="1" t="n">
        <v>45886</v>
      </c>
      <c r="D429" t="inlineStr">
        <is>
          <t>DALARNAS LÄN</t>
        </is>
      </c>
      <c r="E429" t="inlineStr">
        <is>
          <t>LEKSAND</t>
        </is>
      </c>
      <c r="G429" t="n">
        <v>1</v>
      </c>
      <c r="H429" t="n">
        <v>0</v>
      </c>
      <c r="I429" t="n">
        <v>0</v>
      </c>
      <c r="J429" t="n">
        <v>0</v>
      </c>
      <c r="K429" t="n">
        <v>0</v>
      </c>
      <c r="L429" t="n">
        <v>0</v>
      </c>
      <c r="M429" t="n">
        <v>0</v>
      </c>
      <c r="N429" t="n">
        <v>0</v>
      </c>
      <c r="O429" t="n">
        <v>0</v>
      </c>
      <c r="P429" t="n">
        <v>0</v>
      </c>
      <c r="Q429" t="n">
        <v>0</v>
      </c>
      <c r="R429" s="2" t="inlineStr"/>
    </row>
    <row r="430" ht="15" customHeight="1">
      <c r="A430" t="inlineStr">
        <is>
          <t>A 20946-2023</t>
        </is>
      </c>
      <c r="B430" s="1" t="n">
        <v>45061</v>
      </c>
      <c r="C430" s="1" t="n">
        <v>45886</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61225-2023</t>
        </is>
      </c>
      <c r="B431" s="1" t="n">
        <v>45264</v>
      </c>
      <c r="C431" s="1" t="n">
        <v>45886</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61252-2023</t>
        </is>
      </c>
      <c r="B432" s="1" t="n">
        <v>45261</v>
      </c>
      <c r="C432" s="1" t="n">
        <v>45886</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19417-2025</t>
        </is>
      </c>
      <c r="B433" s="1" t="n">
        <v>45769.7234837963</v>
      </c>
      <c r="C433" s="1" t="n">
        <v>45886</v>
      </c>
      <c r="D433" t="inlineStr">
        <is>
          <t>DALARNAS LÄN</t>
        </is>
      </c>
      <c r="E433" t="inlineStr">
        <is>
          <t>LEKSAND</t>
        </is>
      </c>
      <c r="G433" t="n">
        <v>3.3</v>
      </c>
      <c r="H433" t="n">
        <v>0</v>
      </c>
      <c r="I433" t="n">
        <v>0</v>
      </c>
      <c r="J433" t="n">
        <v>0</v>
      </c>
      <c r="K433" t="n">
        <v>0</v>
      </c>
      <c r="L433" t="n">
        <v>0</v>
      </c>
      <c r="M433" t="n">
        <v>0</v>
      </c>
      <c r="N433" t="n">
        <v>0</v>
      </c>
      <c r="O433" t="n">
        <v>0</v>
      </c>
      <c r="P433" t="n">
        <v>0</v>
      </c>
      <c r="Q433" t="n">
        <v>0</v>
      </c>
      <c r="R433" s="2" t="inlineStr"/>
    </row>
    <row r="434" ht="15" customHeight="1">
      <c r="A434" t="inlineStr">
        <is>
          <t>A 31787-2025</t>
        </is>
      </c>
      <c r="B434" s="1" t="n">
        <v>45834</v>
      </c>
      <c r="C434" s="1" t="n">
        <v>45886</v>
      </c>
      <c r="D434" t="inlineStr">
        <is>
          <t>DALARNAS LÄN</t>
        </is>
      </c>
      <c r="E434" t="inlineStr">
        <is>
          <t>LEKSAND</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31493-2025</t>
        </is>
      </c>
      <c r="B435" s="1" t="n">
        <v>45833</v>
      </c>
      <c r="C435" s="1" t="n">
        <v>45886</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14617-2024</t>
        </is>
      </c>
      <c r="B436" s="1" t="n">
        <v>45397</v>
      </c>
      <c r="C436" s="1" t="n">
        <v>45886</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32104-2025</t>
        </is>
      </c>
      <c r="B437" s="1" t="n">
        <v>45835</v>
      </c>
      <c r="C437" s="1" t="n">
        <v>45886</v>
      </c>
      <c r="D437" t="inlineStr">
        <is>
          <t>DALARNAS LÄN</t>
        </is>
      </c>
      <c r="E437" t="inlineStr">
        <is>
          <t>LEKSAND</t>
        </is>
      </c>
      <c r="G437" t="n">
        <v>3.1</v>
      </c>
      <c r="H437" t="n">
        <v>0</v>
      </c>
      <c r="I437" t="n">
        <v>0</v>
      </c>
      <c r="J437" t="n">
        <v>0</v>
      </c>
      <c r="K437" t="n">
        <v>0</v>
      </c>
      <c r="L437" t="n">
        <v>0</v>
      </c>
      <c r="M437" t="n">
        <v>0</v>
      </c>
      <c r="N437" t="n">
        <v>0</v>
      </c>
      <c r="O437" t="n">
        <v>0</v>
      </c>
      <c r="P437" t="n">
        <v>0</v>
      </c>
      <c r="Q437" t="n">
        <v>0</v>
      </c>
      <c r="R437" s="2" t="inlineStr"/>
    </row>
    <row r="438" ht="15" customHeight="1">
      <c r="A438" t="inlineStr">
        <is>
          <t>A 46141-2022</t>
        </is>
      </c>
      <c r="B438" s="1" t="n">
        <v>44846</v>
      </c>
      <c r="C438" s="1" t="n">
        <v>45886</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62993-2023</t>
        </is>
      </c>
      <c r="B439" s="1" t="n">
        <v>45272</v>
      </c>
      <c r="C439" s="1" t="n">
        <v>45886</v>
      </c>
      <c r="D439" t="inlineStr">
        <is>
          <t>DALARNAS LÄN</t>
        </is>
      </c>
      <c r="E439" t="inlineStr">
        <is>
          <t>LEKSAND</t>
        </is>
      </c>
      <c r="G439" t="n">
        <v>0.6</v>
      </c>
      <c r="H439" t="n">
        <v>0</v>
      </c>
      <c r="I439" t="n">
        <v>0</v>
      </c>
      <c r="J439" t="n">
        <v>0</v>
      </c>
      <c r="K439" t="n">
        <v>0</v>
      </c>
      <c r="L439" t="n">
        <v>0</v>
      </c>
      <c r="M439" t="n">
        <v>0</v>
      </c>
      <c r="N439" t="n">
        <v>0</v>
      </c>
      <c r="O439" t="n">
        <v>0</v>
      </c>
      <c r="P439" t="n">
        <v>0</v>
      </c>
      <c r="Q439" t="n">
        <v>0</v>
      </c>
      <c r="R439" s="2" t="inlineStr"/>
    </row>
    <row r="440" ht="15" customHeight="1">
      <c r="A440" t="inlineStr">
        <is>
          <t>A 42727-2024</t>
        </is>
      </c>
      <c r="B440" s="1" t="n">
        <v>45566</v>
      </c>
      <c r="C440" s="1" t="n">
        <v>45886</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32593-2025</t>
        </is>
      </c>
      <c r="B441" s="1" t="n">
        <v>45838</v>
      </c>
      <c r="C441" s="1" t="n">
        <v>45886</v>
      </c>
      <c r="D441" t="inlineStr">
        <is>
          <t>DALARNAS LÄN</t>
        </is>
      </c>
      <c r="E441" t="inlineStr">
        <is>
          <t>LEKSAND</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61933-2023</t>
        </is>
      </c>
      <c r="B442" s="1" t="n">
        <v>45266</v>
      </c>
      <c r="C442" s="1" t="n">
        <v>45886</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32661-2025</t>
        </is>
      </c>
      <c r="B443" s="1" t="n">
        <v>45838.67953703704</v>
      </c>
      <c r="C443" s="1" t="n">
        <v>45886</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33198-2022</t>
        </is>
      </c>
      <c r="B444" s="1" t="n">
        <v>44785.68597222222</v>
      </c>
      <c r="C444" s="1" t="n">
        <v>45886</v>
      </c>
      <c r="D444" t="inlineStr">
        <is>
          <t>DALARNAS LÄN</t>
        </is>
      </c>
      <c r="E444" t="inlineStr">
        <is>
          <t>LEKSAND</t>
        </is>
      </c>
      <c r="G444" t="n">
        <v>1.5</v>
      </c>
      <c r="H444" t="n">
        <v>0</v>
      </c>
      <c r="I444" t="n">
        <v>0</v>
      </c>
      <c r="J444" t="n">
        <v>0</v>
      </c>
      <c r="K444" t="n">
        <v>0</v>
      </c>
      <c r="L444" t="n">
        <v>0</v>
      </c>
      <c r="M444" t="n">
        <v>0</v>
      </c>
      <c r="N444" t="n">
        <v>0</v>
      </c>
      <c r="O444" t="n">
        <v>0</v>
      </c>
      <c r="P444" t="n">
        <v>0</v>
      </c>
      <c r="Q444" t="n">
        <v>0</v>
      </c>
      <c r="R444" s="2" t="inlineStr"/>
    </row>
    <row r="445" ht="15" customHeight="1">
      <c r="A445" t="inlineStr">
        <is>
          <t>A 36444-2023</t>
        </is>
      </c>
      <c r="B445" s="1" t="n">
        <v>45152.63138888889</v>
      </c>
      <c r="C445" s="1" t="n">
        <v>45886</v>
      </c>
      <c r="D445" t="inlineStr">
        <is>
          <t>DALARNAS LÄN</t>
        </is>
      </c>
      <c r="E445" t="inlineStr">
        <is>
          <t>LEKSAND</t>
        </is>
      </c>
      <c r="G445" t="n">
        <v>0.5</v>
      </c>
      <c r="H445" t="n">
        <v>0</v>
      </c>
      <c r="I445" t="n">
        <v>0</v>
      </c>
      <c r="J445" t="n">
        <v>0</v>
      </c>
      <c r="K445" t="n">
        <v>0</v>
      </c>
      <c r="L445" t="n">
        <v>0</v>
      </c>
      <c r="M445" t="n">
        <v>0</v>
      </c>
      <c r="N445" t="n">
        <v>0</v>
      </c>
      <c r="O445" t="n">
        <v>0</v>
      </c>
      <c r="P445" t="n">
        <v>0</v>
      </c>
      <c r="Q445" t="n">
        <v>0</v>
      </c>
      <c r="R445" s="2" t="inlineStr"/>
    </row>
    <row r="446" ht="15" customHeight="1">
      <c r="A446" t="inlineStr">
        <is>
          <t>A 40407-2024</t>
        </is>
      </c>
      <c r="B446" s="1" t="n">
        <v>45555</v>
      </c>
      <c r="C446" s="1" t="n">
        <v>45886</v>
      </c>
      <c r="D446" t="inlineStr">
        <is>
          <t>DALARNAS LÄN</t>
        </is>
      </c>
      <c r="E446" t="inlineStr">
        <is>
          <t>LEKSAND</t>
        </is>
      </c>
      <c r="G446" t="n">
        <v>1.4</v>
      </c>
      <c r="H446" t="n">
        <v>0</v>
      </c>
      <c r="I446" t="n">
        <v>0</v>
      </c>
      <c r="J446" t="n">
        <v>0</v>
      </c>
      <c r="K446" t="n">
        <v>0</v>
      </c>
      <c r="L446" t="n">
        <v>0</v>
      </c>
      <c r="M446" t="n">
        <v>0</v>
      </c>
      <c r="N446" t="n">
        <v>0</v>
      </c>
      <c r="O446" t="n">
        <v>0</v>
      </c>
      <c r="P446" t="n">
        <v>0</v>
      </c>
      <c r="Q446" t="n">
        <v>0</v>
      </c>
      <c r="R446" s="2" t="inlineStr"/>
    </row>
    <row r="447" ht="15" customHeight="1">
      <c r="A447" t="inlineStr">
        <is>
          <t>A 15619-2025</t>
        </is>
      </c>
      <c r="B447" s="1" t="n">
        <v>45747</v>
      </c>
      <c r="C447" s="1" t="n">
        <v>45886</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46931-2023</t>
        </is>
      </c>
      <c r="B448" s="1" t="n">
        <v>45201</v>
      </c>
      <c r="C448" s="1" t="n">
        <v>45886</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17483-2025</t>
        </is>
      </c>
      <c r="B449" s="1" t="n">
        <v>45757.49408564815</v>
      </c>
      <c r="C449" s="1" t="n">
        <v>45886</v>
      </c>
      <c r="D449" t="inlineStr">
        <is>
          <t>DALARNAS LÄN</t>
        </is>
      </c>
      <c r="E449" t="inlineStr">
        <is>
          <t>LEKSAND</t>
        </is>
      </c>
      <c r="G449" t="n">
        <v>4.1</v>
      </c>
      <c r="H449" t="n">
        <v>0</v>
      </c>
      <c r="I449" t="n">
        <v>0</v>
      </c>
      <c r="J449" t="n">
        <v>0</v>
      </c>
      <c r="K449" t="n">
        <v>0</v>
      </c>
      <c r="L449" t="n">
        <v>0</v>
      </c>
      <c r="M449" t="n">
        <v>0</v>
      </c>
      <c r="N449" t="n">
        <v>0</v>
      </c>
      <c r="O449" t="n">
        <v>0</v>
      </c>
      <c r="P449" t="n">
        <v>0</v>
      </c>
      <c r="Q449" t="n">
        <v>0</v>
      </c>
      <c r="R449" s="2" t="inlineStr"/>
    </row>
    <row r="450" ht="15" customHeight="1">
      <c r="A450" t="inlineStr">
        <is>
          <t>A 32274-2025</t>
        </is>
      </c>
      <c r="B450" s="1" t="n">
        <v>45835</v>
      </c>
      <c r="C450" s="1" t="n">
        <v>45886</v>
      </c>
      <c r="D450" t="inlineStr">
        <is>
          <t>DALARNAS LÄN</t>
        </is>
      </c>
      <c r="E450" t="inlineStr">
        <is>
          <t>LEKSAND</t>
        </is>
      </c>
      <c r="G450" t="n">
        <v>4.5</v>
      </c>
      <c r="H450" t="n">
        <v>0</v>
      </c>
      <c r="I450" t="n">
        <v>0</v>
      </c>
      <c r="J450" t="n">
        <v>0</v>
      </c>
      <c r="K450" t="n">
        <v>0</v>
      </c>
      <c r="L450" t="n">
        <v>0</v>
      </c>
      <c r="M450" t="n">
        <v>0</v>
      </c>
      <c r="N450" t="n">
        <v>0</v>
      </c>
      <c r="O450" t="n">
        <v>0</v>
      </c>
      <c r="P450" t="n">
        <v>0</v>
      </c>
      <c r="Q450" t="n">
        <v>0</v>
      </c>
      <c r="R450" s="2" t="inlineStr"/>
    </row>
    <row r="451" ht="15" customHeight="1">
      <c r="A451" t="inlineStr">
        <is>
          <t>A 32301-2025</t>
        </is>
      </c>
      <c r="B451" s="1" t="n">
        <v>45835</v>
      </c>
      <c r="C451" s="1" t="n">
        <v>45886</v>
      </c>
      <c r="D451" t="inlineStr">
        <is>
          <t>DALARNAS LÄN</t>
        </is>
      </c>
      <c r="E451" t="inlineStr">
        <is>
          <t>LEKSAND</t>
        </is>
      </c>
      <c r="G451" t="n">
        <v>2.2</v>
      </c>
      <c r="H451" t="n">
        <v>0</v>
      </c>
      <c r="I451" t="n">
        <v>0</v>
      </c>
      <c r="J451" t="n">
        <v>0</v>
      </c>
      <c r="K451" t="n">
        <v>0</v>
      </c>
      <c r="L451" t="n">
        <v>0</v>
      </c>
      <c r="M451" t="n">
        <v>0</v>
      </c>
      <c r="N451" t="n">
        <v>0</v>
      </c>
      <c r="O451" t="n">
        <v>0</v>
      </c>
      <c r="P451" t="n">
        <v>0</v>
      </c>
      <c r="Q451" t="n">
        <v>0</v>
      </c>
      <c r="R451" s="2" t="inlineStr"/>
    </row>
    <row r="452" ht="15" customHeight="1">
      <c r="A452" t="inlineStr">
        <is>
          <t>A 17759-2023</t>
        </is>
      </c>
      <c r="B452" s="1" t="n">
        <v>45037.48765046296</v>
      </c>
      <c r="C452" s="1" t="n">
        <v>45886</v>
      </c>
      <c r="D452" t="inlineStr">
        <is>
          <t>DALARNAS LÄN</t>
        </is>
      </c>
      <c r="E452" t="inlineStr">
        <is>
          <t>LEKSAND</t>
        </is>
      </c>
      <c r="G452" t="n">
        <v>2.1</v>
      </c>
      <c r="H452" t="n">
        <v>0</v>
      </c>
      <c r="I452" t="n">
        <v>0</v>
      </c>
      <c r="J452" t="n">
        <v>0</v>
      </c>
      <c r="K452" t="n">
        <v>0</v>
      </c>
      <c r="L452" t="n">
        <v>0</v>
      </c>
      <c r="M452" t="n">
        <v>0</v>
      </c>
      <c r="N452" t="n">
        <v>0</v>
      </c>
      <c r="O452" t="n">
        <v>0</v>
      </c>
      <c r="P452" t="n">
        <v>0</v>
      </c>
      <c r="Q452" t="n">
        <v>0</v>
      </c>
      <c r="R452" s="2" t="inlineStr"/>
    </row>
    <row r="453" ht="15" customHeight="1">
      <c r="A453" t="inlineStr">
        <is>
          <t>A 37508-2025</t>
        </is>
      </c>
      <c r="B453" s="1" t="n">
        <v>45877.66282407408</v>
      </c>
      <c r="C453" s="1" t="n">
        <v>45886</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43220-2024</t>
        </is>
      </c>
      <c r="B454" s="1" t="n">
        <v>45567.86112268519</v>
      </c>
      <c r="C454" s="1" t="n">
        <v>45886</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55015-2024</t>
        </is>
      </c>
      <c r="B455" s="1" t="n">
        <v>45621.35554398148</v>
      </c>
      <c r="C455" s="1" t="n">
        <v>45886</v>
      </c>
      <c r="D455" t="inlineStr">
        <is>
          <t>DALARNAS LÄN</t>
        </is>
      </c>
      <c r="E455" t="inlineStr">
        <is>
          <t>LEKSAND</t>
        </is>
      </c>
      <c r="G455" t="n">
        <v>0.6</v>
      </c>
      <c r="H455" t="n">
        <v>0</v>
      </c>
      <c r="I455" t="n">
        <v>0</v>
      </c>
      <c r="J455" t="n">
        <v>0</v>
      </c>
      <c r="K455" t="n">
        <v>0</v>
      </c>
      <c r="L455" t="n">
        <v>0</v>
      </c>
      <c r="M455" t="n">
        <v>0</v>
      </c>
      <c r="N455" t="n">
        <v>0</v>
      </c>
      <c r="O455" t="n">
        <v>0</v>
      </c>
      <c r="P455" t="n">
        <v>0</v>
      </c>
      <c r="Q455" t="n">
        <v>0</v>
      </c>
      <c r="R455" s="2" t="inlineStr"/>
    </row>
    <row r="456" ht="15" customHeight="1">
      <c r="A456" t="inlineStr">
        <is>
          <t>A 34039-2024</t>
        </is>
      </c>
      <c r="B456" s="1" t="n">
        <v>45523.5974537037</v>
      </c>
      <c r="C456" s="1" t="n">
        <v>45886</v>
      </c>
      <c r="D456" t="inlineStr">
        <is>
          <t>DALARNAS LÄN</t>
        </is>
      </c>
      <c r="E456" t="inlineStr">
        <is>
          <t>LEKSAND</t>
        </is>
      </c>
      <c r="G456" t="n">
        <v>7.1</v>
      </c>
      <c r="H456" t="n">
        <v>0</v>
      </c>
      <c r="I456" t="n">
        <v>0</v>
      </c>
      <c r="J456" t="n">
        <v>0</v>
      </c>
      <c r="K456" t="n">
        <v>0</v>
      </c>
      <c r="L456" t="n">
        <v>0</v>
      </c>
      <c r="M456" t="n">
        <v>0</v>
      </c>
      <c r="N456" t="n">
        <v>0</v>
      </c>
      <c r="O456" t="n">
        <v>0</v>
      </c>
      <c r="P456" t="n">
        <v>0</v>
      </c>
      <c r="Q456" t="n">
        <v>0</v>
      </c>
      <c r="R456" s="2" t="inlineStr"/>
    </row>
    <row r="457" ht="15" customHeight="1">
      <c r="A457" t="inlineStr">
        <is>
          <t>A 32653-2025</t>
        </is>
      </c>
      <c r="B457" s="1" t="n">
        <v>45838</v>
      </c>
      <c r="C457" s="1" t="n">
        <v>45886</v>
      </c>
      <c r="D457" t="inlineStr">
        <is>
          <t>DALARNAS LÄN</t>
        </is>
      </c>
      <c r="E457" t="inlineStr">
        <is>
          <t>LEKSAND</t>
        </is>
      </c>
      <c r="G457" t="n">
        <v>5.6</v>
      </c>
      <c r="H457" t="n">
        <v>0</v>
      </c>
      <c r="I457" t="n">
        <v>0</v>
      </c>
      <c r="J457" t="n">
        <v>0</v>
      </c>
      <c r="K457" t="n">
        <v>0</v>
      </c>
      <c r="L457" t="n">
        <v>0</v>
      </c>
      <c r="M457" t="n">
        <v>0</v>
      </c>
      <c r="N457" t="n">
        <v>0</v>
      </c>
      <c r="O457" t="n">
        <v>0</v>
      </c>
      <c r="P457" t="n">
        <v>0</v>
      </c>
      <c r="Q457" t="n">
        <v>0</v>
      </c>
      <c r="R457" s="2" t="inlineStr"/>
    </row>
    <row r="458" ht="15" customHeight="1">
      <c r="A458" t="inlineStr">
        <is>
          <t>A 46505-2023</t>
        </is>
      </c>
      <c r="B458" s="1" t="n">
        <v>45197</v>
      </c>
      <c r="C458" s="1" t="n">
        <v>45886</v>
      </c>
      <c r="D458" t="inlineStr">
        <is>
          <t>DALARNAS LÄN</t>
        </is>
      </c>
      <c r="E458" t="inlineStr">
        <is>
          <t>LEKSAND</t>
        </is>
      </c>
      <c r="G458" t="n">
        <v>2.3</v>
      </c>
      <c r="H458" t="n">
        <v>0</v>
      </c>
      <c r="I458" t="n">
        <v>0</v>
      </c>
      <c r="J458" t="n">
        <v>0</v>
      </c>
      <c r="K458" t="n">
        <v>0</v>
      </c>
      <c r="L458" t="n">
        <v>0</v>
      </c>
      <c r="M458" t="n">
        <v>0</v>
      </c>
      <c r="N458" t="n">
        <v>0</v>
      </c>
      <c r="O458" t="n">
        <v>0</v>
      </c>
      <c r="P458" t="n">
        <v>0</v>
      </c>
      <c r="Q458" t="n">
        <v>0</v>
      </c>
      <c r="R458" s="2" t="inlineStr"/>
    </row>
    <row r="459" ht="15" customHeight="1">
      <c r="A459" t="inlineStr">
        <is>
          <t>A 481-2024</t>
        </is>
      </c>
      <c r="B459" s="1" t="n">
        <v>45298</v>
      </c>
      <c r="C459" s="1" t="n">
        <v>45886</v>
      </c>
      <c r="D459" t="inlineStr">
        <is>
          <t>DALARNAS LÄN</t>
        </is>
      </c>
      <c r="E459" t="inlineStr">
        <is>
          <t>LEKSAND</t>
        </is>
      </c>
      <c r="G459" t="n">
        <v>7</v>
      </c>
      <c r="H459" t="n">
        <v>0</v>
      </c>
      <c r="I459" t="n">
        <v>0</v>
      </c>
      <c r="J459" t="n">
        <v>0</v>
      </c>
      <c r="K459" t="n">
        <v>0</v>
      </c>
      <c r="L459" t="n">
        <v>0</v>
      </c>
      <c r="M459" t="n">
        <v>0</v>
      </c>
      <c r="N459" t="n">
        <v>0</v>
      </c>
      <c r="O459" t="n">
        <v>0</v>
      </c>
      <c r="P459" t="n">
        <v>0</v>
      </c>
      <c r="Q459" t="n">
        <v>0</v>
      </c>
      <c r="R459" s="2" t="inlineStr"/>
    </row>
    <row r="460" ht="15" customHeight="1">
      <c r="A460" t="inlineStr">
        <is>
          <t>A 31945-2025</t>
        </is>
      </c>
      <c r="B460" s="1" t="n">
        <v>45835</v>
      </c>
      <c r="C460" s="1" t="n">
        <v>45886</v>
      </c>
      <c r="D460" t="inlineStr">
        <is>
          <t>DALARNAS LÄN</t>
        </is>
      </c>
      <c r="E460" t="inlineStr">
        <is>
          <t>LEKSAND</t>
        </is>
      </c>
      <c r="G460" t="n">
        <v>0.8</v>
      </c>
      <c r="H460" t="n">
        <v>0</v>
      </c>
      <c r="I460" t="n">
        <v>0</v>
      </c>
      <c r="J460" t="n">
        <v>0</v>
      </c>
      <c r="K460" t="n">
        <v>0</v>
      </c>
      <c r="L460" t="n">
        <v>0</v>
      </c>
      <c r="M460" t="n">
        <v>0</v>
      </c>
      <c r="N460" t="n">
        <v>0</v>
      </c>
      <c r="O460" t="n">
        <v>0</v>
      </c>
      <c r="P460" t="n">
        <v>0</v>
      </c>
      <c r="Q460" t="n">
        <v>0</v>
      </c>
      <c r="R460" s="2" t="inlineStr"/>
    </row>
    <row r="461" ht="15" customHeight="1">
      <c r="A461" t="inlineStr">
        <is>
          <t>A 50278-2023</t>
        </is>
      </c>
      <c r="B461" s="1" t="n">
        <v>45216.43444444444</v>
      </c>
      <c r="C461" s="1" t="n">
        <v>45886</v>
      </c>
      <c r="D461" t="inlineStr">
        <is>
          <t>DALARNAS LÄN</t>
        </is>
      </c>
      <c r="E461" t="inlineStr">
        <is>
          <t>LEKSAND</t>
        </is>
      </c>
      <c r="G461" t="n">
        <v>0.4</v>
      </c>
      <c r="H461" t="n">
        <v>0</v>
      </c>
      <c r="I461" t="n">
        <v>0</v>
      </c>
      <c r="J461" t="n">
        <v>0</v>
      </c>
      <c r="K461" t="n">
        <v>0</v>
      </c>
      <c r="L461" t="n">
        <v>0</v>
      </c>
      <c r="M461" t="n">
        <v>0</v>
      </c>
      <c r="N461" t="n">
        <v>0</v>
      </c>
      <c r="O461" t="n">
        <v>0</v>
      </c>
      <c r="P461" t="n">
        <v>0</v>
      </c>
      <c r="Q461" t="n">
        <v>0</v>
      </c>
      <c r="R461" s="2" t="inlineStr"/>
    </row>
    <row r="462" ht="15" customHeight="1">
      <c r="A462" t="inlineStr">
        <is>
          <t>A 36017-2025</t>
        </is>
      </c>
      <c r="B462" s="1" t="n">
        <v>45863</v>
      </c>
      <c r="C462" s="1" t="n">
        <v>45886</v>
      </c>
      <c r="D462" t="inlineStr">
        <is>
          <t>DALARNAS LÄN</t>
        </is>
      </c>
      <c r="E462" t="inlineStr">
        <is>
          <t>LEKSAND</t>
        </is>
      </c>
      <c r="F462" t="inlineStr">
        <is>
          <t>Bergvik skog väst AB</t>
        </is>
      </c>
      <c r="G462" t="n">
        <v>17.9</v>
      </c>
      <c r="H462" t="n">
        <v>0</v>
      </c>
      <c r="I462" t="n">
        <v>0</v>
      </c>
      <c r="J462" t="n">
        <v>0</v>
      </c>
      <c r="K462" t="n">
        <v>0</v>
      </c>
      <c r="L462" t="n">
        <v>0</v>
      </c>
      <c r="M462" t="n">
        <v>0</v>
      </c>
      <c r="N462" t="n">
        <v>0</v>
      </c>
      <c r="O462" t="n">
        <v>0</v>
      </c>
      <c r="P462" t="n">
        <v>0</v>
      </c>
      <c r="Q462" t="n">
        <v>0</v>
      </c>
      <c r="R462" s="2" t="inlineStr"/>
    </row>
    <row r="463" ht="15" customHeight="1">
      <c r="A463" t="inlineStr">
        <is>
          <t>A 32726-2025</t>
        </is>
      </c>
      <c r="B463" s="1" t="n">
        <v>45839.3969212963</v>
      </c>
      <c r="C463" s="1" t="n">
        <v>45886</v>
      </c>
      <c r="D463" t="inlineStr">
        <is>
          <t>DALARNAS LÄN</t>
        </is>
      </c>
      <c r="E463" t="inlineStr">
        <is>
          <t>LEKSAND</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33160-2025</t>
        </is>
      </c>
      <c r="B464" s="1" t="n">
        <v>45840</v>
      </c>
      <c r="C464" s="1" t="n">
        <v>45886</v>
      </c>
      <c r="D464" t="inlineStr">
        <is>
          <t>DALARNAS LÄN</t>
        </is>
      </c>
      <c r="E464" t="inlineStr">
        <is>
          <t>LEKSAND</t>
        </is>
      </c>
      <c r="G464" t="n">
        <v>2.3</v>
      </c>
      <c r="H464" t="n">
        <v>0</v>
      </c>
      <c r="I464" t="n">
        <v>0</v>
      </c>
      <c r="J464" t="n">
        <v>0</v>
      </c>
      <c r="K464" t="n">
        <v>0</v>
      </c>
      <c r="L464" t="n">
        <v>0</v>
      </c>
      <c r="M464" t="n">
        <v>0</v>
      </c>
      <c r="N464" t="n">
        <v>0</v>
      </c>
      <c r="O464" t="n">
        <v>0</v>
      </c>
      <c r="P464" t="n">
        <v>0</v>
      </c>
      <c r="Q464" t="n">
        <v>0</v>
      </c>
      <c r="R464" s="2" t="inlineStr"/>
    </row>
    <row r="465" ht="15" customHeight="1">
      <c r="A465" t="inlineStr">
        <is>
          <t>A 16197-2024</t>
        </is>
      </c>
      <c r="B465" s="1" t="n">
        <v>45406.70356481482</v>
      </c>
      <c r="C465" s="1" t="n">
        <v>45886</v>
      </c>
      <c r="D465" t="inlineStr">
        <is>
          <t>DALARNAS LÄN</t>
        </is>
      </c>
      <c r="E465" t="inlineStr">
        <is>
          <t>LEKSAND</t>
        </is>
      </c>
      <c r="G465" t="n">
        <v>2.4</v>
      </c>
      <c r="H465" t="n">
        <v>0</v>
      </c>
      <c r="I465" t="n">
        <v>0</v>
      </c>
      <c r="J465" t="n">
        <v>0</v>
      </c>
      <c r="K465" t="n">
        <v>0</v>
      </c>
      <c r="L465" t="n">
        <v>0</v>
      </c>
      <c r="M465" t="n">
        <v>0</v>
      </c>
      <c r="N465" t="n">
        <v>0</v>
      </c>
      <c r="O465" t="n">
        <v>0</v>
      </c>
      <c r="P465" t="n">
        <v>0</v>
      </c>
      <c r="Q465" t="n">
        <v>0</v>
      </c>
      <c r="R465" s="2" t="inlineStr"/>
    </row>
    <row r="466" ht="15" customHeight="1">
      <c r="A466" t="inlineStr">
        <is>
          <t>A 46628-2024</t>
        </is>
      </c>
      <c r="B466" s="1" t="n">
        <v>45583.33195601852</v>
      </c>
      <c r="C466" s="1" t="n">
        <v>45886</v>
      </c>
      <c r="D466" t="inlineStr">
        <is>
          <t>DALARNAS LÄN</t>
        </is>
      </c>
      <c r="E466" t="inlineStr">
        <is>
          <t>LEKSAND</t>
        </is>
      </c>
      <c r="G466" t="n">
        <v>0.2</v>
      </c>
      <c r="H466" t="n">
        <v>0</v>
      </c>
      <c r="I466" t="n">
        <v>0</v>
      </c>
      <c r="J466" t="n">
        <v>0</v>
      </c>
      <c r="K466" t="n">
        <v>0</v>
      </c>
      <c r="L466" t="n">
        <v>0</v>
      </c>
      <c r="M466" t="n">
        <v>0</v>
      </c>
      <c r="N466" t="n">
        <v>0</v>
      </c>
      <c r="O466" t="n">
        <v>0</v>
      </c>
      <c r="P466" t="n">
        <v>0</v>
      </c>
      <c r="Q466" t="n">
        <v>0</v>
      </c>
      <c r="R466" s="2" t="inlineStr"/>
    </row>
    <row r="467" ht="15" customHeight="1">
      <c r="A467" t="inlineStr">
        <is>
          <t>A 36020-2025</t>
        </is>
      </c>
      <c r="B467" s="1" t="n">
        <v>45863</v>
      </c>
      <c r="C467" s="1" t="n">
        <v>45886</v>
      </c>
      <c r="D467" t="inlineStr">
        <is>
          <t>DALARNAS LÄN</t>
        </is>
      </c>
      <c r="E467" t="inlineStr">
        <is>
          <t>LEKSAND</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9141-2023</t>
        </is>
      </c>
      <c r="B468" s="1" t="n">
        <v>44974</v>
      </c>
      <c r="C468" s="1" t="n">
        <v>45886</v>
      </c>
      <c r="D468" t="inlineStr">
        <is>
          <t>DALARNAS LÄN</t>
        </is>
      </c>
      <c r="E468" t="inlineStr">
        <is>
          <t>LEKSAND</t>
        </is>
      </c>
      <c r="G468" t="n">
        <v>1.9</v>
      </c>
      <c r="H468" t="n">
        <v>0</v>
      </c>
      <c r="I468" t="n">
        <v>0</v>
      </c>
      <c r="J468" t="n">
        <v>0</v>
      </c>
      <c r="K468" t="n">
        <v>0</v>
      </c>
      <c r="L468" t="n">
        <v>0</v>
      </c>
      <c r="M468" t="n">
        <v>0</v>
      </c>
      <c r="N468" t="n">
        <v>0</v>
      </c>
      <c r="O468" t="n">
        <v>0</v>
      </c>
      <c r="P468" t="n">
        <v>0</v>
      </c>
      <c r="Q468" t="n">
        <v>0</v>
      </c>
      <c r="R468" s="2" t="inlineStr"/>
    </row>
    <row r="469" ht="15" customHeight="1">
      <c r="A469" t="inlineStr">
        <is>
          <t>A 5453-2025</t>
        </is>
      </c>
      <c r="B469" s="1" t="n">
        <v>45692.95231481481</v>
      </c>
      <c r="C469" s="1" t="n">
        <v>45886</v>
      </c>
      <c r="D469" t="inlineStr">
        <is>
          <t>DALARNAS LÄN</t>
        </is>
      </c>
      <c r="E469" t="inlineStr">
        <is>
          <t>LEKSAND</t>
        </is>
      </c>
      <c r="G469" t="n">
        <v>2.2</v>
      </c>
      <c r="H469" t="n">
        <v>0</v>
      </c>
      <c r="I469" t="n">
        <v>0</v>
      </c>
      <c r="J469" t="n">
        <v>0</v>
      </c>
      <c r="K469" t="n">
        <v>0</v>
      </c>
      <c r="L469" t="n">
        <v>0</v>
      </c>
      <c r="M469" t="n">
        <v>0</v>
      </c>
      <c r="N469" t="n">
        <v>0</v>
      </c>
      <c r="O469" t="n">
        <v>0</v>
      </c>
      <c r="P469" t="n">
        <v>0</v>
      </c>
      <c r="Q469" t="n">
        <v>0</v>
      </c>
      <c r="R469" s="2" t="inlineStr"/>
    </row>
    <row r="470" ht="15" customHeight="1">
      <c r="A470" t="inlineStr">
        <is>
          <t>A 57925-2024</t>
        </is>
      </c>
      <c r="B470" s="1" t="n">
        <v>45630</v>
      </c>
      <c r="C470" s="1" t="n">
        <v>45886</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32855-2025</t>
        </is>
      </c>
      <c r="B471" s="1" t="n">
        <v>45839.57643518518</v>
      </c>
      <c r="C471" s="1" t="n">
        <v>45886</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37996-2025</t>
        </is>
      </c>
      <c r="B472" s="1" t="n">
        <v>45881.8299537037</v>
      </c>
      <c r="C472" s="1" t="n">
        <v>45886</v>
      </c>
      <c r="D472" t="inlineStr">
        <is>
          <t>DALARNAS LÄN</t>
        </is>
      </c>
      <c r="E472" t="inlineStr">
        <is>
          <t>LEKSAND</t>
        </is>
      </c>
      <c r="G472" t="n">
        <v>4.2</v>
      </c>
      <c r="H472" t="n">
        <v>0</v>
      </c>
      <c r="I472" t="n">
        <v>0</v>
      </c>
      <c r="J472" t="n">
        <v>0</v>
      </c>
      <c r="K472" t="n">
        <v>0</v>
      </c>
      <c r="L472" t="n">
        <v>0</v>
      </c>
      <c r="M472" t="n">
        <v>0</v>
      </c>
      <c r="N472" t="n">
        <v>0</v>
      </c>
      <c r="O472" t="n">
        <v>0</v>
      </c>
      <c r="P472" t="n">
        <v>0</v>
      </c>
      <c r="Q472" t="n">
        <v>0</v>
      </c>
      <c r="R472" s="2" t="inlineStr"/>
    </row>
    <row r="473" ht="15" customHeight="1">
      <c r="A473" t="inlineStr">
        <is>
          <t>A 38090-2025</t>
        </is>
      </c>
      <c r="B473" s="1" t="n">
        <v>45882.48440972222</v>
      </c>
      <c r="C473" s="1" t="n">
        <v>45886</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27445-2024</t>
        </is>
      </c>
      <c r="B474" s="1" t="n">
        <v>45474.42474537037</v>
      </c>
      <c r="C474" s="1" t="n">
        <v>45886</v>
      </c>
      <c r="D474" t="inlineStr">
        <is>
          <t>DALARNAS LÄN</t>
        </is>
      </c>
      <c r="E474" t="inlineStr">
        <is>
          <t>LEKSAND</t>
        </is>
      </c>
      <c r="G474" t="n">
        <v>0.7</v>
      </c>
      <c r="H474" t="n">
        <v>0</v>
      </c>
      <c r="I474" t="n">
        <v>0</v>
      </c>
      <c r="J474" t="n">
        <v>0</v>
      </c>
      <c r="K474" t="n">
        <v>0</v>
      </c>
      <c r="L474" t="n">
        <v>0</v>
      </c>
      <c r="M474" t="n">
        <v>0</v>
      </c>
      <c r="N474" t="n">
        <v>0</v>
      </c>
      <c r="O474" t="n">
        <v>0</v>
      </c>
      <c r="P474" t="n">
        <v>0</v>
      </c>
      <c r="Q474" t="n">
        <v>0</v>
      </c>
      <c r="R474" s="2" t="inlineStr"/>
    </row>
    <row r="475" ht="15" customHeight="1">
      <c r="A475" t="inlineStr">
        <is>
          <t>A 35866-2025</t>
        </is>
      </c>
      <c r="B475" s="1" t="n">
        <v>45861</v>
      </c>
      <c r="C475" s="1" t="n">
        <v>45886</v>
      </c>
      <c r="D475" t="inlineStr">
        <is>
          <t>DALARNAS LÄN</t>
        </is>
      </c>
      <c r="E475" t="inlineStr">
        <is>
          <t>LEKSAND</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27446-2024</t>
        </is>
      </c>
      <c r="B476" s="1" t="n">
        <v>45474.42671296297</v>
      </c>
      <c r="C476" s="1" t="n">
        <v>45886</v>
      </c>
      <c r="D476" t="inlineStr">
        <is>
          <t>DALARNAS LÄN</t>
        </is>
      </c>
      <c r="E476" t="inlineStr">
        <is>
          <t>LEKSAND</t>
        </is>
      </c>
      <c r="G476" t="n">
        <v>2.9</v>
      </c>
      <c r="H476" t="n">
        <v>0</v>
      </c>
      <c r="I476" t="n">
        <v>0</v>
      </c>
      <c r="J476" t="n">
        <v>0</v>
      </c>
      <c r="K476" t="n">
        <v>0</v>
      </c>
      <c r="L476" t="n">
        <v>0</v>
      </c>
      <c r="M476" t="n">
        <v>0</v>
      </c>
      <c r="N476" t="n">
        <v>0</v>
      </c>
      <c r="O476" t="n">
        <v>0</v>
      </c>
      <c r="P476" t="n">
        <v>0</v>
      </c>
      <c r="Q476" t="n">
        <v>0</v>
      </c>
      <c r="R476" s="2" t="inlineStr"/>
    </row>
    <row r="477" ht="15" customHeight="1">
      <c r="A477" t="inlineStr">
        <is>
          <t>A 18837-2023</t>
        </is>
      </c>
      <c r="B477" s="1" t="n">
        <v>45044.42940972222</v>
      </c>
      <c r="C477" s="1" t="n">
        <v>45886</v>
      </c>
      <c r="D477" t="inlineStr">
        <is>
          <t>DALARNAS LÄN</t>
        </is>
      </c>
      <c r="E477" t="inlineStr">
        <is>
          <t>LEKSAND</t>
        </is>
      </c>
      <c r="G477" t="n">
        <v>1.5</v>
      </c>
      <c r="H477" t="n">
        <v>0</v>
      </c>
      <c r="I477" t="n">
        <v>0</v>
      </c>
      <c r="J477" t="n">
        <v>0</v>
      </c>
      <c r="K477" t="n">
        <v>0</v>
      </c>
      <c r="L477" t="n">
        <v>0</v>
      </c>
      <c r="M477" t="n">
        <v>0</v>
      </c>
      <c r="N477" t="n">
        <v>0</v>
      </c>
      <c r="O477" t="n">
        <v>0</v>
      </c>
      <c r="P477" t="n">
        <v>0</v>
      </c>
      <c r="Q477" t="n">
        <v>0</v>
      </c>
      <c r="R477" s="2" t="inlineStr"/>
    </row>
    <row r="478" ht="15" customHeight="1">
      <c r="A478" t="inlineStr">
        <is>
          <t>A 12646-2025</t>
        </is>
      </c>
      <c r="B478" s="1" t="n">
        <v>45733.39496527778</v>
      </c>
      <c r="C478" s="1" t="n">
        <v>45886</v>
      </c>
      <c r="D478" t="inlineStr">
        <is>
          <t>DALARNAS LÄN</t>
        </is>
      </c>
      <c r="E478" t="inlineStr">
        <is>
          <t>LEKSAND</t>
        </is>
      </c>
      <c r="G478" t="n">
        <v>2.3</v>
      </c>
      <c r="H478" t="n">
        <v>0</v>
      </c>
      <c r="I478" t="n">
        <v>0</v>
      </c>
      <c r="J478" t="n">
        <v>0</v>
      </c>
      <c r="K478" t="n">
        <v>0</v>
      </c>
      <c r="L478" t="n">
        <v>0</v>
      </c>
      <c r="M478" t="n">
        <v>0</v>
      </c>
      <c r="N478" t="n">
        <v>0</v>
      </c>
      <c r="O478" t="n">
        <v>0</v>
      </c>
      <c r="P478" t="n">
        <v>0</v>
      </c>
      <c r="Q478" t="n">
        <v>0</v>
      </c>
      <c r="R478" s="2" t="inlineStr"/>
    </row>
    <row r="479" ht="15" customHeight="1">
      <c r="A479" t="inlineStr">
        <is>
          <t>A 17730-2024</t>
        </is>
      </c>
      <c r="B479" s="1" t="n">
        <v>45418</v>
      </c>
      <c r="C479" s="1" t="n">
        <v>45886</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54844-2021</t>
        </is>
      </c>
      <c r="B480" s="1" t="n">
        <v>44474.30614583333</v>
      </c>
      <c r="C480" s="1" t="n">
        <v>45886</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64933-2023</t>
        </is>
      </c>
      <c r="B481" s="1" t="n">
        <v>45282</v>
      </c>
      <c r="C481" s="1" t="n">
        <v>45886</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8211-2023</t>
        </is>
      </c>
      <c r="B482" s="1" t="n">
        <v>44974</v>
      </c>
      <c r="C482" s="1" t="n">
        <v>45886</v>
      </c>
      <c r="D482" t="inlineStr">
        <is>
          <t>DALARNAS LÄN</t>
        </is>
      </c>
      <c r="E482" t="inlineStr">
        <is>
          <t>LEKSAND</t>
        </is>
      </c>
      <c r="G482" t="n">
        <v>5.2</v>
      </c>
      <c r="H482" t="n">
        <v>0</v>
      </c>
      <c r="I482" t="n">
        <v>0</v>
      </c>
      <c r="J482" t="n">
        <v>0</v>
      </c>
      <c r="K482" t="n">
        <v>0</v>
      </c>
      <c r="L482" t="n">
        <v>0</v>
      </c>
      <c r="M482" t="n">
        <v>0</v>
      </c>
      <c r="N482" t="n">
        <v>0</v>
      </c>
      <c r="O482" t="n">
        <v>0</v>
      </c>
      <c r="P482" t="n">
        <v>0</v>
      </c>
      <c r="Q482" t="n">
        <v>0</v>
      </c>
      <c r="R482" s="2" t="inlineStr"/>
    </row>
    <row r="483" ht="15" customHeight="1">
      <c r="A483" t="inlineStr">
        <is>
          <t>A 39620-2024</t>
        </is>
      </c>
      <c r="B483" s="1" t="n">
        <v>45552.43163194445</v>
      </c>
      <c r="C483" s="1" t="n">
        <v>45886</v>
      </c>
      <c r="D483" t="inlineStr">
        <is>
          <t>DALARNAS LÄN</t>
        </is>
      </c>
      <c r="E483" t="inlineStr">
        <is>
          <t>LEKSAND</t>
        </is>
      </c>
      <c r="G483" t="n">
        <v>2.3</v>
      </c>
      <c r="H483" t="n">
        <v>0</v>
      </c>
      <c r="I483" t="n">
        <v>0</v>
      </c>
      <c r="J483" t="n">
        <v>0</v>
      </c>
      <c r="K483" t="n">
        <v>0</v>
      </c>
      <c r="L483" t="n">
        <v>0</v>
      </c>
      <c r="M483" t="n">
        <v>0</v>
      </c>
      <c r="N483" t="n">
        <v>0</v>
      </c>
      <c r="O483" t="n">
        <v>0</v>
      </c>
      <c r="P483" t="n">
        <v>0</v>
      </c>
      <c r="Q483" t="n">
        <v>0</v>
      </c>
      <c r="R483" s="2" t="inlineStr"/>
    </row>
    <row r="484" ht="15" customHeight="1">
      <c r="A484" t="inlineStr">
        <is>
          <t>A 57907-2024</t>
        </is>
      </c>
      <c r="B484" s="1" t="n">
        <v>45630</v>
      </c>
      <c r="C484" s="1" t="n">
        <v>45886</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36021-2025</t>
        </is>
      </c>
      <c r="B485" s="1" t="n">
        <v>45863.72346064815</v>
      </c>
      <c r="C485" s="1" t="n">
        <v>45886</v>
      </c>
      <c r="D485" t="inlineStr">
        <is>
          <t>DALARNAS LÄN</t>
        </is>
      </c>
      <c r="E485" t="inlineStr">
        <is>
          <t>LEKSAND</t>
        </is>
      </c>
      <c r="G485" t="n">
        <v>1.9</v>
      </c>
      <c r="H485" t="n">
        <v>0</v>
      </c>
      <c r="I485" t="n">
        <v>0</v>
      </c>
      <c r="J485" t="n">
        <v>0</v>
      </c>
      <c r="K485" t="n">
        <v>0</v>
      </c>
      <c r="L485" t="n">
        <v>0</v>
      </c>
      <c r="M485" t="n">
        <v>0</v>
      </c>
      <c r="N485" t="n">
        <v>0</v>
      </c>
      <c r="O485" t="n">
        <v>0</v>
      </c>
      <c r="P485" t="n">
        <v>0</v>
      </c>
      <c r="Q485" t="n">
        <v>0</v>
      </c>
      <c r="R485" s="2" t="inlineStr"/>
    </row>
    <row r="486" ht="15" customHeight="1">
      <c r="A486" t="inlineStr">
        <is>
          <t>A 38498-2025</t>
        </is>
      </c>
      <c r="B486" s="1" t="n">
        <v>45884.3706712963</v>
      </c>
      <c r="C486" s="1" t="n">
        <v>45886</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46665-2023</t>
        </is>
      </c>
      <c r="B487" s="1" t="n">
        <v>45198.47399305556</v>
      </c>
      <c r="C487" s="1" t="n">
        <v>45886</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59236-2024</t>
        </is>
      </c>
      <c r="B488" s="1" t="n">
        <v>45637.58795138889</v>
      </c>
      <c r="C488" s="1" t="n">
        <v>45886</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56749-2024</t>
        </is>
      </c>
      <c r="B489" s="1" t="n">
        <v>45628.37487268518</v>
      </c>
      <c r="C489" s="1" t="n">
        <v>45886</v>
      </c>
      <c r="D489" t="inlineStr">
        <is>
          <t>DALARNAS LÄN</t>
        </is>
      </c>
      <c r="E489" t="inlineStr">
        <is>
          <t>LEKSAND</t>
        </is>
      </c>
      <c r="G489" t="n">
        <v>5</v>
      </c>
      <c r="H489" t="n">
        <v>0</v>
      </c>
      <c r="I489" t="n">
        <v>0</v>
      </c>
      <c r="J489" t="n">
        <v>0</v>
      </c>
      <c r="K489" t="n">
        <v>0</v>
      </c>
      <c r="L489" t="n">
        <v>0</v>
      </c>
      <c r="M489" t="n">
        <v>0</v>
      </c>
      <c r="N489" t="n">
        <v>0</v>
      </c>
      <c r="O489" t="n">
        <v>0</v>
      </c>
      <c r="P489" t="n">
        <v>0</v>
      </c>
      <c r="Q489" t="n">
        <v>0</v>
      </c>
      <c r="R489" s="2" t="inlineStr"/>
    </row>
    <row r="490" ht="15" customHeight="1">
      <c r="A490" t="inlineStr">
        <is>
          <t>A 34038-2024</t>
        </is>
      </c>
      <c r="B490" s="1" t="n">
        <v>45523.59578703704</v>
      </c>
      <c r="C490" s="1" t="n">
        <v>45886</v>
      </c>
      <c r="D490" t="inlineStr">
        <is>
          <t>DALARNAS LÄN</t>
        </is>
      </c>
      <c r="E490" t="inlineStr">
        <is>
          <t>LEKSAND</t>
        </is>
      </c>
      <c r="G490" t="n">
        <v>0.3</v>
      </c>
      <c r="H490" t="n">
        <v>0</v>
      </c>
      <c r="I490" t="n">
        <v>0</v>
      </c>
      <c r="J490" t="n">
        <v>0</v>
      </c>
      <c r="K490" t="n">
        <v>0</v>
      </c>
      <c r="L490" t="n">
        <v>0</v>
      </c>
      <c r="M490" t="n">
        <v>0</v>
      </c>
      <c r="N490" t="n">
        <v>0</v>
      </c>
      <c r="O490" t="n">
        <v>0</v>
      </c>
      <c r="P490" t="n">
        <v>0</v>
      </c>
      <c r="Q490" t="n">
        <v>0</v>
      </c>
      <c r="R490" s="2" t="inlineStr"/>
    </row>
    <row r="491" ht="15" customHeight="1">
      <c r="A491" t="inlineStr">
        <is>
          <t>A 34041-2024</t>
        </is>
      </c>
      <c r="B491" s="1" t="n">
        <v>45523.59895833334</v>
      </c>
      <c r="C491" s="1" t="n">
        <v>45886</v>
      </c>
      <c r="D491" t="inlineStr">
        <is>
          <t>DALARNAS LÄN</t>
        </is>
      </c>
      <c r="E491" t="inlineStr">
        <is>
          <t>LEKSAND</t>
        </is>
      </c>
      <c r="G491" t="n">
        <v>4</v>
      </c>
      <c r="H491" t="n">
        <v>0</v>
      </c>
      <c r="I491" t="n">
        <v>0</v>
      </c>
      <c r="J491" t="n">
        <v>0</v>
      </c>
      <c r="K491" t="n">
        <v>0</v>
      </c>
      <c r="L491" t="n">
        <v>0</v>
      </c>
      <c r="M491" t="n">
        <v>0</v>
      </c>
      <c r="N491" t="n">
        <v>0</v>
      </c>
      <c r="O491" t="n">
        <v>0</v>
      </c>
      <c r="P491" t="n">
        <v>0</v>
      </c>
      <c r="Q491" t="n">
        <v>0</v>
      </c>
      <c r="R491" s="2" t="inlineStr"/>
    </row>
    <row r="492" ht="15" customHeight="1">
      <c r="A492" t="inlineStr">
        <is>
          <t>A 14615-2024</t>
        </is>
      </c>
      <c r="B492" s="1" t="n">
        <v>45397.26047453703</v>
      </c>
      <c r="C492" s="1" t="n">
        <v>45886</v>
      </c>
      <c r="D492" t="inlineStr">
        <is>
          <t>DALARNAS LÄN</t>
        </is>
      </c>
      <c r="E492" t="inlineStr">
        <is>
          <t>LEKSAND</t>
        </is>
      </c>
      <c r="G492" t="n">
        <v>0.4</v>
      </c>
      <c r="H492" t="n">
        <v>0</v>
      </c>
      <c r="I492" t="n">
        <v>0</v>
      </c>
      <c r="J492" t="n">
        <v>0</v>
      </c>
      <c r="K492" t="n">
        <v>0</v>
      </c>
      <c r="L492" t="n">
        <v>0</v>
      </c>
      <c r="M492" t="n">
        <v>0</v>
      </c>
      <c r="N492" t="n">
        <v>0</v>
      </c>
      <c r="O492" t="n">
        <v>0</v>
      </c>
      <c r="P492" t="n">
        <v>0</v>
      </c>
      <c r="Q492" t="n">
        <v>0</v>
      </c>
      <c r="R492" s="2" t="inlineStr"/>
    </row>
    <row r="493" ht="15" customHeight="1">
      <c r="A493" t="inlineStr">
        <is>
          <t>A 41093-2020</t>
        </is>
      </c>
      <c r="B493" s="1" t="n">
        <v>44071</v>
      </c>
      <c r="C493" s="1" t="n">
        <v>45886</v>
      </c>
      <c r="D493" t="inlineStr">
        <is>
          <t>DALARNAS LÄN</t>
        </is>
      </c>
      <c r="E493" t="inlineStr">
        <is>
          <t>LEKSAND</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30863-2024</t>
        </is>
      </c>
      <c r="B494" s="1" t="n">
        <v>45497.71074074074</v>
      </c>
      <c r="C494" s="1" t="n">
        <v>45886</v>
      </c>
      <c r="D494" t="inlineStr">
        <is>
          <t>DALARNAS LÄN</t>
        </is>
      </c>
      <c r="E494" t="inlineStr">
        <is>
          <t>LEKSAND</t>
        </is>
      </c>
      <c r="F494" t="inlineStr">
        <is>
          <t>Bergvik skog väst AB</t>
        </is>
      </c>
      <c r="G494" t="n">
        <v>0.6</v>
      </c>
      <c r="H494" t="n">
        <v>0</v>
      </c>
      <c r="I494" t="n">
        <v>0</v>
      </c>
      <c r="J494" t="n">
        <v>0</v>
      </c>
      <c r="K494" t="n">
        <v>0</v>
      </c>
      <c r="L494" t="n">
        <v>0</v>
      </c>
      <c r="M494" t="n">
        <v>0</v>
      </c>
      <c r="N494" t="n">
        <v>0</v>
      </c>
      <c r="O494" t="n">
        <v>0</v>
      </c>
      <c r="P494" t="n">
        <v>0</v>
      </c>
      <c r="Q494" t="n">
        <v>0</v>
      </c>
      <c r="R494" s="2" t="inlineStr"/>
    </row>
    <row r="495" ht="15" customHeight="1">
      <c r="A495" t="inlineStr">
        <is>
          <t>A 33804-2025</t>
        </is>
      </c>
      <c r="B495" s="1" t="n">
        <v>45842</v>
      </c>
      <c r="C495" s="1" t="n">
        <v>45886</v>
      </c>
      <c r="D495" t="inlineStr">
        <is>
          <t>DALARNAS LÄN</t>
        </is>
      </c>
      <c r="E495" t="inlineStr">
        <is>
          <t>LEKSAND</t>
        </is>
      </c>
      <c r="G495" t="n">
        <v>1.2</v>
      </c>
      <c r="H495" t="n">
        <v>0</v>
      </c>
      <c r="I495" t="n">
        <v>0</v>
      </c>
      <c r="J495" t="n">
        <v>0</v>
      </c>
      <c r="K495" t="n">
        <v>0</v>
      </c>
      <c r="L495" t="n">
        <v>0</v>
      </c>
      <c r="M495" t="n">
        <v>0</v>
      </c>
      <c r="N495" t="n">
        <v>0</v>
      </c>
      <c r="O495" t="n">
        <v>0</v>
      </c>
      <c r="P495" t="n">
        <v>0</v>
      </c>
      <c r="Q495" t="n">
        <v>0</v>
      </c>
      <c r="R495" s="2" t="inlineStr"/>
    </row>
    <row r="496" ht="15" customHeight="1">
      <c r="A496" t="inlineStr">
        <is>
          <t>A 54289-2023</t>
        </is>
      </c>
      <c r="B496" s="1" t="n">
        <v>45232.71193287037</v>
      </c>
      <c r="C496" s="1" t="n">
        <v>45886</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10833-2023</t>
        </is>
      </c>
      <c r="B497" s="1" t="n">
        <v>44990</v>
      </c>
      <c r="C497" s="1" t="n">
        <v>45886</v>
      </c>
      <c r="D497" t="inlineStr">
        <is>
          <t>DALARNAS LÄN</t>
        </is>
      </c>
      <c r="E497" t="inlineStr">
        <is>
          <t>LEKSAND</t>
        </is>
      </c>
      <c r="G497" t="n">
        <v>1.7</v>
      </c>
      <c r="H497" t="n">
        <v>0</v>
      </c>
      <c r="I497" t="n">
        <v>0</v>
      </c>
      <c r="J497" t="n">
        <v>0</v>
      </c>
      <c r="K497" t="n">
        <v>0</v>
      </c>
      <c r="L497" t="n">
        <v>0</v>
      </c>
      <c r="M497" t="n">
        <v>0</v>
      </c>
      <c r="N497" t="n">
        <v>0</v>
      </c>
      <c r="O497" t="n">
        <v>0</v>
      </c>
      <c r="P497" t="n">
        <v>0</v>
      </c>
      <c r="Q497" t="n">
        <v>0</v>
      </c>
      <c r="R497" s="2" t="inlineStr"/>
    </row>
    <row r="498" ht="15" customHeight="1">
      <c r="A498" t="inlineStr">
        <is>
          <t>A 29157-2022</t>
        </is>
      </c>
      <c r="B498" s="1" t="n">
        <v>44750.48355324074</v>
      </c>
      <c r="C498" s="1" t="n">
        <v>45886</v>
      </c>
      <c r="D498" t="inlineStr">
        <is>
          <t>DALARNAS LÄN</t>
        </is>
      </c>
      <c r="E498" t="inlineStr">
        <is>
          <t>LEKSAND</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17233-2023</t>
        </is>
      </c>
      <c r="B499" s="1" t="n">
        <v>45035</v>
      </c>
      <c r="C499" s="1" t="n">
        <v>45886</v>
      </c>
      <c r="D499" t="inlineStr">
        <is>
          <t>DALARNAS LÄN</t>
        </is>
      </c>
      <c r="E499" t="inlineStr">
        <is>
          <t>LEKSAND</t>
        </is>
      </c>
      <c r="G499" t="n">
        <v>1.6</v>
      </c>
      <c r="H499" t="n">
        <v>0</v>
      </c>
      <c r="I499" t="n">
        <v>0</v>
      </c>
      <c r="J499" t="n">
        <v>0</v>
      </c>
      <c r="K499" t="n">
        <v>0</v>
      </c>
      <c r="L499" t="n">
        <v>0</v>
      </c>
      <c r="M499" t="n">
        <v>0</v>
      </c>
      <c r="N499" t="n">
        <v>0</v>
      </c>
      <c r="O499" t="n">
        <v>0</v>
      </c>
      <c r="P499" t="n">
        <v>0</v>
      </c>
      <c r="Q499" t="n">
        <v>0</v>
      </c>
      <c r="R499" s="2" t="inlineStr"/>
    </row>
    <row r="500" ht="15" customHeight="1">
      <c r="A500" t="inlineStr">
        <is>
          <t>A 16231-2021</t>
        </is>
      </c>
      <c r="B500" s="1" t="n">
        <v>44292</v>
      </c>
      <c r="C500" s="1" t="n">
        <v>45886</v>
      </c>
      <c r="D500" t="inlineStr">
        <is>
          <t>DALARNAS LÄN</t>
        </is>
      </c>
      <c r="E500" t="inlineStr">
        <is>
          <t>LEKSAND</t>
        </is>
      </c>
      <c r="G500" t="n">
        <v>1.1</v>
      </c>
      <c r="H500" t="n">
        <v>0</v>
      </c>
      <c r="I500" t="n">
        <v>0</v>
      </c>
      <c r="J500" t="n">
        <v>0</v>
      </c>
      <c r="K500" t="n">
        <v>0</v>
      </c>
      <c r="L500" t="n">
        <v>0</v>
      </c>
      <c r="M500" t="n">
        <v>0</v>
      </c>
      <c r="N500" t="n">
        <v>0</v>
      </c>
      <c r="O500" t="n">
        <v>0</v>
      </c>
      <c r="P500" t="n">
        <v>0</v>
      </c>
      <c r="Q500" t="n">
        <v>0</v>
      </c>
      <c r="R500" s="2" t="inlineStr"/>
    </row>
    <row r="501" ht="15" customHeight="1">
      <c r="A501" t="inlineStr">
        <is>
          <t>A 12356-2023</t>
        </is>
      </c>
      <c r="B501" s="1" t="n">
        <v>44998</v>
      </c>
      <c r="C501" s="1" t="n">
        <v>45886</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12857-2023</t>
        </is>
      </c>
      <c r="B502" s="1" t="n">
        <v>45001.5000462963</v>
      </c>
      <c r="C502" s="1" t="n">
        <v>45886</v>
      </c>
      <c r="D502" t="inlineStr">
        <is>
          <t>DALARNAS LÄN</t>
        </is>
      </c>
      <c r="E502" t="inlineStr">
        <is>
          <t>LEKSAND</t>
        </is>
      </c>
      <c r="G502" t="n">
        <v>0.2</v>
      </c>
      <c r="H502" t="n">
        <v>0</v>
      </c>
      <c r="I502" t="n">
        <v>0</v>
      </c>
      <c r="J502" t="n">
        <v>0</v>
      </c>
      <c r="K502" t="n">
        <v>0</v>
      </c>
      <c r="L502" t="n">
        <v>0</v>
      </c>
      <c r="M502" t="n">
        <v>0</v>
      </c>
      <c r="N502" t="n">
        <v>0</v>
      </c>
      <c r="O502" t="n">
        <v>0</v>
      </c>
      <c r="P502" t="n">
        <v>0</v>
      </c>
      <c r="Q502" t="n">
        <v>0</v>
      </c>
      <c r="R502" s="2" t="inlineStr"/>
    </row>
    <row r="503" ht="15" customHeight="1">
      <c r="A503" t="inlineStr">
        <is>
          <t>A 41046-2024</t>
        </is>
      </c>
      <c r="B503" s="1" t="n">
        <v>45559.36677083333</v>
      </c>
      <c r="C503" s="1" t="n">
        <v>45886</v>
      </c>
      <c r="D503" t="inlineStr">
        <is>
          <t>DALARNAS LÄN</t>
        </is>
      </c>
      <c r="E503" t="inlineStr">
        <is>
          <t>LEKSAND</t>
        </is>
      </c>
      <c r="G503" t="n">
        <v>1.9</v>
      </c>
      <c r="H503" t="n">
        <v>0</v>
      </c>
      <c r="I503" t="n">
        <v>0</v>
      </c>
      <c r="J503" t="n">
        <v>0</v>
      </c>
      <c r="K503" t="n">
        <v>0</v>
      </c>
      <c r="L503" t="n">
        <v>0</v>
      </c>
      <c r="M503" t="n">
        <v>0</v>
      </c>
      <c r="N503" t="n">
        <v>0</v>
      </c>
      <c r="O503" t="n">
        <v>0</v>
      </c>
      <c r="P503" t="n">
        <v>0</v>
      </c>
      <c r="Q503" t="n">
        <v>0</v>
      </c>
      <c r="R503" s="2" t="inlineStr"/>
    </row>
    <row r="504" ht="15" customHeight="1">
      <c r="A504" t="inlineStr">
        <is>
          <t>A 28674-2024</t>
        </is>
      </c>
      <c r="B504" s="1" t="n">
        <v>45478.47863425926</v>
      </c>
      <c r="C504" s="1" t="n">
        <v>45886</v>
      </c>
      <c r="D504" t="inlineStr">
        <is>
          <t>DALARNAS LÄN</t>
        </is>
      </c>
      <c r="E504" t="inlineStr">
        <is>
          <t>LEKSAND</t>
        </is>
      </c>
      <c r="G504" t="n">
        <v>4.9</v>
      </c>
      <c r="H504" t="n">
        <v>0</v>
      </c>
      <c r="I504" t="n">
        <v>0</v>
      </c>
      <c r="J504" t="n">
        <v>0</v>
      </c>
      <c r="K504" t="n">
        <v>0</v>
      </c>
      <c r="L504" t="n">
        <v>0</v>
      </c>
      <c r="M504" t="n">
        <v>0</v>
      </c>
      <c r="N504" t="n">
        <v>0</v>
      </c>
      <c r="O504" t="n">
        <v>0</v>
      </c>
      <c r="P504" t="n">
        <v>0</v>
      </c>
      <c r="Q504" t="n">
        <v>0</v>
      </c>
      <c r="R504" s="2" t="inlineStr"/>
    </row>
    <row r="505" ht="15" customHeight="1">
      <c r="A505" t="inlineStr">
        <is>
          <t>A 56016-2024</t>
        </is>
      </c>
      <c r="B505" s="1" t="n">
        <v>45623.87737268519</v>
      </c>
      <c r="C505" s="1" t="n">
        <v>45886</v>
      </c>
      <c r="D505" t="inlineStr">
        <is>
          <t>DALARNAS LÄN</t>
        </is>
      </c>
      <c r="E505" t="inlineStr">
        <is>
          <t>LEKSAND</t>
        </is>
      </c>
      <c r="G505" t="n">
        <v>6.1</v>
      </c>
      <c r="H505" t="n">
        <v>0</v>
      </c>
      <c r="I505" t="n">
        <v>0</v>
      </c>
      <c r="J505" t="n">
        <v>0</v>
      </c>
      <c r="K505" t="n">
        <v>0</v>
      </c>
      <c r="L505" t="n">
        <v>0</v>
      </c>
      <c r="M505" t="n">
        <v>0</v>
      </c>
      <c r="N505" t="n">
        <v>0</v>
      </c>
      <c r="O505" t="n">
        <v>0</v>
      </c>
      <c r="P505" t="n">
        <v>0</v>
      </c>
      <c r="Q505" t="n">
        <v>0</v>
      </c>
      <c r="R505" s="2" t="inlineStr"/>
    </row>
    <row r="506" ht="15" customHeight="1">
      <c r="A506" t="inlineStr">
        <is>
          <t>A 19622-2024</t>
        </is>
      </c>
      <c r="B506" s="1" t="n">
        <v>45432.33592592592</v>
      </c>
      <c r="C506" s="1" t="n">
        <v>45886</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55926-2024</t>
        </is>
      </c>
      <c r="B507" s="1" t="n">
        <v>45623.601875</v>
      </c>
      <c r="C507" s="1" t="n">
        <v>45886</v>
      </c>
      <c r="D507" t="inlineStr">
        <is>
          <t>DALARNAS LÄN</t>
        </is>
      </c>
      <c r="E507" t="inlineStr">
        <is>
          <t>LEKSAND</t>
        </is>
      </c>
      <c r="G507" t="n">
        <v>0.6</v>
      </c>
      <c r="H507" t="n">
        <v>0</v>
      </c>
      <c r="I507" t="n">
        <v>0</v>
      </c>
      <c r="J507" t="n">
        <v>0</v>
      </c>
      <c r="K507" t="n">
        <v>0</v>
      </c>
      <c r="L507" t="n">
        <v>0</v>
      </c>
      <c r="M507" t="n">
        <v>0</v>
      </c>
      <c r="N507" t="n">
        <v>0</v>
      </c>
      <c r="O507" t="n">
        <v>0</v>
      </c>
      <c r="P507" t="n">
        <v>0</v>
      </c>
      <c r="Q507" t="n">
        <v>0</v>
      </c>
      <c r="R507" s="2" t="inlineStr"/>
    </row>
    <row r="508" ht="15" customHeight="1">
      <c r="A508" t="inlineStr">
        <is>
          <t>A 16293-2025</t>
        </is>
      </c>
      <c r="B508" s="1" t="n">
        <v>45751.33447916667</v>
      </c>
      <c r="C508" s="1" t="n">
        <v>45886</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51860-2024</t>
        </is>
      </c>
      <c r="B509" s="1" t="n">
        <v>45607.54511574074</v>
      </c>
      <c r="C509" s="1" t="n">
        <v>45886</v>
      </c>
      <c r="D509" t="inlineStr">
        <is>
          <t>DALARNAS LÄN</t>
        </is>
      </c>
      <c r="E509" t="inlineStr">
        <is>
          <t>LEKSAND</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12363-2023</t>
        </is>
      </c>
      <c r="B510" s="1" t="n">
        <v>44998</v>
      </c>
      <c r="C510" s="1" t="n">
        <v>45886</v>
      </c>
      <c r="D510" t="inlineStr">
        <is>
          <t>DALARNAS LÄN</t>
        </is>
      </c>
      <c r="E510" t="inlineStr">
        <is>
          <t>LEKSAND</t>
        </is>
      </c>
      <c r="G510" t="n">
        <v>10</v>
      </c>
      <c r="H510" t="n">
        <v>0</v>
      </c>
      <c r="I510" t="n">
        <v>0</v>
      </c>
      <c r="J510" t="n">
        <v>0</v>
      </c>
      <c r="K510" t="n">
        <v>0</v>
      </c>
      <c r="L510" t="n">
        <v>0</v>
      </c>
      <c r="M510" t="n">
        <v>0</v>
      </c>
      <c r="N510" t="n">
        <v>0</v>
      </c>
      <c r="O510" t="n">
        <v>0</v>
      </c>
      <c r="P510" t="n">
        <v>0</v>
      </c>
      <c r="Q510" t="n">
        <v>0</v>
      </c>
      <c r="R510" s="2" t="inlineStr"/>
    </row>
    <row r="511" ht="15" customHeight="1">
      <c r="A511" t="inlineStr">
        <is>
          <t>A 27317-2021</t>
        </is>
      </c>
      <c r="B511" s="1" t="n">
        <v>44351</v>
      </c>
      <c r="C511" s="1" t="n">
        <v>45886</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61055-2023</t>
        </is>
      </c>
      <c r="B512" s="1" t="n">
        <v>45261</v>
      </c>
      <c r="C512" s="1" t="n">
        <v>45886</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15020-2023</t>
        </is>
      </c>
      <c r="B513" s="1" t="n">
        <v>45015.6196412037</v>
      </c>
      <c r="C513" s="1" t="n">
        <v>45886</v>
      </c>
      <c r="D513" t="inlineStr">
        <is>
          <t>DALARNAS LÄN</t>
        </is>
      </c>
      <c r="E513" t="inlineStr">
        <is>
          <t>LEKSAND</t>
        </is>
      </c>
      <c r="G513" t="n">
        <v>2.6</v>
      </c>
      <c r="H513" t="n">
        <v>0</v>
      </c>
      <c r="I513" t="n">
        <v>0</v>
      </c>
      <c r="J513" t="n">
        <v>0</v>
      </c>
      <c r="K513" t="n">
        <v>0</v>
      </c>
      <c r="L513" t="n">
        <v>0</v>
      </c>
      <c r="M513" t="n">
        <v>0</v>
      </c>
      <c r="N513" t="n">
        <v>0</v>
      </c>
      <c r="O513" t="n">
        <v>0</v>
      </c>
      <c r="P513" t="n">
        <v>0</v>
      </c>
      <c r="Q513" t="n">
        <v>0</v>
      </c>
      <c r="R513" s="2" t="inlineStr"/>
    </row>
    <row r="514" ht="15" customHeight="1">
      <c r="A514" t="inlineStr">
        <is>
          <t>A 10743-2024</t>
        </is>
      </c>
      <c r="B514" s="1" t="n">
        <v>45369.52167824074</v>
      </c>
      <c r="C514" s="1" t="n">
        <v>45886</v>
      </c>
      <c r="D514" t="inlineStr">
        <is>
          <t>DALARNAS LÄN</t>
        </is>
      </c>
      <c r="E514" t="inlineStr">
        <is>
          <t>LEKSAND</t>
        </is>
      </c>
      <c r="G514" t="n">
        <v>2.7</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45886</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10299-2024</t>
        </is>
      </c>
      <c r="B516" s="1" t="n">
        <v>45365.50425925926</v>
      </c>
      <c r="C516" s="1" t="n">
        <v>45886</v>
      </c>
      <c r="D516" t="inlineStr">
        <is>
          <t>DALARNAS LÄN</t>
        </is>
      </c>
      <c r="E516" t="inlineStr">
        <is>
          <t>LEKSAND</t>
        </is>
      </c>
      <c r="G516" t="n">
        <v>3.6</v>
      </c>
      <c r="H516" t="n">
        <v>0</v>
      </c>
      <c r="I516" t="n">
        <v>0</v>
      </c>
      <c r="J516" t="n">
        <v>0</v>
      </c>
      <c r="K516" t="n">
        <v>0</v>
      </c>
      <c r="L516" t="n">
        <v>0</v>
      </c>
      <c r="M516" t="n">
        <v>0</v>
      </c>
      <c r="N516" t="n">
        <v>0</v>
      </c>
      <c r="O516" t="n">
        <v>0</v>
      </c>
      <c r="P516" t="n">
        <v>0</v>
      </c>
      <c r="Q516" t="n">
        <v>0</v>
      </c>
      <c r="R516" s="2" t="inlineStr"/>
    </row>
    <row r="517" ht="15" customHeight="1">
      <c r="A517" t="inlineStr">
        <is>
          <t>A 55643-2024</t>
        </is>
      </c>
      <c r="B517" s="1" t="n">
        <v>45621</v>
      </c>
      <c r="C517" s="1" t="n">
        <v>45886</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60129-2023</t>
        </is>
      </c>
      <c r="B518" s="1" t="n">
        <v>45258.49056712963</v>
      </c>
      <c r="C518" s="1" t="n">
        <v>45886</v>
      </c>
      <c r="D518" t="inlineStr">
        <is>
          <t>DALARNAS LÄN</t>
        </is>
      </c>
      <c r="E518" t="inlineStr">
        <is>
          <t>LEKSAND</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16137-2023</t>
        </is>
      </c>
      <c r="B519" s="1" t="n">
        <v>45027</v>
      </c>
      <c r="C519" s="1" t="n">
        <v>45886</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56283-2024</t>
        </is>
      </c>
      <c r="B520" s="1" t="n">
        <v>45624.67864583333</v>
      </c>
      <c r="C520" s="1" t="n">
        <v>45886</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56299-2024</t>
        </is>
      </c>
      <c r="B521" s="1" t="n">
        <v>45624.68607638889</v>
      </c>
      <c r="C521" s="1" t="n">
        <v>45886</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43077-2024</t>
        </is>
      </c>
      <c r="B522" s="1" t="n">
        <v>45567.50030092592</v>
      </c>
      <c r="C522" s="1" t="n">
        <v>45886</v>
      </c>
      <c r="D522" t="inlineStr">
        <is>
          <t>DALARNAS LÄN</t>
        </is>
      </c>
      <c r="E522" t="inlineStr">
        <is>
          <t>LEKSAND</t>
        </is>
      </c>
      <c r="G522" t="n">
        <v>1.6</v>
      </c>
      <c r="H522" t="n">
        <v>0</v>
      </c>
      <c r="I522" t="n">
        <v>0</v>
      </c>
      <c r="J522" t="n">
        <v>0</v>
      </c>
      <c r="K522" t="n">
        <v>0</v>
      </c>
      <c r="L522" t="n">
        <v>0</v>
      </c>
      <c r="M522" t="n">
        <v>0</v>
      </c>
      <c r="N522" t="n">
        <v>0</v>
      </c>
      <c r="O522" t="n">
        <v>0</v>
      </c>
      <c r="P522" t="n">
        <v>0</v>
      </c>
      <c r="Q522" t="n">
        <v>0</v>
      </c>
      <c r="R522" s="2" t="inlineStr"/>
    </row>
    <row r="523" ht="15" customHeight="1">
      <c r="A523" t="inlineStr">
        <is>
          <t>A 10367-2023</t>
        </is>
      </c>
      <c r="B523" s="1" t="n">
        <v>44987</v>
      </c>
      <c r="C523" s="1" t="n">
        <v>45886</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25251-2024</t>
        </is>
      </c>
      <c r="B524" s="1" t="n">
        <v>45462.60913194445</v>
      </c>
      <c r="C524" s="1" t="n">
        <v>45886</v>
      </c>
      <c r="D524" t="inlineStr">
        <is>
          <t>DALARNAS LÄN</t>
        </is>
      </c>
      <c r="E524" t="inlineStr">
        <is>
          <t>LEKSAND</t>
        </is>
      </c>
      <c r="F524" t="inlineStr">
        <is>
          <t>Bergvik skog väst AB</t>
        </is>
      </c>
      <c r="G524" t="n">
        <v>2.4</v>
      </c>
      <c r="H524" t="n">
        <v>0</v>
      </c>
      <c r="I524" t="n">
        <v>0</v>
      </c>
      <c r="J524" t="n">
        <v>0</v>
      </c>
      <c r="K524" t="n">
        <v>0</v>
      </c>
      <c r="L524" t="n">
        <v>0</v>
      </c>
      <c r="M524" t="n">
        <v>0</v>
      </c>
      <c r="N524" t="n">
        <v>0</v>
      </c>
      <c r="O524" t="n">
        <v>0</v>
      </c>
      <c r="P524" t="n">
        <v>0</v>
      </c>
      <c r="Q524" t="n">
        <v>0</v>
      </c>
      <c r="R524" s="2" t="inlineStr"/>
    </row>
    <row r="525" ht="15" customHeight="1">
      <c r="A525" t="inlineStr">
        <is>
          <t>A 1946-2024</t>
        </is>
      </c>
      <c r="B525" s="1" t="n">
        <v>45308</v>
      </c>
      <c r="C525" s="1" t="n">
        <v>45886</v>
      </c>
      <c r="D525" t="inlineStr">
        <is>
          <t>DALARNAS LÄN</t>
        </is>
      </c>
      <c r="E525" t="inlineStr">
        <is>
          <t>LEKSAND</t>
        </is>
      </c>
      <c r="G525" t="n">
        <v>2.3</v>
      </c>
      <c r="H525" t="n">
        <v>0</v>
      </c>
      <c r="I525" t="n">
        <v>0</v>
      </c>
      <c r="J525" t="n">
        <v>0</v>
      </c>
      <c r="K525" t="n">
        <v>0</v>
      </c>
      <c r="L525" t="n">
        <v>0</v>
      </c>
      <c r="M525" t="n">
        <v>0</v>
      </c>
      <c r="N525" t="n">
        <v>0</v>
      </c>
      <c r="O525" t="n">
        <v>0</v>
      </c>
      <c r="P525" t="n">
        <v>0</v>
      </c>
      <c r="Q525" t="n">
        <v>0</v>
      </c>
      <c r="R525" s="2" t="inlineStr"/>
    </row>
    <row r="526" ht="15" customHeight="1">
      <c r="A526" t="inlineStr">
        <is>
          <t>A 24005-2024</t>
        </is>
      </c>
      <c r="B526" s="1" t="n">
        <v>45456.39239583333</v>
      </c>
      <c r="C526" s="1" t="n">
        <v>45886</v>
      </c>
      <c r="D526" t="inlineStr">
        <is>
          <t>DALARNAS LÄN</t>
        </is>
      </c>
      <c r="E526" t="inlineStr">
        <is>
          <t>LEKSAND</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59763-2023</t>
        </is>
      </c>
      <c r="B527" s="1" t="n">
        <v>45257</v>
      </c>
      <c r="C527" s="1" t="n">
        <v>45886</v>
      </c>
      <c r="D527" t="inlineStr">
        <is>
          <t>DALARNAS LÄN</t>
        </is>
      </c>
      <c r="E527" t="inlineStr">
        <is>
          <t>LEKSAND</t>
        </is>
      </c>
      <c r="G527" t="n">
        <v>1.6</v>
      </c>
      <c r="H527" t="n">
        <v>0</v>
      </c>
      <c r="I527" t="n">
        <v>0</v>
      </c>
      <c r="J527" t="n">
        <v>0</v>
      </c>
      <c r="K527" t="n">
        <v>0</v>
      </c>
      <c r="L527" t="n">
        <v>0</v>
      </c>
      <c r="M527" t="n">
        <v>0</v>
      </c>
      <c r="N527" t="n">
        <v>0</v>
      </c>
      <c r="O527" t="n">
        <v>0</v>
      </c>
      <c r="P527" t="n">
        <v>0</v>
      </c>
      <c r="Q527" t="n">
        <v>0</v>
      </c>
      <c r="R527" s="2" t="inlineStr"/>
    </row>
    <row r="528" ht="15" customHeight="1">
      <c r="A528" t="inlineStr">
        <is>
          <t>A 1984-2025</t>
        </is>
      </c>
      <c r="B528" s="1" t="n">
        <v>45670</v>
      </c>
      <c r="C528" s="1" t="n">
        <v>45886</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59199-2024</t>
        </is>
      </c>
      <c r="B529" s="1" t="n">
        <v>45637</v>
      </c>
      <c r="C529" s="1" t="n">
        <v>45886</v>
      </c>
      <c r="D529" t="inlineStr">
        <is>
          <t>DALARNAS LÄN</t>
        </is>
      </c>
      <c r="E529" t="inlineStr">
        <is>
          <t>LEKSAND</t>
        </is>
      </c>
      <c r="G529" t="n">
        <v>5.4</v>
      </c>
      <c r="H529" t="n">
        <v>0</v>
      </c>
      <c r="I529" t="n">
        <v>0</v>
      </c>
      <c r="J529" t="n">
        <v>0</v>
      </c>
      <c r="K529" t="n">
        <v>0</v>
      </c>
      <c r="L529" t="n">
        <v>0</v>
      </c>
      <c r="M529" t="n">
        <v>0</v>
      </c>
      <c r="N529" t="n">
        <v>0</v>
      </c>
      <c r="O529" t="n">
        <v>0</v>
      </c>
      <c r="P529" t="n">
        <v>0</v>
      </c>
      <c r="Q529" t="n">
        <v>0</v>
      </c>
      <c r="R529" s="2" t="inlineStr"/>
    </row>
    <row r="530" ht="15" customHeight="1">
      <c r="A530" t="inlineStr">
        <is>
          <t>A 33310-2023</t>
        </is>
      </c>
      <c r="B530" s="1" t="n">
        <v>45127.82231481482</v>
      </c>
      <c r="C530" s="1" t="n">
        <v>45886</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57899-2024</t>
        </is>
      </c>
      <c r="B531" s="1" t="n">
        <v>45630</v>
      </c>
      <c r="C531" s="1" t="n">
        <v>45886</v>
      </c>
      <c r="D531" t="inlineStr">
        <is>
          <t>DALARNAS LÄN</t>
        </is>
      </c>
      <c r="E531" t="inlineStr">
        <is>
          <t>LEKSAND</t>
        </is>
      </c>
      <c r="G531" t="n">
        <v>0.6</v>
      </c>
      <c r="H531" t="n">
        <v>0</v>
      </c>
      <c r="I531" t="n">
        <v>0</v>
      </c>
      <c r="J531" t="n">
        <v>0</v>
      </c>
      <c r="K531" t="n">
        <v>0</v>
      </c>
      <c r="L531" t="n">
        <v>0</v>
      </c>
      <c r="M531" t="n">
        <v>0</v>
      </c>
      <c r="N531" t="n">
        <v>0</v>
      </c>
      <c r="O531" t="n">
        <v>0</v>
      </c>
      <c r="P531" t="n">
        <v>0</v>
      </c>
      <c r="Q531" t="n">
        <v>0</v>
      </c>
      <c r="R531" s="2" t="inlineStr"/>
    </row>
    <row r="532" ht="15" customHeight="1">
      <c r="A532" t="inlineStr">
        <is>
          <t>A 11110-2023</t>
        </is>
      </c>
      <c r="B532" s="1" t="n">
        <v>44992</v>
      </c>
      <c r="C532" s="1" t="n">
        <v>45886</v>
      </c>
      <c r="D532" t="inlineStr">
        <is>
          <t>DALARNAS LÄN</t>
        </is>
      </c>
      <c r="E532" t="inlineStr">
        <is>
          <t>LEKSAND</t>
        </is>
      </c>
      <c r="G532" t="n">
        <v>11.2</v>
      </c>
      <c r="H532" t="n">
        <v>0</v>
      </c>
      <c r="I532" t="n">
        <v>0</v>
      </c>
      <c r="J532" t="n">
        <v>0</v>
      </c>
      <c r="K532" t="n">
        <v>0</v>
      </c>
      <c r="L532" t="n">
        <v>0</v>
      </c>
      <c r="M532" t="n">
        <v>0</v>
      </c>
      <c r="N532" t="n">
        <v>0</v>
      </c>
      <c r="O532" t="n">
        <v>0</v>
      </c>
      <c r="P532" t="n">
        <v>0</v>
      </c>
      <c r="Q532" t="n">
        <v>0</v>
      </c>
      <c r="R532" s="2" t="inlineStr"/>
    </row>
    <row r="533" ht="15" customHeight="1">
      <c r="A533" t="inlineStr">
        <is>
          <t>A 56753-2023</t>
        </is>
      </c>
      <c r="B533" s="1" t="n">
        <v>45244.37094907407</v>
      </c>
      <c r="C533" s="1" t="n">
        <v>45886</v>
      </c>
      <c r="D533" t="inlineStr">
        <is>
          <t>DALARNAS LÄN</t>
        </is>
      </c>
      <c r="E533" t="inlineStr">
        <is>
          <t>LEKSAND</t>
        </is>
      </c>
      <c r="G533" t="n">
        <v>0.5</v>
      </c>
      <c r="H533" t="n">
        <v>0</v>
      </c>
      <c r="I533" t="n">
        <v>0</v>
      </c>
      <c r="J533" t="n">
        <v>0</v>
      </c>
      <c r="K533" t="n">
        <v>0</v>
      </c>
      <c r="L533" t="n">
        <v>0</v>
      </c>
      <c r="M533" t="n">
        <v>0</v>
      </c>
      <c r="N533" t="n">
        <v>0</v>
      </c>
      <c r="O533" t="n">
        <v>0</v>
      </c>
      <c r="P533" t="n">
        <v>0</v>
      </c>
      <c r="Q533" t="n">
        <v>0</v>
      </c>
      <c r="R533" s="2" t="inlineStr"/>
    </row>
    <row r="534" ht="15" customHeight="1">
      <c r="A534" t="inlineStr">
        <is>
          <t>A 17533-2023</t>
        </is>
      </c>
      <c r="B534" s="1" t="n">
        <v>45036</v>
      </c>
      <c r="C534" s="1" t="n">
        <v>45886</v>
      </c>
      <c r="D534" t="inlineStr">
        <is>
          <t>DALARNAS LÄN</t>
        </is>
      </c>
      <c r="E534" t="inlineStr">
        <is>
          <t>LEKSAND</t>
        </is>
      </c>
      <c r="G534" t="n">
        <v>3</v>
      </c>
      <c r="H534" t="n">
        <v>0</v>
      </c>
      <c r="I534" t="n">
        <v>0</v>
      </c>
      <c r="J534" t="n">
        <v>0</v>
      </c>
      <c r="K534" t="n">
        <v>0</v>
      </c>
      <c r="L534" t="n">
        <v>0</v>
      </c>
      <c r="M534" t="n">
        <v>0</v>
      </c>
      <c r="N534" t="n">
        <v>0</v>
      </c>
      <c r="O534" t="n">
        <v>0</v>
      </c>
      <c r="P534" t="n">
        <v>0</v>
      </c>
      <c r="Q534" t="n">
        <v>0</v>
      </c>
      <c r="R534" s="2" t="inlineStr"/>
    </row>
    <row r="535" ht="15" customHeight="1">
      <c r="A535" t="inlineStr">
        <is>
          <t>A 49397-2024</t>
        </is>
      </c>
      <c r="B535" s="1" t="n">
        <v>45595</v>
      </c>
      <c r="C535" s="1" t="n">
        <v>45886</v>
      </c>
      <c r="D535" t="inlineStr">
        <is>
          <t>DALARNAS LÄN</t>
        </is>
      </c>
      <c r="E535" t="inlineStr">
        <is>
          <t>LEKSAND</t>
        </is>
      </c>
      <c r="G535" t="n">
        <v>4.3</v>
      </c>
      <c r="H535" t="n">
        <v>0</v>
      </c>
      <c r="I535" t="n">
        <v>0</v>
      </c>
      <c r="J535" t="n">
        <v>0</v>
      </c>
      <c r="K535" t="n">
        <v>0</v>
      </c>
      <c r="L535" t="n">
        <v>0</v>
      </c>
      <c r="M535" t="n">
        <v>0</v>
      </c>
      <c r="N535" t="n">
        <v>0</v>
      </c>
      <c r="O535" t="n">
        <v>0</v>
      </c>
      <c r="P535" t="n">
        <v>0</v>
      </c>
      <c r="Q535" t="n">
        <v>0</v>
      </c>
      <c r="R535" s="2" t="inlineStr"/>
    </row>
    <row r="536" ht="15" customHeight="1">
      <c r="A536" t="inlineStr">
        <is>
          <t>A 57933-2024</t>
        </is>
      </c>
      <c r="B536" s="1" t="n">
        <v>45630</v>
      </c>
      <c r="C536" s="1" t="n">
        <v>45886</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11403-2023</t>
        </is>
      </c>
      <c r="B537" s="1" t="n">
        <v>44993</v>
      </c>
      <c r="C537" s="1" t="n">
        <v>45886</v>
      </c>
      <c r="D537" t="inlineStr">
        <is>
          <t>DALARNAS LÄN</t>
        </is>
      </c>
      <c r="E537" t="inlineStr">
        <is>
          <t>LEKSAND</t>
        </is>
      </c>
      <c r="G537" t="n">
        <v>0.1</v>
      </c>
      <c r="H537" t="n">
        <v>0</v>
      </c>
      <c r="I537" t="n">
        <v>0</v>
      </c>
      <c r="J537" t="n">
        <v>0</v>
      </c>
      <c r="K537" t="n">
        <v>0</v>
      </c>
      <c r="L537" t="n">
        <v>0</v>
      </c>
      <c r="M537" t="n">
        <v>0</v>
      </c>
      <c r="N537" t="n">
        <v>0</v>
      </c>
      <c r="O537" t="n">
        <v>0</v>
      </c>
      <c r="P537" t="n">
        <v>0</v>
      </c>
      <c r="Q537" t="n">
        <v>0</v>
      </c>
      <c r="R537" s="2" t="inlineStr"/>
    </row>
    <row r="538" ht="15" customHeight="1">
      <c r="A538" t="inlineStr">
        <is>
          <t>A 22683-2022</t>
        </is>
      </c>
      <c r="B538" s="1" t="n">
        <v>44714</v>
      </c>
      <c r="C538" s="1" t="n">
        <v>45886</v>
      </c>
      <c r="D538" t="inlineStr">
        <is>
          <t>DALARNAS LÄN</t>
        </is>
      </c>
      <c r="E538" t="inlineStr">
        <is>
          <t>LEKSAND</t>
        </is>
      </c>
      <c r="F538" t="inlineStr">
        <is>
          <t>Bergvik skog väst AB</t>
        </is>
      </c>
      <c r="G538" t="n">
        <v>3.4</v>
      </c>
      <c r="H538" t="n">
        <v>0</v>
      </c>
      <c r="I538" t="n">
        <v>0</v>
      </c>
      <c r="J538" t="n">
        <v>0</v>
      </c>
      <c r="K538" t="n">
        <v>0</v>
      </c>
      <c r="L538" t="n">
        <v>0</v>
      </c>
      <c r="M538" t="n">
        <v>0</v>
      </c>
      <c r="N538" t="n">
        <v>0</v>
      </c>
      <c r="O538" t="n">
        <v>0</v>
      </c>
      <c r="P538" t="n">
        <v>0</v>
      </c>
      <c r="Q538" t="n">
        <v>0</v>
      </c>
      <c r="R538" s="2" t="inlineStr"/>
    </row>
    <row r="539" ht="15" customHeight="1">
      <c r="A539" t="inlineStr">
        <is>
          <t>A 52755-2024</t>
        </is>
      </c>
      <c r="B539" s="1" t="n">
        <v>45610.50217592593</v>
      </c>
      <c r="C539" s="1" t="n">
        <v>45886</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14661-2024</t>
        </is>
      </c>
      <c r="B540" s="1" t="n">
        <v>45397.41141203704</v>
      </c>
      <c r="C540" s="1" t="n">
        <v>45886</v>
      </c>
      <c r="D540" t="inlineStr">
        <is>
          <t>DALARNAS LÄN</t>
        </is>
      </c>
      <c r="E540" t="inlineStr">
        <is>
          <t>LEKSAND</t>
        </is>
      </c>
      <c r="G540" t="n">
        <v>1</v>
      </c>
      <c r="H540" t="n">
        <v>0</v>
      </c>
      <c r="I540" t="n">
        <v>0</v>
      </c>
      <c r="J540" t="n">
        <v>0</v>
      </c>
      <c r="K540" t="n">
        <v>0</v>
      </c>
      <c r="L540" t="n">
        <v>0</v>
      </c>
      <c r="M540" t="n">
        <v>0</v>
      </c>
      <c r="N540" t="n">
        <v>0</v>
      </c>
      <c r="O540" t="n">
        <v>0</v>
      </c>
      <c r="P540" t="n">
        <v>0</v>
      </c>
      <c r="Q540" t="n">
        <v>0</v>
      </c>
      <c r="R540" s="2" t="inlineStr"/>
    </row>
    <row r="541" ht="15" customHeight="1">
      <c r="A541" t="inlineStr">
        <is>
          <t>A 6846-2023</t>
        </is>
      </c>
      <c r="B541" s="1" t="n">
        <v>44967.43953703704</v>
      </c>
      <c r="C541" s="1" t="n">
        <v>45886</v>
      </c>
      <c r="D541" t="inlineStr">
        <is>
          <t>DALARNAS LÄN</t>
        </is>
      </c>
      <c r="E541" t="inlineStr">
        <is>
          <t>LEKSAND</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6027-2025</t>
        </is>
      </c>
      <c r="B542" s="1" t="n">
        <v>45695</v>
      </c>
      <c r="C542" s="1" t="n">
        <v>45886</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53717-2023</t>
        </is>
      </c>
      <c r="B543" s="1" t="n">
        <v>45230</v>
      </c>
      <c r="C543" s="1" t="n">
        <v>45886</v>
      </c>
      <c r="D543" t="inlineStr">
        <is>
          <t>DALARNAS LÄN</t>
        </is>
      </c>
      <c r="E543" t="inlineStr">
        <is>
          <t>LEKSAND</t>
        </is>
      </c>
      <c r="G543" t="n">
        <v>2.4</v>
      </c>
      <c r="H543" t="n">
        <v>0</v>
      </c>
      <c r="I543" t="n">
        <v>0</v>
      </c>
      <c r="J543" t="n">
        <v>0</v>
      </c>
      <c r="K543" t="n">
        <v>0</v>
      </c>
      <c r="L543" t="n">
        <v>0</v>
      </c>
      <c r="M543" t="n">
        <v>0</v>
      </c>
      <c r="N543" t="n">
        <v>0</v>
      </c>
      <c r="O543" t="n">
        <v>0</v>
      </c>
      <c r="P543" t="n">
        <v>0</v>
      </c>
      <c r="Q543" t="n">
        <v>0</v>
      </c>
      <c r="R543" s="2" t="inlineStr"/>
    </row>
    <row r="544" ht="15" customHeight="1">
      <c r="A544" t="inlineStr">
        <is>
          <t>A 53633-2024</t>
        </is>
      </c>
      <c r="B544" s="1" t="n">
        <v>45614.83726851852</v>
      </c>
      <c r="C544" s="1" t="n">
        <v>45886</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43470-2024</t>
        </is>
      </c>
      <c r="B545" s="1" t="n">
        <v>45568</v>
      </c>
      <c r="C545" s="1" t="n">
        <v>45886</v>
      </c>
      <c r="D545" t="inlineStr">
        <is>
          <t>DALARNAS LÄN</t>
        </is>
      </c>
      <c r="E545" t="inlineStr">
        <is>
          <t>LEKSAND</t>
        </is>
      </c>
      <c r="G545" t="n">
        <v>3.1</v>
      </c>
      <c r="H545" t="n">
        <v>0</v>
      </c>
      <c r="I545" t="n">
        <v>0</v>
      </c>
      <c r="J545" t="n">
        <v>0</v>
      </c>
      <c r="K545" t="n">
        <v>0</v>
      </c>
      <c r="L545" t="n">
        <v>0</v>
      </c>
      <c r="M545" t="n">
        <v>0</v>
      </c>
      <c r="N545" t="n">
        <v>0</v>
      </c>
      <c r="O545" t="n">
        <v>0</v>
      </c>
      <c r="P545" t="n">
        <v>0</v>
      </c>
      <c r="Q545" t="n">
        <v>0</v>
      </c>
      <c r="R545" s="2" t="inlineStr"/>
    </row>
    <row r="546" ht="15" customHeight="1">
      <c r="A546" t="inlineStr">
        <is>
          <t>A 6030-2025</t>
        </is>
      </c>
      <c r="B546" s="1" t="n">
        <v>45695</v>
      </c>
      <c r="C546" s="1" t="n">
        <v>45886</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row>
    <row r="547" ht="15" customHeight="1">
      <c r="A547" t="inlineStr">
        <is>
          <t>A 47503-2024</t>
        </is>
      </c>
      <c r="B547" s="1" t="n">
        <v>45587.60262731482</v>
      </c>
      <c r="C547" s="1" t="n">
        <v>45886</v>
      </c>
      <c r="D547" t="inlineStr">
        <is>
          <t>DALARNAS LÄN</t>
        </is>
      </c>
      <c r="E547" t="inlineStr">
        <is>
          <t>LEKSAND</t>
        </is>
      </c>
      <c r="G547" t="n">
        <v>3.6</v>
      </c>
      <c r="H547" t="n">
        <v>0</v>
      </c>
      <c r="I547" t="n">
        <v>0</v>
      </c>
      <c r="J547" t="n">
        <v>0</v>
      </c>
      <c r="K547" t="n">
        <v>0</v>
      </c>
      <c r="L547" t="n">
        <v>0</v>
      </c>
      <c r="M547" t="n">
        <v>0</v>
      </c>
      <c r="N547" t="n">
        <v>0</v>
      </c>
      <c r="O547" t="n">
        <v>0</v>
      </c>
      <c r="P547" t="n">
        <v>0</v>
      </c>
      <c r="Q547" t="n">
        <v>0</v>
      </c>
      <c r="R547" s="2" t="inlineStr"/>
    </row>
    <row r="548" ht="15" customHeight="1">
      <c r="A548" t="inlineStr">
        <is>
          <t>A 60873-2023</t>
        </is>
      </c>
      <c r="B548" s="1" t="n">
        <v>45261.03266203704</v>
      </c>
      <c r="C548" s="1" t="n">
        <v>45886</v>
      </c>
      <c r="D548" t="inlineStr">
        <is>
          <t>DALARNAS LÄN</t>
        </is>
      </c>
      <c r="E548" t="inlineStr">
        <is>
          <t>LEKSAND</t>
        </is>
      </c>
      <c r="G548" t="n">
        <v>5.2</v>
      </c>
      <c r="H548" t="n">
        <v>0</v>
      </c>
      <c r="I548" t="n">
        <v>0</v>
      </c>
      <c r="J548" t="n">
        <v>0</v>
      </c>
      <c r="K548" t="n">
        <v>0</v>
      </c>
      <c r="L548" t="n">
        <v>0</v>
      </c>
      <c r="M548" t="n">
        <v>0</v>
      </c>
      <c r="N548" t="n">
        <v>0</v>
      </c>
      <c r="O548" t="n">
        <v>0</v>
      </c>
      <c r="P548" t="n">
        <v>0</v>
      </c>
      <c r="Q548" t="n">
        <v>0</v>
      </c>
      <c r="R548" s="2" t="inlineStr"/>
    </row>
    <row r="549" ht="15" customHeight="1">
      <c r="A549" t="inlineStr">
        <is>
          <t>A 54914-2024</t>
        </is>
      </c>
      <c r="B549" s="1" t="n">
        <v>45618.69380787037</v>
      </c>
      <c r="C549" s="1" t="n">
        <v>45886</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53981-2024</t>
        </is>
      </c>
      <c r="B550" s="1" t="n">
        <v>45615</v>
      </c>
      <c r="C550" s="1" t="n">
        <v>45886</v>
      </c>
      <c r="D550" t="inlineStr">
        <is>
          <t>DALARNAS LÄN</t>
        </is>
      </c>
      <c r="E550" t="inlineStr">
        <is>
          <t>LEKSAND</t>
        </is>
      </c>
      <c r="G550" t="n">
        <v>5.4</v>
      </c>
      <c r="H550" t="n">
        <v>0</v>
      </c>
      <c r="I550" t="n">
        <v>0</v>
      </c>
      <c r="J550" t="n">
        <v>0</v>
      </c>
      <c r="K550" t="n">
        <v>0</v>
      </c>
      <c r="L550" t="n">
        <v>0</v>
      </c>
      <c r="M550" t="n">
        <v>0</v>
      </c>
      <c r="N550" t="n">
        <v>0</v>
      </c>
      <c r="O550" t="n">
        <v>0</v>
      </c>
      <c r="P550" t="n">
        <v>0</v>
      </c>
      <c r="Q550" t="n">
        <v>0</v>
      </c>
      <c r="R550" s="2" t="inlineStr"/>
    </row>
    <row r="551" ht="15" customHeight="1">
      <c r="A551" t="inlineStr">
        <is>
          <t>A 17589-2025</t>
        </is>
      </c>
      <c r="B551" s="1" t="n">
        <v>45757.67844907408</v>
      </c>
      <c r="C551" s="1" t="n">
        <v>45886</v>
      </c>
      <c r="D551" t="inlineStr">
        <is>
          <t>DALARNAS LÄN</t>
        </is>
      </c>
      <c r="E551" t="inlineStr">
        <is>
          <t>LEKSAND</t>
        </is>
      </c>
      <c r="G551" t="n">
        <v>5.8</v>
      </c>
      <c r="H551" t="n">
        <v>0</v>
      </c>
      <c r="I551" t="n">
        <v>0</v>
      </c>
      <c r="J551" t="n">
        <v>0</v>
      </c>
      <c r="K551" t="n">
        <v>0</v>
      </c>
      <c r="L551" t="n">
        <v>0</v>
      </c>
      <c r="M551" t="n">
        <v>0</v>
      </c>
      <c r="N551" t="n">
        <v>0</v>
      </c>
      <c r="O551" t="n">
        <v>0</v>
      </c>
      <c r="P551" t="n">
        <v>0</v>
      </c>
      <c r="Q551" t="n">
        <v>0</v>
      </c>
      <c r="R551" s="2" t="inlineStr"/>
    </row>
    <row r="552" ht="15" customHeight="1">
      <c r="A552" t="inlineStr">
        <is>
          <t>A 167-2023</t>
        </is>
      </c>
      <c r="B552" s="1" t="n">
        <v>44918</v>
      </c>
      <c r="C552" s="1" t="n">
        <v>45886</v>
      </c>
      <c r="D552" t="inlineStr">
        <is>
          <t>DALARNAS LÄN</t>
        </is>
      </c>
      <c r="E552" t="inlineStr">
        <is>
          <t>LEKSAND</t>
        </is>
      </c>
      <c r="G552" t="n">
        <v>0.5</v>
      </c>
      <c r="H552" t="n">
        <v>0</v>
      </c>
      <c r="I552" t="n">
        <v>0</v>
      </c>
      <c r="J552" t="n">
        <v>0</v>
      </c>
      <c r="K552" t="n">
        <v>0</v>
      </c>
      <c r="L552" t="n">
        <v>0</v>
      </c>
      <c r="M552" t="n">
        <v>0</v>
      </c>
      <c r="N552" t="n">
        <v>0</v>
      </c>
      <c r="O552" t="n">
        <v>0</v>
      </c>
      <c r="P552" t="n">
        <v>0</v>
      </c>
      <c r="Q552" t="n">
        <v>0</v>
      </c>
      <c r="R552" s="2" t="inlineStr"/>
    </row>
    <row r="553" ht="15" customHeight="1">
      <c r="A553" t="inlineStr">
        <is>
          <t>A 56950-2024</t>
        </is>
      </c>
      <c r="B553" s="1" t="n">
        <v>45625</v>
      </c>
      <c r="C553" s="1" t="n">
        <v>45886</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11740-2025</t>
        </is>
      </c>
      <c r="B554" s="1" t="n">
        <v>45727.62582175926</v>
      </c>
      <c r="C554" s="1" t="n">
        <v>45886</v>
      </c>
      <c r="D554" t="inlineStr">
        <is>
          <t>DALARNAS LÄN</t>
        </is>
      </c>
      <c r="E554" t="inlineStr">
        <is>
          <t>LEKSAND</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9938-2023</t>
        </is>
      </c>
      <c r="B555" s="1" t="n">
        <v>44985</v>
      </c>
      <c r="C555" s="1" t="n">
        <v>45886</v>
      </c>
      <c r="D555" t="inlineStr">
        <is>
          <t>DALARNAS LÄN</t>
        </is>
      </c>
      <c r="E555" t="inlineStr">
        <is>
          <t>LEKSAND</t>
        </is>
      </c>
      <c r="G555" t="n">
        <v>3.1</v>
      </c>
      <c r="H555" t="n">
        <v>0</v>
      </c>
      <c r="I555" t="n">
        <v>0</v>
      </c>
      <c r="J555" t="n">
        <v>0</v>
      </c>
      <c r="K555" t="n">
        <v>0</v>
      </c>
      <c r="L555" t="n">
        <v>0</v>
      </c>
      <c r="M555" t="n">
        <v>0</v>
      </c>
      <c r="N555" t="n">
        <v>0</v>
      </c>
      <c r="O555" t="n">
        <v>0</v>
      </c>
      <c r="P555" t="n">
        <v>0</v>
      </c>
      <c r="Q555" t="n">
        <v>0</v>
      </c>
      <c r="R555" s="2" t="inlineStr"/>
    </row>
    <row r="556" ht="15" customHeight="1">
      <c r="A556" t="inlineStr">
        <is>
          <t>A 59103-2024</t>
        </is>
      </c>
      <c r="B556" s="1" t="n">
        <v>45637.34184027778</v>
      </c>
      <c r="C556" s="1" t="n">
        <v>45886</v>
      </c>
      <c r="D556" t="inlineStr">
        <is>
          <t>DALARNAS LÄN</t>
        </is>
      </c>
      <c r="E556" t="inlineStr">
        <is>
          <t>LEKSAND</t>
        </is>
      </c>
      <c r="G556" t="n">
        <v>1.5</v>
      </c>
      <c r="H556" t="n">
        <v>0</v>
      </c>
      <c r="I556" t="n">
        <v>0</v>
      </c>
      <c r="J556" t="n">
        <v>0</v>
      </c>
      <c r="K556" t="n">
        <v>0</v>
      </c>
      <c r="L556" t="n">
        <v>0</v>
      </c>
      <c r="M556" t="n">
        <v>0</v>
      </c>
      <c r="N556" t="n">
        <v>0</v>
      </c>
      <c r="O556" t="n">
        <v>0</v>
      </c>
      <c r="P556" t="n">
        <v>0</v>
      </c>
      <c r="Q556" t="n">
        <v>0</v>
      </c>
      <c r="R556" s="2" t="inlineStr"/>
    </row>
    <row r="557" ht="15" customHeight="1">
      <c r="A557" t="inlineStr">
        <is>
          <t>A 70099-2021</t>
        </is>
      </c>
      <c r="B557" s="1" t="n">
        <v>44533</v>
      </c>
      <c r="C557" s="1" t="n">
        <v>45886</v>
      </c>
      <c r="D557" t="inlineStr">
        <is>
          <t>DALARNAS LÄN</t>
        </is>
      </c>
      <c r="E557" t="inlineStr">
        <is>
          <t>LEKSAND</t>
        </is>
      </c>
      <c r="G557" t="n">
        <v>2.8</v>
      </c>
      <c r="H557" t="n">
        <v>0</v>
      </c>
      <c r="I557" t="n">
        <v>0</v>
      </c>
      <c r="J557" t="n">
        <v>0</v>
      </c>
      <c r="K557" t="n">
        <v>0</v>
      </c>
      <c r="L557" t="n">
        <v>0</v>
      </c>
      <c r="M557" t="n">
        <v>0</v>
      </c>
      <c r="N557" t="n">
        <v>0</v>
      </c>
      <c r="O557" t="n">
        <v>0</v>
      </c>
      <c r="P557" t="n">
        <v>0</v>
      </c>
      <c r="Q557" t="n">
        <v>0</v>
      </c>
      <c r="R557" s="2" t="inlineStr"/>
    </row>
    <row r="558" ht="15" customHeight="1">
      <c r="A558" t="inlineStr">
        <is>
          <t>A 13401-2023</t>
        </is>
      </c>
      <c r="B558" s="1" t="n">
        <v>45005</v>
      </c>
      <c r="C558" s="1" t="n">
        <v>45886</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60113-2022</t>
        </is>
      </c>
      <c r="B559" s="1" t="n">
        <v>44909</v>
      </c>
      <c r="C559" s="1" t="n">
        <v>45886</v>
      </c>
      <c r="D559" t="inlineStr">
        <is>
          <t>DALARNAS LÄN</t>
        </is>
      </c>
      <c r="E559" t="inlineStr">
        <is>
          <t>LEKSAND</t>
        </is>
      </c>
      <c r="G559" t="n">
        <v>3.7</v>
      </c>
      <c r="H559" t="n">
        <v>0</v>
      </c>
      <c r="I559" t="n">
        <v>0</v>
      </c>
      <c r="J559" t="n">
        <v>0</v>
      </c>
      <c r="K559" t="n">
        <v>0</v>
      </c>
      <c r="L559" t="n">
        <v>0</v>
      </c>
      <c r="M559" t="n">
        <v>0</v>
      </c>
      <c r="N559" t="n">
        <v>0</v>
      </c>
      <c r="O559" t="n">
        <v>0</v>
      </c>
      <c r="P559" t="n">
        <v>0</v>
      </c>
      <c r="Q559" t="n">
        <v>0</v>
      </c>
      <c r="R559" s="2" t="inlineStr"/>
    </row>
    <row r="560" ht="15" customHeight="1">
      <c r="A560" t="inlineStr">
        <is>
          <t>A 15173-2025</t>
        </is>
      </c>
      <c r="B560" s="1" t="n">
        <v>45744.50858796296</v>
      </c>
      <c r="C560" s="1" t="n">
        <v>45886</v>
      </c>
      <c r="D560" t="inlineStr">
        <is>
          <t>DALARNAS LÄN</t>
        </is>
      </c>
      <c r="E560" t="inlineStr">
        <is>
          <t>LEKSAND</t>
        </is>
      </c>
      <c r="G560" t="n">
        <v>0.3</v>
      </c>
      <c r="H560" t="n">
        <v>0</v>
      </c>
      <c r="I560" t="n">
        <v>0</v>
      </c>
      <c r="J560" t="n">
        <v>0</v>
      </c>
      <c r="K560" t="n">
        <v>0</v>
      </c>
      <c r="L560" t="n">
        <v>0</v>
      </c>
      <c r="M560" t="n">
        <v>0</v>
      </c>
      <c r="N560" t="n">
        <v>0</v>
      </c>
      <c r="O560" t="n">
        <v>0</v>
      </c>
      <c r="P560" t="n">
        <v>0</v>
      </c>
      <c r="Q560" t="n">
        <v>0</v>
      </c>
      <c r="R560" s="2" t="inlineStr"/>
    </row>
    <row r="561" ht="15" customHeight="1">
      <c r="A561" t="inlineStr">
        <is>
          <t>A 30611-2023</t>
        </is>
      </c>
      <c r="B561" s="1" t="n">
        <v>45112</v>
      </c>
      <c r="C561" s="1" t="n">
        <v>45886</v>
      </c>
      <c r="D561" t="inlineStr">
        <is>
          <t>DALARNAS LÄN</t>
        </is>
      </c>
      <c r="E561" t="inlineStr">
        <is>
          <t>LEKSAND</t>
        </is>
      </c>
      <c r="G561" t="n">
        <v>3.1</v>
      </c>
      <c r="H561" t="n">
        <v>0</v>
      </c>
      <c r="I561" t="n">
        <v>0</v>
      </c>
      <c r="J561" t="n">
        <v>0</v>
      </c>
      <c r="K561" t="n">
        <v>0</v>
      </c>
      <c r="L561" t="n">
        <v>0</v>
      </c>
      <c r="M561" t="n">
        <v>0</v>
      </c>
      <c r="N561" t="n">
        <v>0</v>
      </c>
      <c r="O561" t="n">
        <v>0</v>
      </c>
      <c r="P561" t="n">
        <v>0</v>
      </c>
      <c r="Q561" t="n">
        <v>0</v>
      </c>
      <c r="R561" s="2" t="inlineStr"/>
    </row>
    <row r="562" ht="15" customHeight="1">
      <c r="A562" t="inlineStr">
        <is>
          <t>A 31254-2023</t>
        </is>
      </c>
      <c r="B562" s="1" t="n">
        <v>45114</v>
      </c>
      <c r="C562" s="1" t="n">
        <v>45886</v>
      </c>
      <c r="D562" t="inlineStr">
        <is>
          <t>DALARNAS LÄN</t>
        </is>
      </c>
      <c r="E562" t="inlineStr">
        <is>
          <t>LEKSAND</t>
        </is>
      </c>
      <c r="G562" t="n">
        <v>1.4</v>
      </c>
      <c r="H562" t="n">
        <v>0</v>
      </c>
      <c r="I562" t="n">
        <v>0</v>
      </c>
      <c r="J562" t="n">
        <v>0</v>
      </c>
      <c r="K562" t="n">
        <v>0</v>
      </c>
      <c r="L562" t="n">
        <v>0</v>
      </c>
      <c r="M562" t="n">
        <v>0</v>
      </c>
      <c r="N562" t="n">
        <v>0</v>
      </c>
      <c r="O562" t="n">
        <v>0</v>
      </c>
      <c r="P562" t="n">
        <v>0</v>
      </c>
      <c r="Q562" t="n">
        <v>0</v>
      </c>
      <c r="R562" s="2" t="inlineStr"/>
    </row>
    <row r="563" ht="15" customHeight="1">
      <c r="A563" t="inlineStr">
        <is>
          <t>A 62306-2023</t>
        </is>
      </c>
      <c r="B563" s="1" t="n">
        <v>45266</v>
      </c>
      <c r="C563" s="1" t="n">
        <v>45886</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30175-2023</t>
        </is>
      </c>
      <c r="B564" s="1" t="n">
        <v>45110</v>
      </c>
      <c r="C564" s="1" t="n">
        <v>45886</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45886</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23509-2023</t>
        </is>
      </c>
      <c r="B566" s="1" t="n">
        <v>45076</v>
      </c>
      <c r="C566" s="1" t="n">
        <v>45886</v>
      </c>
      <c r="D566" t="inlineStr">
        <is>
          <t>DALARNAS LÄN</t>
        </is>
      </c>
      <c r="E566" t="inlineStr">
        <is>
          <t>LEKSAND</t>
        </is>
      </c>
      <c r="G566" t="n">
        <v>2.1</v>
      </c>
      <c r="H566" t="n">
        <v>0</v>
      </c>
      <c r="I566" t="n">
        <v>0</v>
      </c>
      <c r="J566" t="n">
        <v>0</v>
      </c>
      <c r="K566" t="n">
        <v>0</v>
      </c>
      <c r="L566" t="n">
        <v>0</v>
      </c>
      <c r="M566" t="n">
        <v>0</v>
      </c>
      <c r="N566" t="n">
        <v>0</v>
      </c>
      <c r="O566" t="n">
        <v>0</v>
      </c>
      <c r="P566" t="n">
        <v>0</v>
      </c>
      <c r="Q566" t="n">
        <v>0</v>
      </c>
      <c r="R566" s="2" t="inlineStr"/>
    </row>
    <row r="567" ht="15" customHeight="1">
      <c r="A567" t="inlineStr">
        <is>
          <t>A 44491-2023</t>
        </is>
      </c>
      <c r="B567" s="1" t="n">
        <v>45183</v>
      </c>
      <c r="C567" s="1" t="n">
        <v>45886</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8940-2023</t>
        </is>
      </c>
      <c r="B568" s="1" t="n">
        <v>44974</v>
      </c>
      <c r="C568" s="1" t="n">
        <v>45886</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9459-2023</t>
        </is>
      </c>
      <c r="B569" s="1" t="n">
        <v>44977</v>
      </c>
      <c r="C569" s="1" t="n">
        <v>45886</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33001-2023</t>
        </is>
      </c>
      <c r="B570" s="1" t="n">
        <v>45125</v>
      </c>
      <c r="C570" s="1" t="n">
        <v>45886</v>
      </c>
      <c r="D570" t="inlineStr">
        <is>
          <t>DALARNAS LÄN</t>
        </is>
      </c>
      <c r="E570" t="inlineStr">
        <is>
          <t>LEKSAND</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56941-2024</t>
        </is>
      </c>
      <c r="B571" s="1" t="n">
        <v>45625</v>
      </c>
      <c r="C571" s="1" t="n">
        <v>45886</v>
      </c>
      <c r="D571" t="inlineStr">
        <is>
          <t>DALARNAS LÄN</t>
        </is>
      </c>
      <c r="E571" t="inlineStr">
        <is>
          <t>LEKSAND</t>
        </is>
      </c>
      <c r="G571" t="n">
        <v>1.8</v>
      </c>
      <c r="H571" t="n">
        <v>0</v>
      </c>
      <c r="I571" t="n">
        <v>0</v>
      </c>
      <c r="J571" t="n">
        <v>0</v>
      </c>
      <c r="K571" t="n">
        <v>0</v>
      </c>
      <c r="L571" t="n">
        <v>0</v>
      </c>
      <c r="M571" t="n">
        <v>0</v>
      </c>
      <c r="N571" t="n">
        <v>0</v>
      </c>
      <c r="O571" t="n">
        <v>0</v>
      </c>
      <c r="P571" t="n">
        <v>0</v>
      </c>
      <c r="Q571" t="n">
        <v>0</v>
      </c>
      <c r="R571" s="2" t="inlineStr"/>
    </row>
    <row r="572" ht="15" customHeight="1">
      <c r="A572" t="inlineStr">
        <is>
          <t>A 48721-2023</t>
        </is>
      </c>
      <c r="B572" s="1" t="n">
        <v>45203</v>
      </c>
      <c r="C572" s="1" t="n">
        <v>45886</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33674-2023</t>
        </is>
      </c>
      <c r="B573" s="1" t="n">
        <v>45132</v>
      </c>
      <c r="C573" s="1" t="n">
        <v>45886</v>
      </c>
      <c r="D573" t="inlineStr">
        <is>
          <t>DALARNAS LÄN</t>
        </is>
      </c>
      <c r="E573" t="inlineStr">
        <is>
          <t>LEKSAND</t>
        </is>
      </c>
      <c r="G573" t="n">
        <v>0.6</v>
      </c>
      <c r="H573" t="n">
        <v>0</v>
      </c>
      <c r="I573" t="n">
        <v>0</v>
      </c>
      <c r="J573" t="n">
        <v>0</v>
      </c>
      <c r="K573" t="n">
        <v>0</v>
      </c>
      <c r="L573" t="n">
        <v>0</v>
      </c>
      <c r="M573" t="n">
        <v>0</v>
      </c>
      <c r="N573" t="n">
        <v>0</v>
      </c>
      <c r="O573" t="n">
        <v>0</v>
      </c>
      <c r="P573" t="n">
        <v>0</v>
      </c>
      <c r="Q573" t="n">
        <v>0</v>
      </c>
      <c r="R573" s="2" t="inlineStr"/>
    </row>
    <row r="574" ht="15" customHeight="1">
      <c r="A574" t="inlineStr">
        <is>
          <t>A 33463-2023</t>
        </is>
      </c>
      <c r="B574" s="1" t="n">
        <v>45131</v>
      </c>
      <c r="C574" s="1" t="n">
        <v>45886</v>
      </c>
      <c r="D574" t="inlineStr">
        <is>
          <t>DALARNAS LÄN</t>
        </is>
      </c>
      <c r="E574" t="inlineStr">
        <is>
          <t>LEKSAND</t>
        </is>
      </c>
      <c r="G574" t="n">
        <v>0.7</v>
      </c>
      <c r="H574" t="n">
        <v>0</v>
      </c>
      <c r="I574" t="n">
        <v>0</v>
      </c>
      <c r="J574" t="n">
        <v>0</v>
      </c>
      <c r="K574" t="n">
        <v>0</v>
      </c>
      <c r="L574" t="n">
        <v>0</v>
      </c>
      <c r="M574" t="n">
        <v>0</v>
      </c>
      <c r="N574" t="n">
        <v>0</v>
      </c>
      <c r="O574" t="n">
        <v>0</v>
      </c>
      <c r="P574" t="n">
        <v>0</v>
      </c>
      <c r="Q574" t="n">
        <v>0</v>
      </c>
      <c r="R574" s="2" t="inlineStr"/>
    </row>
    <row r="575" ht="15" customHeight="1">
      <c r="A575" t="inlineStr">
        <is>
          <t>A 8755-2023</t>
        </is>
      </c>
      <c r="B575" s="1" t="n">
        <v>44978</v>
      </c>
      <c r="C575" s="1" t="n">
        <v>45886</v>
      </c>
      <c r="D575" t="inlineStr">
        <is>
          <t>DALARNAS LÄN</t>
        </is>
      </c>
      <c r="E575" t="inlineStr">
        <is>
          <t>LEKSAND</t>
        </is>
      </c>
      <c r="G575" t="n">
        <v>2.3</v>
      </c>
      <c r="H575" t="n">
        <v>0</v>
      </c>
      <c r="I575" t="n">
        <v>0</v>
      </c>
      <c r="J575" t="n">
        <v>0</v>
      </c>
      <c r="K575" t="n">
        <v>0</v>
      </c>
      <c r="L575" t="n">
        <v>0</v>
      </c>
      <c r="M575" t="n">
        <v>0</v>
      </c>
      <c r="N575" t="n">
        <v>0</v>
      </c>
      <c r="O575" t="n">
        <v>0</v>
      </c>
      <c r="P575" t="n">
        <v>0</v>
      </c>
      <c r="Q575" t="n">
        <v>0</v>
      </c>
      <c r="R575" s="2" t="inlineStr"/>
    </row>
    <row r="576" ht="15" customHeight="1">
      <c r="A576" t="inlineStr">
        <is>
          <t>A 59840-2024</t>
        </is>
      </c>
      <c r="B576" s="1" t="n">
        <v>45638</v>
      </c>
      <c r="C576" s="1" t="n">
        <v>45886</v>
      </c>
      <c r="D576" t="inlineStr">
        <is>
          <t>DALARNAS LÄN</t>
        </is>
      </c>
      <c r="E576" t="inlineStr">
        <is>
          <t>LEKSAND</t>
        </is>
      </c>
      <c r="G576" t="n">
        <v>0.6</v>
      </c>
      <c r="H576" t="n">
        <v>0</v>
      </c>
      <c r="I576" t="n">
        <v>0</v>
      </c>
      <c r="J576" t="n">
        <v>0</v>
      </c>
      <c r="K576" t="n">
        <v>0</v>
      </c>
      <c r="L576" t="n">
        <v>0</v>
      </c>
      <c r="M576" t="n">
        <v>0</v>
      </c>
      <c r="N576" t="n">
        <v>0</v>
      </c>
      <c r="O576" t="n">
        <v>0</v>
      </c>
      <c r="P576" t="n">
        <v>0</v>
      </c>
      <c r="Q576" t="n">
        <v>0</v>
      </c>
      <c r="R576" s="2" t="inlineStr"/>
    </row>
    <row r="577" ht="15" customHeight="1">
      <c r="A577" t="inlineStr">
        <is>
          <t>A 16135-2023</t>
        </is>
      </c>
      <c r="B577" s="1" t="n">
        <v>45027.63717592593</v>
      </c>
      <c r="C577" s="1" t="n">
        <v>45886</v>
      </c>
      <c r="D577" t="inlineStr">
        <is>
          <t>DALARNAS LÄN</t>
        </is>
      </c>
      <c r="E577" t="inlineStr">
        <is>
          <t>LEKSAND</t>
        </is>
      </c>
      <c r="G577" t="n">
        <v>4.9</v>
      </c>
      <c r="H577" t="n">
        <v>0</v>
      </c>
      <c r="I577" t="n">
        <v>0</v>
      </c>
      <c r="J577" t="n">
        <v>0</v>
      </c>
      <c r="K577" t="n">
        <v>0</v>
      </c>
      <c r="L577" t="n">
        <v>0</v>
      </c>
      <c r="M577" t="n">
        <v>0</v>
      </c>
      <c r="N577" t="n">
        <v>0</v>
      </c>
      <c r="O577" t="n">
        <v>0</v>
      </c>
      <c r="P577" t="n">
        <v>0</v>
      </c>
      <c r="Q577" t="n">
        <v>0</v>
      </c>
      <c r="R577" s="2" t="inlineStr"/>
    </row>
    <row r="578" ht="15" customHeight="1">
      <c r="A578" t="inlineStr">
        <is>
          <t>A 30198-2024</t>
        </is>
      </c>
      <c r="B578" s="1" t="n">
        <v>45490.34765046297</v>
      </c>
      <c r="C578" s="1" t="n">
        <v>45886</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10373-2023</t>
        </is>
      </c>
      <c r="B579" s="1" t="n">
        <v>44987</v>
      </c>
      <c r="C579" s="1" t="n">
        <v>45886</v>
      </c>
      <c r="D579" t="inlineStr">
        <is>
          <t>DALARNAS LÄN</t>
        </is>
      </c>
      <c r="E579" t="inlineStr">
        <is>
          <t>LEKSAND</t>
        </is>
      </c>
      <c r="G579" t="n">
        <v>0.3</v>
      </c>
      <c r="H579" t="n">
        <v>0</v>
      </c>
      <c r="I579" t="n">
        <v>0</v>
      </c>
      <c r="J579" t="n">
        <v>0</v>
      </c>
      <c r="K579" t="n">
        <v>0</v>
      </c>
      <c r="L579" t="n">
        <v>0</v>
      </c>
      <c r="M579" t="n">
        <v>0</v>
      </c>
      <c r="N579" t="n">
        <v>0</v>
      </c>
      <c r="O579" t="n">
        <v>0</v>
      </c>
      <c r="P579" t="n">
        <v>0</v>
      </c>
      <c r="Q579" t="n">
        <v>0</v>
      </c>
      <c r="R579" s="2" t="inlineStr"/>
    </row>
    <row r="580" ht="15" customHeight="1">
      <c r="A580" t="inlineStr">
        <is>
          <t>A 10967-2023</t>
        </is>
      </c>
      <c r="B580" s="1" t="n">
        <v>44991.58001157407</v>
      </c>
      <c r="C580" s="1" t="n">
        <v>45886</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10974-2023</t>
        </is>
      </c>
      <c r="B581" s="1" t="n">
        <v>44991.59049768518</v>
      </c>
      <c r="C581" s="1" t="n">
        <v>45886</v>
      </c>
      <c r="D581" t="inlineStr">
        <is>
          <t>DALARNAS LÄN</t>
        </is>
      </c>
      <c r="E581" t="inlineStr">
        <is>
          <t>LEKSAND</t>
        </is>
      </c>
      <c r="G581" t="n">
        <v>0.3</v>
      </c>
      <c r="H581" t="n">
        <v>0</v>
      </c>
      <c r="I581" t="n">
        <v>0</v>
      </c>
      <c r="J581" t="n">
        <v>0</v>
      </c>
      <c r="K581" t="n">
        <v>0</v>
      </c>
      <c r="L581" t="n">
        <v>0</v>
      </c>
      <c r="M581" t="n">
        <v>0</v>
      </c>
      <c r="N581" t="n">
        <v>0</v>
      </c>
      <c r="O581" t="n">
        <v>0</v>
      </c>
      <c r="P581" t="n">
        <v>0</v>
      </c>
      <c r="Q581" t="n">
        <v>0</v>
      </c>
      <c r="R581" s="2" t="inlineStr"/>
    </row>
    <row r="582" ht="15" customHeight="1">
      <c r="A582" t="inlineStr">
        <is>
          <t>A 55516-2024</t>
        </is>
      </c>
      <c r="B582" s="1" t="n">
        <v>45621</v>
      </c>
      <c r="C582" s="1" t="n">
        <v>45886</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30858-2024</t>
        </is>
      </c>
      <c r="B583" s="1" t="n">
        <v>45497.67601851852</v>
      </c>
      <c r="C583" s="1" t="n">
        <v>45886</v>
      </c>
      <c r="D583" t="inlineStr">
        <is>
          <t>DALARNAS LÄN</t>
        </is>
      </c>
      <c r="E583" t="inlineStr">
        <is>
          <t>LEKSAND</t>
        </is>
      </c>
      <c r="F583" t="inlineStr">
        <is>
          <t>Bergvik skog väst AB</t>
        </is>
      </c>
      <c r="G583" t="n">
        <v>1.6</v>
      </c>
      <c r="H583" t="n">
        <v>0</v>
      </c>
      <c r="I583" t="n">
        <v>0</v>
      </c>
      <c r="J583" t="n">
        <v>0</v>
      </c>
      <c r="K583" t="n">
        <v>0</v>
      </c>
      <c r="L583" t="n">
        <v>0</v>
      </c>
      <c r="M583" t="n">
        <v>0</v>
      </c>
      <c r="N583" t="n">
        <v>0</v>
      </c>
      <c r="O583" t="n">
        <v>0</v>
      </c>
      <c r="P583" t="n">
        <v>0</v>
      </c>
      <c r="Q583" t="n">
        <v>0</v>
      </c>
      <c r="R583" s="2" t="inlineStr"/>
    </row>
    <row r="584" ht="15" customHeight="1">
      <c r="A584" t="inlineStr">
        <is>
          <t>A 33566-2023</t>
        </is>
      </c>
      <c r="B584" s="1" t="n">
        <v>45131.64390046296</v>
      </c>
      <c r="C584" s="1" t="n">
        <v>45886</v>
      </c>
      <c r="D584" t="inlineStr">
        <is>
          <t>DALARNAS LÄN</t>
        </is>
      </c>
      <c r="E584" t="inlineStr">
        <is>
          <t>LEKSAND</t>
        </is>
      </c>
      <c r="G584" t="n">
        <v>0.9</v>
      </c>
      <c r="H584" t="n">
        <v>0</v>
      </c>
      <c r="I584" t="n">
        <v>0</v>
      </c>
      <c r="J584" t="n">
        <v>0</v>
      </c>
      <c r="K584" t="n">
        <v>0</v>
      </c>
      <c r="L584" t="n">
        <v>0</v>
      </c>
      <c r="M584" t="n">
        <v>0</v>
      </c>
      <c r="N584" t="n">
        <v>0</v>
      </c>
      <c r="O584" t="n">
        <v>0</v>
      </c>
      <c r="P584" t="n">
        <v>0</v>
      </c>
      <c r="Q584" t="n">
        <v>0</v>
      </c>
      <c r="R584" s="2" t="inlineStr"/>
    </row>
    <row r="585" ht="15" customHeight="1">
      <c r="A585" t="inlineStr">
        <is>
          <t>A 16592-2023</t>
        </is>
      </c>
      <c r="B585" s="1" t="n">
        <v>45030</v>
      </c>
      <c r="C585" s="1" t="n">
        <v>45886</v>
      </c>
      <c r="D585" t="inlineStr">
        <is>
          <t>DALARNAS LÄN</t>
        </is>
      </c>
      <c r="E585" t="inlineStr">
        <is>
          <t>LEKSAND</t>
        </is>
      </c>
      <c r="G585" t="n">
        <v>11.5</v>
      </c>
      <c r="H585" t="n">
        <v>0</v>
      </c>
      <c r="I585" t="n">
        <v>0</v>
      </c>
      <c r="J585" t="n">
        <v>0</v>
      </c>
      <c r="K585" t="n">
        <v>0</v>
      </c>
      <c r="L585" t="n">
        <v>0</v>
      </c>
      <c r="M585" t="n">
        <v>0</v>
      </c>
      <c r="N585" t="n">
        <v>0</v>
      </c>
      <c r="O585" t="n">
        <v>0</v>
      </c>
      <c r="P585" t="n">
        <v>0</v>
      </c>
      <c r="Q585" t="n">
        <v>0</v>
      </c>
      <c r="R585" s="2" t="inlineStr"/>
    </row>
    <row r="586" ht="15" customHeight="1">
      <c r="A586" t="inlineStr">
        <is>
          <t>A 7395-2025</t>
        </is>
      </c>
      <c r="B586" s="1" t="n">
        <v>45705.34516203704</v>
      </c>
      <c r="C586" s="1" t="n">
        <v>45886</v>
      </c>
      <c r="D586" t="inlineStr">
        <is>
          <t>DALARNAS LÄN</t>
        </is>
      </c>
      <c r="E586" t="inlineStr">
        <is>
          <t>LEKSAND</t>
        </is>
      </c>
      <c r="G586" t="n">
        <v>1.8</v>
      </c>
      <c r="H586" t="n">
        <v>0</v>
      </c>
      <c r="I586" t="n">
        <v>0</v>
      </c>
      <c r="J586" t="n">
        <v>0</v>
      </c>
      <c r="K586" t="n">
        <v>0</v>
      </c>
      <c r="L586" t="n">
        <v>0</v>
      </c>
      <c r="M586" t="n">
        <v>0</v>
      </c>
      <c r="N586" t="n">
        <v>0</v>
      </c>
      <c r="O586" t="n">
        <v>0</v>
      </c>
      <c r="P586" t="n">
        <v>0</v>
      </c>
      <c r="Q586" t="n">
        <v>0</v>
      </c>
      <c r="R586" s="2" t="inlineStr"/>
    </row>
    <row r="587" ht="15" customHeight="1">
      <c r="A587" t="inlineStr">
        <is>
          <t>A 11015-2022</t>
        </is>
      </c>
      <c r="B587" s="1" t="n">
        <v>44628.52340277778</v>
      </c>
      <c r="C587" s="1" t="n">
        <v>45886</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31971-2024</t>
        </is>
      </c>
      <c r="B588" s="1" t="n">
        <v>45510.55171296297</v>
      </c>
      <c r="C588" s="1" t="n">
        <v>45886</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12582-2025</t>
        </is>
      </c>
      <c r="B589" s="1" t="n">
        <v>45732.62988425926</v>
      </c>
      <c r="C589" s="1" t="n">
        <v>45886</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1182-2025</t>
        </is>
      </c>
      <c r="B590" s="1" t="n">
        <v>45667.35712962963</v>
      </c>
      <c r="C590" s="1" t="n">
        <v>45886</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1519-2024</t>
        </is>
      </c>
      <c r="B591" s="1" t="n">
        <v>45306</v>
      </c>
      <c r="C591" s="1" t="n">
        <v>45886</v>
      </c>
      <c r="D591" t="inlineStr">
        <is>
          <t>DALARNAS LÄN</t>
        </is>
      </c>
      <c r="E591" t="inlineStr">
        <is>
          <t>LEKSAND</t>
        </is>
      </c>
      <c r="G591" t="n">
        <v>3.3</v>
      </c>
      <c r="H591" t="n">
        <v>0</v>
      </c>
      <c r="I591" t="n">
        <v>0</v>
      </c>
      <c r="J591" t="n">
        <v>0</v>
      </c>
      <c r="K591" t="n">
        <v>0</v>
      </c>
      <c r="L591" t="n">
        <v>0</v>
      </c>
      <c r="M591" t="n">
        <v>0</v>
      </c>
      <c r="N591" t="n">
        <v>0</v>
      </c>
      <c r="O591" t="n">
        <v>0</v>
      </c>
      <c r="P591" t="n">
        <v>0</v>
      </c>
      <c r="Q591" t="n">
        <v>0</v>
      </c>
      <c r="R591" s="2" t="inlineStr"/>
    </row>
    <row r="592" ht="15" customHeight="1">
      <c r="A592" t="inlineStr">
        <is>
          <t>A 7897-2025</t>
        </is>
      </c>
      <c r="B592" s="1" t="n">
        <v>45707.30969907407</v>
      </c>
      <c r="C592" s="1" t="n">
        <v>45886</v>
      </c>
      <c r="D592" t="inlineStr">
        <is>
          <t>DALARNAS LÄN</t>
        </is>
      </c>
      <c r="E592" t="inlineStr">
        <is>
          <t>LEKSAND</t>
        </is>
      </c>
      <c r="G592" t="n">
        <v>3.1</v>
      </c>
      <c r="H592" t="n">
        <v>0</v>
      </c>
      <c r="I592" t="n">
        <v>0</v>
      </c>
      <c r="J592" t="n">
        <v>0</v>
      </c>
      <c r="K592" t="n">
        <v>0</v>
      </c>
      <c r="L592" t="n">
        <v>0</v>
      </c>
      <c r="M592" t="n">
        <v>0</v>
      </c>
      <c r="N592" t="n">
        <v>0</v>
      </c>
      <c r="O592" t="n">
        <v>0</v>
      </c>
      <c r="P592" t="n">
        <v>0</v>
      </c>
      <c r="Q592" t="n">
        <v>0</v>
      </c>
      <c r="R592" s="2" t="inlineStr"/>
    </row>
    <row r="593" ht="15" customHeight="1">
      <c r="A593" t="inlineStr">
        <is>
          <t>A 61546-2021</t>
        </is>
      </c>
      <c r="B593" s="1" t="n">
        <v>44501</v>
      </c>
      <c r="C593" s="1" t="n">
        <v>45886</v>
      </c>
      <c r="D593" t="inlineStr">
        <is>
          <t>DALARNAS LÄN</t>
        </is>
      </c>
      <c r="E593" t="inlineStr">
        <is>
          <t>LEKSAND</t>
        </is>
      </c>
      <c r="G593" t="n">
        <v>3</v>
      </c>
      <c r="H593" t="n">
        <v>0</v>
      </c>
      <c r="I593" t="n">
        <v>0</v>
      </c>
      <c r="J593" t="n">
        <v>0</v>
      </c>
      <c r="K593" t="n">
        <v>0</v>
      </c>
      <c r="L593" t="n">
        <v>0</v>
      </c>
      <c r="M593" t="n">
        <v>0</v>
      </c>
      <c r="N593" t="n">
        <v>0</v>
      </c>
      <c r="O593" t="n">
        <v>0</v>
      </c>
      <c r="P593" t="n">
        <v>0</v>
      </c>
      <c r="Q593" t="n">
        <v>0</v>
      </c>
      <c r="R593" s="2" t="inlineStr"/>
    </row>
    <row r="594" ht="15" customHeight="1">
      <c r="A594" t="inlineStr">
        <is>
          <t>A 71817-2021</t>
        </is>
      </c>
      <c r="B594" s="1" t="n">
        <v>44543.59780092593</v>
      </c>
      <c r="C594" s="1" t="n">
        <v>45886</v>
      </c>
      <c r="D594" t="inlineStr">
        <is>
          <t>DALARNAS LÄN</t>
        </is>
      </c>
      <c r="E594" t="inlineStr">
        <is>
          <t>LEKSAND</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7653-2025</t>
        </is>
      </c>
      <c r="B595" s="1" t="n">
        <v>45705.95238425926</v>
      </c>
      <c r="C595" s="1" t="n">
        <v>45886</v>
      </c>
      <c r="D595" t="inlineStr">
        <is>
          <t>DALARNAS LÄN</t>
        </is>
      </c>
      <c r="E595" t="inlineStr">
        <is>
          <t>LEKSAND</t>
        </is>
      </c>
      <c r="G595" t="n">
        <v>0.8</v>
      </c>
      <c r="H595" t="n">
        <v>0</v>
      </c>
      <c r="I595" t="n">
        <v>0</v>
      </c>
      <c r="J595" t="n">
        <v>0</v>
      </c>
      <c r="K595" t="n">
        <v>0</v>
      </c>
      <c r="L595" t="n">
        <v>0</v>
      </c>
      <c r="M595" t="n">
        <v>0</v>
      </c>
      <c r="N595" t="n">
        <v>0</v>
      </c>
      <c r="O595" t="n">
        <v>0</v>
      </c>
      <c r="P595" t="n">
        <v>0</v>
      </c>
      <c r="Q595" t="n">
        <v>0</v>
      </c>
      <c r="R595" s="2" t="inlineStr"/>
    </row>
    <row r="596" ht="15" customHeight="1">
      <c r="A596" t="inlineStr">
        <is>
          <t>A 41853-2023</t>
        </is>
      </c>
      <c r="B596" s="1" t="n">
        <v>45176.62483796296</v>
      </c>
      <c r="C596" s="1" t="n">
        <v>45886</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32-2024</t>
        </is>
      </c>
      <c r="B597" s="1" t="n">
        <v>45293</v>
      </c>
      <c r="C597" s="1" t="n">
        <v>45886</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62116-2024</t>
        </is>
      </c>
      <c r="B598" s="1" t="n">
        <v>45646</v>
      </c>
      <c r="C598" s="1" t="n">
        <v>45886</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27348-2023</t>
        </is>
      </c>
      <c r="B599" s="1" t="n">
        <v>45096</v>
      </c>
      <c r="C599" s="1" t="n">
        <v>45886</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36932-2023</t>
        </is>
      </c>
      <c r="B600" s="1" t="n">
        <v>45154</v>
      </c>
      <c r="C600" s="1" t="n">
        <v>45886</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23663-2024</t>
        </is>
      </c>
      <c r="B601" s="1" t="n">
        <v>45454.57049768518</v>
      </c>
      <c r="C601" s="1" t="n">
        <v>45886</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33180-2024</t>
        </is>
      </c>
      <c r="B602" s="1" t="n">
        <v>45518.44481481481</v>
      </c>
      <c r="C602" s="1" t="n">
        <v>45886</v>
      </c>
      <c r="D602" t="inlineStr">
        <is>
          <t>DALARNAS LÄN</t>
        </is>
      </c>
      <c r="E602" t="inlineStr">
        <is>
          <t>LEKSAND</t>
        </is>
      </c>
      <c r="G602" t="n">
        <v>7.6</v>
      </c>
      <c r="H602" t="n">
        <v>0</v>
      </c>
      <c r="I602" t="n">
        <v>0</v>
      </c>
      <c r="J602" t="n">
        <v>0</v>
      </c>
      <c r="K602" t="n">
        <v>0</v>
      </c>
      <c r="L602" t="n">
        <v>0</v>
      </c>
      <c r="M602" t="n">
        <v>0</v>
      </c>
      <c r="N602" t="n">
        <v>0</v>
      </c>
      <c r="O602" t="n">
        <v>0</v>
      </c>
      <c r="P602" t="n">
        <v>0</v>
      </c>
      <c r="Q602" t="n">
        <v>0</v>
      </c>
      <c r="R602" s="2" t="inlineStr"/>
    </row>
    <row r="603" ht="15" customHeight="1">
      <c r="A603" t="inlineStr">
        <is>
          <t>A 15986-2025</t>
        </is>
      </c>
      <c r="B603" s="1" t="n">
        <v>45749.57331018519</v>
      </c>
      <c r="C603" s="1" t="n">
        <v>45886</v>
      </c>
      <c r="D603" t="inlineStr">
        <is>
          <t>DALARNAS LÄN</t>
        </is>
      </c>
      <c r="E603" t="inlineStr">
        <is>
          <t>LEKSAND</t>
        </is>
      </c>
      <c r="G603" t="n">
        <v>2.7</v>
      </c>
      <c r="H603" t="n">
        <v>0</v>
      </c>
      <c r="I603" t="n">
        <v>0</v>
      </c>
      <c r="J603" t="n">
        <v>0</v>
      </c>
      <c r="K603" t="n">
        <v>0</v>
      </c>
      <c r="L603" t="n">
        <v>0</v>
      </c>
      <c r="M603" t="n">
        <v>0</v>
      </c>
      <c r="N603" t="n">
        <v>0</v>
      </c>
      <c r="O603" t="n">
        <v>0</v>
      </c>
      <c r="P603" t="n">
        <v>0</v>
      </c>
      <c r="Q603" t="n">
        <v>0</v>
      </c>
      <c r="R603" s="2" t="inlineStr"/>
    </row>
    <row r="604" ht="15" customHeight="1">
      <c r="A604" t="inlineStr">
        <is>
          <t>A 62295-2023</t>
        </is>
      </c>
      <c r="B604" s="1" t="n">
        <v>45267</v>
      </c>
      <c r="C604" s="1" t="n">
        <v>45886</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60715-2022</t>
        </is>
      </c>
      <c r="B605" s="1" t="n">
        <v>44912</v>
      </c>
      <c r="C605" s="1" t="n">
        <v>45886</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11092-2023</t>
        </is>
      </c>
      <c r="B606" s="1" t="n">
        <v>44992</v>
      </c>
      <c r="C606" s="1" t="n">
        <v>45886</v>
      </c>
      <c r="D606" t="inlineStr">
        <is>
          <t>DALARNAS LÄN</t>
        </is>
      </c>
      <c r="E606" t="inlineStr">
        <is>
          <t>LEKSAND</t>
        </is>
      </c>
      <c r="G606" t="n">
        <v>0.5</v>
      </c>
      <c r="H606" t="n">
        <v>0</v>
      </c>
      <c r="I606" t="n">
        <v>0</v>
      </c>
      <c r="J606" t="n">
        <v>0</v>
      </c>
      <c r="K606" t="n">
        <v>0</v>
      </c>
      <c r="L606" t="n">
        <v>0</v>
      </c>
      <c r="M606" t="n">
        <v>0</v>
      </c>
      <c r="N606" t="n">
        <v>0</v>
      </c>
      <c r="O606" t="n">
        <v>0</v>
      </c>
      <c r="P606" t="n">
        <v>0</v>
      </c>
      <c r="Q606" t="n">
        <v>0</v>
      </c>
      <c r="R606" s="2" t="inlineStr"/>
    </row>
    <row r="607" ht="15" customHeight="1">
      <c r="A607" t="inlineStr">
        <is>
          <t>A 15882-2023</t>
        </is>
      </c>
      <c r="B607" s="1" t="n">
        <v>45022</v>
      </c>
      <c r="C607" s="1" t="n">
        <v>45886</v>
      </c>
      <c r="D607" t="inlineStr">
        <is>
          <t>DALARNAS LÄN</t>
        </is>
      </c>
      <c r="E607" t="inlineStr">
        <is>
          <t>LEKSAND</t>
        </is>
      </c>
      <c r="G607" t="n">
        <v>0.1</v>
      </c>
      <c r="H607" t="n">
        <v>0</v>
      </c>
      <c r="I607" t="n">
        <v>0</v>
      </c>
      <c r="J607" t="n">
        <v>0</v>
      </c>
      <c r="K607" t="n">
        <v>0</v>
      </c>
      <c r="L607" t="n">
        <v>0</v>
      </c>
      <c r="M607" t="n">
        <v>0</v>
      </c>
      <c r="N607" t="n">
        <v>0</v>
      </c>
      <c r="O607" t="n">
        <v>0</v>
      </c>
      <c r="P607" t="n">
        <v>0</v>
      </c>
      <c r="Q607" t="n">
        <v>0</v>
      </c>
      <c r="R607" s="2" t="inlineStr"/>
    </row>
    <row r="608" ht="15" customHeight="1">
      <c r="A608" t="inlineStr">
        <is>
          <t>A 10771-2024</t>
        </is>
      </c>
      <c r="B608" s="1" t="n">
        <v>45369.57342592593</v>
      </c>
      <c r="C608" s="1" t="n">
        <v>45886</v>
      </c>
      <c r="D608" t="inlineStr">
        <is>
          <t>DALARNAS LÄN</t>
        </is>
      </c>
      <c r="E608" t="inlineStr">
        <is>
          <t>LEKSAND</t>
        </is>
      </c>
      <c r="G608" t="n">
        <v>0.4</v>
      </c>
      <c r="H608" t="n">
        <v>0</v>
      </c>
      <c r="I608" t="n">
        <v>0</v>
      </c>
      <c r="J608" t="n">
        <v>0</v>
      </c>
      <c r="K608" t="n">
        <v>0</v>
      </c>
      <c r="L608" t="n">
        <v>0</v>
      </c>
      <c r="M608" t="n">
        <v>0</v>
      </c>
      <c r="N608" t="n">
        <v>0</v>
      </c>
      <c r="O608" t="n">
        <v>0</v>
      </c>
      <c r="P608" t="n">
        <v>0</v>
      </c>
      <c r="Q608" t="n">
        <v>0</v>
      </c>
      <c r="R608" s="2" t="inlineStr"/>
    </row>
    <row r="609" ht="15" customHeight="1">
      <c r="A609" t="inlineStr">
        <is>
          <t>A 1443-2024</t>
        </is>
      </c>
      <c r="B609" s="1" t="n">
        <v>45303</v>
      </c>
      <c r="C609" s="1" t="n">
        <v>45886</v>
      </c>
      <c r="D609" t="inlineStr">
        <is>
          <t>DALARNAS LÄN</t>
        </is>
      </c>
      <c r="E609" t="inlineStr">
        <is>
          <t>LEKSAND</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1457-2024</t>
        </is>
      </c>
      <c r="B610" s="1" t="n">
        <v>45303</v>
      </c>
      <c r="C610" s="1" t="n">
        <v>45886</v>
      </c>
      <c r="D610" t="inlineStr">
        <is>
          <t>DALARNAS LÄN</t>
        </is>
      </c>
      <c r="E610" t="inlineStr">
        <is>
          <t>LEKSAND</t>
        </is>
      </c>
      <c r="G610" t="n">
        <v>4.4</v>
      </c>
      <c r="H610" t="n">
        <v>0</v>
      </c>
      <c r="I610" t="n">
        <v>0</v>
      </c>
      <c r="J610" t="n">
        <v>0</v>
      </c>
      <c r="K610" t="n">
        <v>0</v>
      </c>
      <c r="L610" t="n">
        <v>0</v>
      </c>
      <c r="M610" t="n">
        <v>0</v>
      </c>
      <c r="N610" t="n">
        <v>0</v>
      </c>
      <c r="O610" t="n">
        <v>0</v>
      </c>
      <c r="P610" t="n">
        <v>0</v>
      </c>
      <c r="Q610" t="n">
        <v>0</v>
      </c>
      <c r="R610" s="2" t="inlineStr"/>
    </row>
    <row r="611" ht="15" customHeight="1">
      <c r="A611" t="inlineStr">
        <is>
          <t>A 1215-2024</t>
        </is>
      </c>
      <c r="B611" s="1" t="n">
        <v>45302</v>
      </c>
      <c r="C611" s="1" t="n">
        <v>45886</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53464-2024</t>
        </is>
      </c>
      <c r="B612" s="1" t="n">
        <v>45611</v>
      </c>
      <c r="C612" s="1" t="n">
        <v>45886</v>
      </c>
      <c r="D612" t="inlineStr">
        <is>
          <t>DALARNAS LÄN</t>
        </is>
      </c>
      <c r="E612" t="inlineStr">
        <is>
          <t>LEKSAND</t>
        </is>
      </c>
      <c r="G612" t="n">
        <v>1.7</v>
      </c>
      <c r="H612" t="n">
        <v>0</v>
      </c>
      <c r="I612" t="n">
        <v>0</v>
      </c>
      <c r="J612" t="n">
        <v>0</v>
      </c>
      <c r="K612" t="n">
        <v>0</v>
      </c>
      <c r="L612" t="n">
        <v>0</v>
      </c>
      <c r="M612" t="n">
        <v>0</v>
      </c>
      <c r="N612" t="n">
        <v>0</v>
      </c>
      <c r="O612" t="n">
        <v>0</v>
      </c>
      <c r="P612" t="n">
        <v>0</v>
      </c>
      <c r="Q612" t="n">
        <v>0</v>
      </c>
      <c r="R612" s="2" t="inlineStr"/>
    </row>
    <row r="613" ht="15" customHeight="1">
      <c r="A613" t="inlineStr">
        <is>
          <t>A 56330-2022</t>
        </is>
      </c>
      <c r="B613" s="1" t="n">
        <v>44890.62630787037</v>
      </c>
      <c r="C613" s="1" t="n">
        <v>45886</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2140-2024</t>
        </is>
      </c>
      <c r="B614" s="1" t="n">
        <v>45309</v>
      </c>
      <c r="C614" s="1" t="n">
        <v>45886</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46834-2023</t>
        </is>
      </c>
      <c r="B615" s="1" t="n">
        <v>45199.35668981481</v>
      </c>
      <c r="C615" s="1" t="n">
        <v>45886</v>
      </c>
      <c r="D615" t="inlineStr">
        <is>
          <t>DALARNAS LÄN</t>
        </is>
      </c>
      <c r="E615" t="inlineStr">
        <is>
          <t>LEKSAND</t>
        </is>
      </c>
      <c r="G615" t="n">
        <v>16.3</v>
      </c>
      <c r="H615" t="n">
        <v>0</v>
      </c>
      <c r="I615" t="n">
        <v>0</v>
      </c>
      <c r="J615" t="n">
        <v>0</v>
      </c>
      <c r="K615" t="n">
        <v>0</v>
      </c>
      <c r="L615" t="n">
        <v>0</v>
      </c>
      <c r="M615" t="n">
        <v>0</v>
      </c>
      <c r="N615" t="n">
        <v>0</v>
      </c>
      <c r="O615" t="n">
        <v>0</v>
      </c>
      <c r="P615" t="n">
        <v>0</v>
      </c>
      <c r="Q615" t="n">
        <v>0</v>
      </c>
      <c r="R615" s="2" t="inlineStr"/>
    </row>
    <row r="616" ht="15" customHeight="1">
      <c r="A616" t="inlineStr">
        <is>
          <t>A 2694-2025</t>
        </is>
      </c>
      <c r="B616" s="1" t="n">
        <v>45677.38246527778</v>
      </c>
      <c r="C616" s="1" t="n">
        <v>45886</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18176-2024</t>
        </is>
      </c>
      <c r="B617" s="1" t="n">
        <v>45420.63901620371</v>
      </c>
      <c r="C617" s="1" t="n">
        <v>45886</v>
      </c>
      <c r="D617" t="inlineStr">
        <is>
          <t>DALARNAS LÄN</t>
        </is>
      </c>
      <c r="E617" t="inlineStr">
        <is>
          <t>LEKSAND</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55268-2024</t>
        </is>
      </c>
      <c r="B618" s="1" t="n">
        <v>45621.61266203703</v>
      </c>
      <c r="C618" s="1" t="n">
        <v>45886</v>
      </c>
      <c r="D618" t="inlineStr">
        <is>
          <t>DALARNAS LÄN</t>
        </is>
      </c>
      <c r="E618" t="inlineStr">
        <is>
          <t>LEKSAND</t>
        </is>
      </c>
      <c r="G618" t="n">
        <v>4.2</v>
      </c>
      <c r="H618" t="n">
        <v>0</v>
      </c>
      <c r="I618" t="n">
        <v>0</v>
      </c>
      <c r="J618" t="n">
        <v>0</v>
      </c>
      <c r="K618" t="n">
        <v>0</v>
      </c>
      <c r="L618" t="n">
        <v>0</v>
      </c>
      <c r="M618" t="n">
        <v>0</v>
      </c>
      <c r="N618" t="n">
        <v>0</v>
      </c>
      <c r="O618" t="n">
        <v>0</v>
      </c>
      <c r="P618" t="n">
        <v>0</v>
      </c>
      <c r="Q618" t="n">
        <v>0</v>
      </c>
      <c r="R618" s="2" t="inlineStr"/>
    </row>
    <row r="619" ht="15" customHeight="1">
      <c r="A619" t="inlineStr">
        <is>
          <t>A 1983-2025</t>
        </is>
      </c>
      <c r="B619" s="1" t="n">
        <v>45670</v>
      </c>
      <c r="C619" s="1" t="n">
        <v>45886</v>
      </c>
      <c r="D619" t="inlineStr">
        <is>
          <t>DALARNAS LÄN</t>
        </is>
      </c>
      <c r="E619" t="inlineStr">
        <is>
          <t>LEKSAND</t>
        </is>
      </c>
      <c r="G619" t="n">
        <v>1.5</v>
      </c>
      <c r="H619" t="n">
        <v>0</v>
      </c>
      <c r="I619" t="n">
        <v>0</v>
      </c>
      <c r="J619" t="n">
        <v>0</v>
      </c>
      <c r="K619" t="n">
        <v>0</v>
      </c>
      <c r="L619" t="n">
        <v>0</v>
      </c>
      <c r="M619" t="n">
        <v>0</v>
      </c>
      <c r="N619" t="n">
        <v>0</v>
      </c>
      <c r="O619" t="n">
        <v>0</v>
      </c>
      <c r="P619" t="n">
        <v>0</v>
      </c>
      <c r="Q619" t="n">
        <v>0</v>
      </c>
      <c r="R619" s="2" t="inlineStr"/>
    </row>
    <row r="620" ht="15" customHeight="1">
      <c r="A620" t="inlineStr">
        <is>
          <t>A 21402-2023</t>
        </is>
      </c>
      <c r="B620" s="1" t="n">
        <v>45061</v>
      </c>
      <c r="C620" s="1" t="n">
        <v>45886</v>
      </c>
      <c r="D620" t="inlineStr">
        <is>
          <t>DALARNAS LÄN</t>
        </is>
      </c>
      <c r="E620" t="inlineStr">
        <is>
          <t>LEKSAND</t>
        </is>
      </c>
      <c r="G620" t="n">
        <v>0.7</v>
      </c>
      <c r="H620" t="n">
        <v>0</v>
      </c>
      <c r="I620" t="n">
        <v>0</v>
      </c>
      <c r="J620" t="n">
        <v>0</v>
      </c>
      <c r="K620" t="n">
        <v>0</v>
      </c>
      <c r="L620" t="n">
        <v>0</v>
      </c>
      <c r="M620" t="n">
        <v>0</v>
      </c>
      <c r="N620" t="n">
        <v>0</v>
      </c>
      <c r="O620" t="n">
        <v>0</v>
      </c>
      <c r="P620" t="n">
        <v>0</v>
      </c>
      <c r="Q620" t="n">
        <v>0</v>
      </c>
      <c r="R620" s="2" t="inlineStr"/>
    </row>
    <row r="621" ht="15" customHeight="1">
      <c r="A621" t="inlineStr">
        <is>
          <t>A 62130-2024</t>
        </is>
      </c>
      <c r="B621" s="1" t="n">
        <v>45656.61827546296</v>
      </c>
      <c r="C621" s="1" t="n">
        <v>45886</v>
      </c>
      <c r="D621" t="inlineStr">
        <is>
          <t>DALARNAS LÄN</t>
        </is>
      </c>
      <c r="E621" t="inlineStr">
        <is>
          <t>LEKSAND</t>
        </is>
      </c>
      <c r="G621" t="n">
        <v>11.4</v>
      </c>
      <c r="H621" t="n">
        <v>0</v>
      </c>
      <c r="I621" t="n">
        <v>0</v>
      </c>
      <c r="J621" t="n">
        <v>0</v>
      </c>
      <c r="K621" t="n">
        <v>0</v>
      </c>
      <c r="L621" t="n">
        <v>0</v>
      </c>
      <c r="M621" t="n">
        <v>0</v>
      </c>
      <c r="N621" t="n">
        <v>0</v>
      </c>
      <c r="O621" t="n">
        <v>0</v>
      </c>
      <c r="P621" t="n">
        <v>0</v>
      </c>
      <c r="Q621" t="n">
        <v>0</v>
      </c>
      <c r="R621" s="2" t="inlineStr"/>
    </row>
    <row r="622" ht="15" customHeight="1">
      <c r="A622" t="inlineStr">
        <is>
          <t>A 30998-2023</t>
        </is>
      </c>
      <c r="B622" s="1" t="n">
        <v>45113.54193287037</v>
      </c>
      <c r="C622" s="1" t="n">
        <v>45886</v>
      </c>
      <c r="D622" t="inlineStr">
        <is>
          <t>DALARNAS LÄN</t>
        </is>
      </c>
      <c r="E622" t="inlineStr">
        <is>
          <t>LEKSAND</t>
        </is>
      </c>
      <c r="G622" t="n">
        <v>0.5</v>
      </c>
      <c r="H622" t="n">
        <v>0</v>
      </c>
      <c r="I622" t="n">
        <v>0</v>
      </c>
      <c r="J622" t="n">
        <v>0</v>
      </c>
      <c r="K622" t="n">
        <v>0</v>
      </c>
      <c r="L622" t="n">
        <v>0</v>
      </c>
      <c r="M622" t="n">
        <v>0</v>
      </c>
      <c r="N622" t="n">
        <v>0</v>
      </c>
      <c r="O622" t="n">
        <v>0</v>
      </c>
      <c r="P622" t="n">
        <v>0</v>
      </c>
      <c r="Q622" t="n">
        <v>0</v>
      </c>
      <c r="R622" s="2" t="inlineStr"/>
    </row>
    <row r="623" ht="15" customHeight="1">
      <c r="A623" t="inlineStr">
        <is>
          <t>A 43142-2024</t>
        </is>
      </c>
      <c r="B623" s="1" t="n">
        <v>45567.62144675926</v>
      </c>
      <c r="C623" s="1" t="n">
        <v>45886</v>
      </c>
      <c r="D623" t="inlineStr">
        <is>
          <t>DALARNAS LÄN</t>
        </is>
      </c>
      <c r="E623" t="inlineStr">
        <is>
          <t>LEKSAND</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6519-2025</t>
        </is>
      </c>
      <c r="B624" s="1" t="n">
        <v>45699</v>
      </c>
      <c r="C624" s="1" t="n">
        <v>45886</v>
      </c>
      <c r="D624" t="inlineStr">
        <is>
          <t>DALARNAS LÄN</t>
        </is>
      </c>
      <c r="E624" t="inlineStr">
        <is>
          <t>LEKSAND</t>
        </is>
      </c>
      <c r="G624" t="n">
        <v>0.8</v>
      </c>
      <c r="H624" t="n">
        <v>0</v>
      </c>
      <c r="I624" t="n">
        <v>0</v>
      </c>
      <c r="J624" t="n">
        <v>0</v>
      </c>
      <c r="K624" t="n">
        <v>0</v>
      </c>
      <c r="L624" t="n">
        <v>0</v>
      </c>
      <c r="M624" t="n">
        <v>0</v>
      </c>
      <c r="N624" t="n">
        <v>0</v>
      </c>
      <c r="O624" t="n">
        <v>0</v>
      </c>
      <c r="P624" t="n">
        <v>0</v>
      </c>
      <c r="Q624" t="n">
        <v>0</v>
      </c>
      <c r="R624" s="2" t="inlineStr"/>
    </row>
    <row r="625" ht="15" customHeight="1">
      <c r="A625" t="inlineStr">
        <is>
          <t>A 9143-2023</t>
        </is>
      </c>
      <c r="B625" s="1" t="n">
        <v>44974</v>
      </c>
      <c r="C625" s="1" t="n">
        <v>45886</v>
      </c>
      <c r="D625" t="inlineStr">
        <is>
          <t>DALARNAS LÄN</t>
        </is>
      </c>
      <c r="E625" t="inlineStr">
        <is>
          <t>LEKSAND</t>
        </is>
      </c>
      <c r="G625" t="n">
        <v>4.3</v>
      </c>
      <c r="H625" t="n">
        <v>0</v>
      </c>
      <c r="I625" t="n">
        <v>0</v>
      </c>
      <c r="J625" t="n">
        <v>0</v>
      </c>
      <c r="K625" t="n">
        <v>0</v>
      </c>
      <c r="L625" t="n">
        <v>0</v>
      </c>
      <c r="M625" t="n">
        <v>0</v>
      </c>
      <c r="N625" t="n">
        <v>0</v>
      </c>
      <c r="O625" t="n">
        <v>0</v>
      </c>
      <c r="P625" t="n">
        <v>0</v>
      </c>
      <c r="Q625" t="n">
        <v>0</v>
      </c>
      <c r="R625" s="2" t="inlineStr"/>
    </row>
    <row r="626" ht="15" customHeight="1">
      <c r="A626" t="inlineStr">
        <is>
          <t>A 47673-2023</t>
        </is>
      </c>
      <c r="B626" s="1" t="n">
        <v>45203</v>
      </c>
      <c r="C626" s="1" t="n">
        <v>45886</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59718-2023</t>
        </is>
      </c>
      <c r="B627" s="1" t="n">
        <v>45257</v>
      </c>
      <c r="C627" s="1" t="n">
        <v>45886</v>
      </c>
      <c r="D627" t="inlineStr">
        <is>
          <t>DALARNAS LÄN</t>
        </is>
      </c>
      <c r="E627" t="inlineStr">
        <is>
          <t>LEKSAND</t>
        </is>
      </c>
      <c r="G627" t="n">
        <v>2.2</v>
      </c>
      <c r="H627" t="n">
        <v>0</v>
      </c>
      <c r="I627" t="n">
        <v>0</v>
      </c>
      <c r="J627" t="n">
        <v>0</v>
      </c>
      <c r="K627" t="n">
        <v>0</v>
      </c>
      <c r="L627" t="n">
        <v>0</v>
      </c>
      <c r="M627" t="n">
        <v>0</v>
      </c>
      <c r="N627" t="n">
        <v>0</v>
      </c>
      <c r="O627" t="n">
        <v>0</v>
      </c>
      <c r="P627" t="n">
        <v>0</v>
      </c>
      <c r="Q627" t="n">
        <v>0</v>
      </c>
      <c r="R627" s="2" t="inlineStr"/>
    </row>
    <row r="628" ht="15" customHeight="1">
      <c r="A628" t="inlineStr">
        <is>
          <t>A 36262-2023</t>
        </is>
      </c>
      <c r="B628" s="1" t="n">
        <v>45151.9096875</v>
      </c>
      <c r="C628" s="1" t="n">
        <v>45886</v>
      </c>
      <c r="D628" t="inlineStr">
        <is>
          <t>DALARNAS LÄN</t>
        </is>
      </c>
      <c r="E628" t="inlineStr">
        <is>
          <t>LEKSAND</t>
        </is>
      </c>
      <c r="G628" t="n">
        <v>1.2</v>
      </c>
      <c r="H628" t="n">
        <v>0</v>
      </c>
      <c r="I628" t="n">
        <v>0</v>
      </c>
      <c r="J628" t="n">
        <v>0</v>
      </c>
      <c r="K628" t="n">
        <v>0</v>
      </c>
      <c r="L628" t="n">
        <v>0</v>
      </c>
      <c r="M628" t="n">
        <v>0</v>
      </c>
      <c r="N628" t="n">
        <v>0</v>
      </c>
      <c r="O628" t="n">
        <v>0</v>
      </c>
      <c r="P628" t="n">
        <v>0</v>
      </c>
      <c r="Q628" t="n">
        <v>0</v>
      </c>
      <c r="R628" s="2" t="inlineStr"/>
    </row>
    <row r="629" ht="15" customHeight="1">
      <c r="A629" t="inlineStr">
        <is>
          <t>A 1775-2022</t>
        </is>
      </c>
      <c r="B629" s="1" t="n">
        <v>44574</v>
      </c>
      <c r="C629" s="1" t="n">
        <v>45886</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30994-2023</t>
        </is>
      </c>
      <c r="B630" s="1" t="n">
        <v>45113</v>
      </c>
      <c r="C630" s="1" t="n">
        <v>45886</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60095-2022</t>
        </is>
      </c>
      <c r="B631" s="1" t="n">
        <v>44909</v>
      </c>
      <c r="C631" s="1" t="n">
        <v>45886</v>
      </c>
      <c r="D631" t="inlineStr">
        <is>
          <t>DALARNAS LÄN</t>
        </is>
      </c>
      <c r="E631" t="inlineStr">
        <is>
          <t>LEKSAND</t>
        </is>
      </c>
      <c r="G631" t="n">
        <v>2.4</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45886</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11418-2023</t>
        </is>
      </c>
      <c r="B633" s="1" t="n">
        <v>44993</v>
      </c>
      <c r="C633" s="1" t="n">
        <v>45886</v>
      </c>
      <c r="D633" t="inlineStr">
        <is>
          <t>DALARNAS LÄN</t>
        </is>
      </c>
      <c r="E633" t="inlineStr">
        <is>
          <t>LEKSAND</t>
        </is>
      </c>
      <c r="G633" t="n">
        <v>2.7</v>
      </c>
      <c r="H633" t="n">
        <v>0</v>
      </c>
      <c r="I633" t="n">
        <v>0</v>
      </c>
      <c r="J633" t="n">
        <v>0</v>
      </c>
      <c r="K633" t="n">
        <v>0</v>
      </c>
      <c r="L633" t="n">
        <v>0</v>
      </c>
      <c r="M633" t="n">
        <v>0</v>
      </c>
      <c r="N633" t="n">
        <v>0</v>
      </c>
      <c r="O633" t="n">
        <v>0</v>
      </c>
      <c r="P633" t="n">
        <v>0</v>
      </c>
      <c r="Q633" t="n">
        <v>0</v>
      </c>
      <c r="R633" s="2" t="inlineStr"/>
    </row>
    <row r="634" ht="15" customHeight="1">
      <c r="A634" t="inlineStr">
        <is>
          <t>A 57665-2023</t>
        </is>
      </c>
      <c r="B634" s="1" t="n">
        <v>45246</v>
      </c>
      <c r="C634" s="1" t="n">
        <v>45886</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45167.38664351852</v>
      </c>
      <c r="C635" s="1" t="n">
        <v>45886</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43222-2024</t>
        </is>
      </c>
      <c r="B636" s="1" t="n">
        <v>45567.87177083334</v>
      </c>
      <c r="C636" s="1" t="n">
        <v>45886</v>
      </c>
      <c r="D636" t="inlineStr">
        <is>
          <t>DALARNAS LÄN</t>
        </is>
      </c>
      <c r="E636" t="inlineStr">
        <is>
          <t>LEKSAND</t>
        </is>
      </c>
      <c r="F636" t="inlineStr">
        <is>
          <t>Bergvik skog väst AB</t>
        </is>
      </c>
      <c r="G636" t="n">
        <v>8.6</v>
      </c>
      <c r="H636" t="n">
        <v>0</v>
      </c>
      <c r="I636" t="n">
        <v>0</v>
      </c>
      <c r="J636" t="n">
        <v>0</v>
      </c>
      <c r="K636" t="n">
        <v>0</v>
      </c>
      <c r="L636" t="n">
        <v>0</v>
      </c>
      <c r="M636" t="n">
        <v>0</v>
      </c>
      <c r="N636" t="n">
        <v>0</v>
      </c>
      <c r="O636" t="n">
        <v>0</v>
      </c>
      <c r="P636" t="n">
        <v>0</v>
      </c>
      <c r="Q636" t="n">
        <v>0</v>
      </c>
      <c r="R636" s="2" t="inlineStr"/>
    </row>
    <row r="637" ht="15" customHeight="1">
      <c r="A637" t="inlineStr">
        <is>
          <t>A 43231-2024</t>
        </is>
      </c>
      <c r="B637" s="1" t="n">
        <v>45567.89709490741</v>
      </c>
      <c r="C637" s="1" t="n">
        <v>45886</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43234-2024</t>
        </is>
      </c>
      <c r="B638" s="1" t="n">
        <v>45567.92238425926</v>
      </c>
      <c r="C638" s="1" t="n">
        <v>45886</v>
      </c>
      <c r="D638" t="inlineStr">
        <is>
          <t>DALARNAS LÄN</t>
        </is>
      </c>
      <c r="E638" t="inlineStr">
        <is>
          <t>LEKSAND</t>
        </is>
      </c>
      <c r="G638" t="n">
        <v>1.8</v>
      </c>
      <c r="H638" t="n">
        <v>0</v>
      </c>
      <c r="I638" t="n">
        <v>0</v>
      </c>
      <c r="J638" t="n">
        <v>0</v>
      </c>
      <c r="K638" t="n">
        <v>0</v>
      </c>
      <c r="L638" t="n">
        <v>0</v>
      </c>
      <c r="M638" t="n">
        <v>0</v>
      </c>
      <c r="N638" t="n">
        <v>0</v>
      </c>
      <c r="O638" t="n">
        <v>0</v>
      </c>
      <c r="P638" t="n">
        <v>0</v>
      </c>
      <c r="Q638" t="n">
        <v>0</v>
      </c>
      <c r="R638" s="2" t="inlineStr"/>
    </row>
    <row r="639" ht="15" customHeight="1">
      <c r="A639" t="inlineStr">
        <is>
          <t>A 53122-2023</t>
        </is>
      </c>
      <c r="B639" s="1" t="n">
        <v>45228</v>
      </c>
      <c r="C639" s="1" t="n">
        <v>45886</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51480-2022</t>
        </is>
      </c>
      <c r="B640" s="1" t="n">
        <v>44869.57961805556</v>
      </c>
      <c r="C640" s="1" t="n">
        <v>45886</v>
      </c>
      <c r="D640" t="inlineStr">
        <is>
          <t>DALARNAS LÄN</t>
        </is>
      </c>
      <c r="E640" t="inlineStr">
        <is>
          <t>LEKSAND</t>
        </is>
      </c>
      <c r="F640" t="inlineStr">
        <is>
          <t>Bergvik skog väst AB</t>
        </is>
      </c>
      <c r="G640" t="n">
        <v>1.7</v>
      </c>
      <c r="H640" t="n">
        <v>0</v>
      </c>
      <c r="I640" t="n">
        <v>0</v>
      </c>
      <c r="J640" t="n">
        <v>0</v>
      </c>
      <c r="K640" t="n">
        <v>0</v>
      </c>
      <c r="L640" t="n">
        <v>0</v>
      </c>
      <c r="M640" t="n">
        <v>0</v>
      </c>
      <c r="N640" t="n">
        <v>0</v>
      </c>
      <c r="O640" t="n">
        <v>0</v>
      </c>
      <c r="P640" t="n">
        <v>0</v>
      </c>
      <c r="Q640" t="n">
        <v>0</v>
      </c>
      <c r="R640" s="2" t="inlineStr"/>
    </row>
    <row r="641" ht="15" customHeight="1">
      <c r="A641" t="inlineStr">
        <is>
          <t>A 64516-2023</t>
        </is>
      </c>
      <c r="B641" s="1" t="n">
        <v>45280</v>
      </c>
      <c r="C641" s="1" t="n">
        <v>45886</v>
      </c>
      <c r="D641" t="inlineStr">
        <is>
          <t>DALARNAS LÄN</t>
        </is>
      </c>
      <c r="E641" t="inlineStr">
        <is>
          <t>LEKSAND</t>
        </is>
      </c>
      <c r="G641" t="n">
        <v>4.4</v>
      </c>
      <c r="H641" t="n">
        <v>0</v>
      </c>
      <c r="I641" t="n">
        <v>0</v>
      </c>
      <c r="J641" t="n">
        <v>0</v>
      </c>
      <c r="K641" t="n">
        <v>0</v>
      </c>
      <c r="L641" t="n">
        <v>0</v>
      </c>
      <c r="M641" t="n">
        <v>0</v>
      </c>
      <c r="N641" t="n">
        <v>0</v>
      </c>
      <c r="O641" t="n">
        <v>0</v>
      </c>
      <c r="P641" t="n">
        <v>0</v>
      </c>
      <c r="Q641" t="n">
        <v>0</v>
      </c>
      <c r="R641" s="2" t="inlineStr"/>
    </row>
    <row r="642" ht="15" customHeight="1">
      <c r="A642" t="inlineStr">
        <is>
          <t>A 43237-2024</t>
        </is>
      </c>
      <c r="B642" s="1" t="n">
        <v>45567</v>
      </c>
      <c r="C642" s="1" t="n">
        <v>45886</v>
      </c>
      <c r="D642" t="inlineStr">
        <is>
          <t>DALARNAS LÄN</t>
        </is>
      </c>
      <c r="E642" t="inlineStr">
        <is>
          <t>LEKSAND</t>
        </is>
      </c>
      <c r="G642" t="n">
        <v>0.8</v>
      </c>
      <c r="H642" t="n">
        <v>0</v>
      </c>
      <c r="I642" t="n">
        <v>0</v>
      </c>
      <c r="J642" t="n">
        <v>0</v>
      </c>
      <c r="K642" t="n">
        <v>0</v>
      </c>
      <c r="L642" t="n">
        <v>0</v>
      </c>
      <c r="M642" t="n">
        <v>0</v>
      </c>
      <c r="N642" t="n">
        <v>0</v>
      </c>
      <c r="O642" t="n">
        <v>0</v>
      </c>
      <c r="P642" t="n">
        <v>0</v>
      </c>
      <c r="Q642" t="n">
        <v>0</v>
      </c>
      <c r="R642" s="2" t="inlineStr"/>
    </row>
    <row r="643" ht="15" customHeight="1">
      <c r="A643" t="inlineStr">
        <is>
          <t>A 34482-2022</t>
        </is>
      </c>
      <c r="B643" s="1" t="n">
        <v>44792</v>
      </c>
      <c r="C643" s="1" t="n">
        <v>45886</v>
      </c>
      <c r="D643" t="inlineStr">
        <is>
          <t>DALARNAS LÄN</t>
        </is>
      </c>
      <c r="E643" t="inlineStr">
        <is>
          <t>LEKSAND</t>
        </is>
      </c>
      <c r="G643" t="n">
        <v>2.6</v>
      </c>
      <c r="H643" t="n">
        <v>0</v>
      </c>
      <c r="I643" t="n">
        <v>0</v>
      </c>
      <c r="J643" t="n">
        <v>0</v>
      </c>
      <c r="K643" t="n">
        <v>0</v>
      </c>
      <c r="L643" t="n">
        <v>0</v>
      </c>
      <c r="M643" t="n">
        <v>0</v>
      </c>
      <c r="N643" t="n">
        <v>0</v>
      </c>
      <c r="O643" t="n">
        <v>0</v>
      </c>
      <c r="P643" t="n">
        <v>0</v>
      </c>
      <c r="Q643" t="n">
        <v>0</v>
      </c>
      <c r="R643" s="2" t="inlineStr"/>
    </row>
    <row r="644" ht="15" customHeight="1">
      <c r="A644" t="inlineStr">
        <is>
          <t>A 17485-2025</t>
        </is>
      </c>
      <c r="B644" s="1" t="n">
        <v>45757.49976851852</v>
      </c>
      <c r="C644" s="1" t="n">
        <v>45886</v>
      </c>
      <c r="D644" t="inlineStr">
        <is>
          <t>DALARNAS LÄN</t>
        </is>
      </c>
      <c r="E644" t="inlineStr">
        <is>
          <t>LEKSAND</t>
        </is>
      </c>
      <c r="G644" t="n">
        <v>3.7</v>
      </c>
      <c r="H644" t="n">
        <v>0</v>
      </c>
      <c r="I644" t="n">
        <v>0</v>
      </c>
      <c r="J644" t="n">
        <v>0</v>
      </c>
      <c r="K644" t="n">
        <v>0</v>
      </c>
      <c r="L644" t="n">
        <v>0</v>
      </c>
      <c r="M644" t="n">
        <v>0</v>
      </c>
      <c r="N644" t="n">
        <v>0</v>
      </c>
      <c r="O644" t="n">
        <v>0</v>
      </c>
      <c r="P644" t="n">
        <v>0</v>
      </c>
      <c r="Q644" t="n">
        <v>0</v>
      </c>
      <c r="R644" s="2" t="inlineStr"/>
    </row>
    <row r="645" ht="15" customHeight="1">
      <c r="A645" t="inlineStr">
        <is>
          <t>A 53799-2023</t>
        </is>
      </c>
      <c r="B645" s="1" t="n">
        <v>45231.35564814815</v>
      </c>
      <c r="C645" s="1" t="n">
        <v>45886</v>
      </c>
      <c r="D645" t="inlineStr">
        <is>
          <t>DALARNAS LÄN</t>
        </is>
      </c>
      <c r="E645" t="inlineStr">
        <is>
          <t>LEKSAND</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30595-2023</t>
        </is>
      </c>
      <c r="B646" s="1" t="n">
        <v>45112</v>
      </c>
      <c r="C646" s="1" t="n">
        <v>45886</v>
      </c>
      <c r="D646" t="inlineStr">
        <is>
          <t>DALARNAS LÄN</t>
        </is>
      </c>
      <c r="E646" t="inlineStr">
        <is>
          <t>LEKSAND</t>
        </is>
      </c>
      <c r="G646" t="n">
        <v>1.1</v>
      </c>
      <c r="H646" t="n">
        <v>0</v>
      </c>
      <c r="I646" t="n">
        <v>0</v>
      </c>
      <c r="J646" t="n">
        <v>0</v>
      </c>
      <c r="K646" t="n">
        <v>0</v>
      </c>
      <c r="L646" t="n">
        <v>0</v>
      </c>
      <c r="M646" t="n">
        <v>0</v>
      </c>
      <c r="N646" t="n">
        <v>0</v>
      </c>
      <c r="O646" t="n">
        <v>0</v>
      </c>
      <c r="P646" t="n">
        <v>0</v>
      </c>
      <c r="Q646" t="n">
        <v>0</v>
      </c>
      <c r="R646" s="2" t="inlineStr"/>
    </row>
    <row r="647" ht="15" customHeight="1">
      <c r="A647" t="inlineStr">
        <is>
          <t>A 40193-2024</t>
        </is>
      </c>
      <c r="B647" s="1" t="n">
        <v>45554.5734375</v>
      </c>
      <c r="C647" s="1" t="n">
        <v>45886</v>
      </c>
      <c r="D647" t="inlineStr">
        <is>
          <t>DALARNAS LÄN</t>
        </is>
      </c>
      <c r="E647" t="inlineStr">
        <is>
          <t>LEKSAND</t>
        </is>
      </c>
      <c r="F647" t="inlineStr">
        <is>
          <t>Övriga statliga verk och myndigheter</t>
        </is>
      </c>
      <c r="G647" t="n">
        <v>1</v>
      </c>
      <c r="H647" t="n">
        <v>0</v>
      </c>
      <c r="I647" t="n">
        <v>0</v>
      </c>
      <c r="J647" t="n">
        <v>0</v>
      </c>
      <c r="K647" t="n">
        <v>0</v>
      </c>
      <c r="L647" t="n">
        <v>0</v>
      </c>
      <c r="M647" t="n">
        <v>0</v>
      </c>
      <c r="N647" t="n">
        <v>0</v>
      </c>
      <c r="O647" t="n">
        <v>0</v>
      </c>
      <c r="P647" t="n">
        <v>0</v>
      </c>
      <c r="Q647" t="n">
        <v>0</v>
      </c>
      <c r="R647" s="2" t="inlineStr"/>
    </row>
    <row r="648" ht="15" customHeight="1">
      <c r="A648" t="inlineStr">
        <is>
          <t>A 31728-2024</t>
        </is>
      </c>
      <c r="B648" s="1" t="n">
        <v>45509.34517361111</v>
      </c>
      <c r="C648" s="1" t="n">
        <v>45886</v>
      </c>
      <c r="D648" t="inlineStr">
        <is>
          <t>DALARNAS LÄN</t>
        </is>
      </c>
      <c r="E648" t="inlineStr">
        <is>
          <t>LEKSAND</t>
        </is>
      </c>
      <c r="G648" t="n">
        <v>1.2</v>
      </c>
      <c r="H648" t="n">
        <v>0</v>
      </c>
      <c r="I648" t="n">
        <v>0</v>
      </c>
      <c r="J648" t="n">
        <v>0</v>
      </c>
      <c r="K648" t="n">
        <v>0</v>
      </c>
      <c r="L648" t="n">
        <v>0</v>
      </c>
      <c r="M648" t="n">
        <v>0</v>
      </c>
      <c r="N648" t="n">
        <v>0</v>
      </c>
      <c r="O648" t="n">
        <v>0</v>
      </c>
      <c r="P648" t="n">
        <v>0</v>
      </c>
      <c r="Q648" t="n">
        <v>0</v>
      </c>
      <c r="R648" s="2" t="inlineStr"/>
    </row>
    <row r="649" ht="15" customHeight="1">
      <c r="A649" t="inlineStr">
        <is>
          <t>A 32394-2024</t>
        </is>
      </c>
      <c r="B649" s="1" t="n">
        <v>45512.64349537037</v>
      </c>
      <c r="C649" s="1" t="n">
        <v>45886</v>
      </c>
      <c r="D649" t="inlineStr">
        <is>
          <t>DALARNAS LÄN</t>
        </is>
      </c>
      <c r="E649" t="inlineStr">
        <is>
          <t>LEKSAND</t>
        </is>
      </c>
      <c r="F649" t="inlineStr">
        <is>
          <t>Bergvik skog väst AB</t>
        </is>
      </c>
      <c r="G649" t="n">
        <v>6</v>
      </c>
      <c r="H649" t="n">
        <v>0</v>
      </c>
      <c r="I649" t="n">
        <v>0</v>
      </c>
      <c r="J649" t="n">
        <v>0</v>
      </c>
      <c r="K649" t="n">
        <v>0</v>
      </c>
      <c r="L649" t="n">
        <v>0</v>
      </c>
      <c r="M649" t="n">
        <v>0</v>
      </c>
      <c r="N649" t="n">
        <v>0</v>
      </c>
      <c r="O649" t="n">
        <v>0</v>
      </c>
      <c r="P649" t="n">
        <v>0</v>
      </c>
      <c r="Q649" t="n">
        <v>0</v>
      </c>
      <c r="R649" s="2" t="inlineStr"/>
    </row>
    <row r="650" ht="15" customHeight="1">
      <c r="A650" t="inlineStr">
        <is>
          <t>A 43221-2024</t>
        </is>
      </c>
      <c r="B650" s="1" t="n">
        <v>45567.86695601852</v>
      </c>
      <c r="C650" s="1" t="n">
        <v>45886</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56943-2024</t>
        </is>
      </c>
      <c r="B651" s="1" t="n">
        <v>45625</v>
      </c>
      <c r="C651" s="1" t="n">
        <v>45886</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16748-2025</t>
        </is>
      </c>
      <c r="B652" s="1" t="n">
        <v>45754</v>
      </c>
      <c r="C652" s="1" t="n">
        <v>45886</v>
      </c>
      <c r="D652" t="inlineStr">
        <is>
          <t>DALARNAS LÄN</t>
        </is>
      </c>
      <c r="E652" t="inlineStr">
        <is>
          <t>LEKSAND</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15257-2025</t>
        </is>
      </c>
      <c r="B653" s="1" t="n">
        <v>45744</v>
      </c>
      <c r="C653" s="1" t="n">
        <v>45886</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24142-2021</t>
        </is>
      </c>
      <c r="B654" s="1" t="n">
        <v>44336</v>
      </c>
      <c r="C654" s="1" t="n">
        <v>45886</v>
      </c>
      <c r="D654" t="inlineStr">
        <is>
          <t>DALARNAS LÄN</t>
        </is>
      </c>
      <c r="E654" t="inlineStr">
        <is>
          <t>LEKSAND</t>
        </is>
      </c>
      <c r="F654" t="inlineStr">
        <is>
          <t>Bergvik skog väst AB</t>
        </is>
      </c>
      <c r="G654" t="n">
        <v>18.9</v>
      </c>
      <c r="H654" t="n">
        <v>0</v>
      </c>
      <c r="I654" t="n">
        <v>0</v>
      </c>
      <c r="J654" t="n">
        <v>0</v>
      </c>
      <c r="K654" t="n">
        <v>0</v>
      </c>
      <c r="L654" t="n">
        <v>0</v>
      </c>
      <c r="M654" t="n">
        <v>0</v>
      </c>
      <c r="N654" t="n">
        <v>0</v>
      </c>
      <c r="O654" t="n">
        <v>0</v>
      </c>
      <c r="P654" t="n">
        <v>0</v>
      </c>
      <c r="Q654" t="n">
        <v>0</v>
      </c>
      <c r="R654" s="2" t="inlineStr"/>
    </row>
    <row r="655" ht="15" customHeight="1">
      <c r="A655" t="inlineStr">
        <is>
          <t>A 21839-2022</t>
        </is>
      </c>
      <c r="B655" s="1" t="n">
        <v>44711</v>
      </c>
      <c r="C655" s="1" t="n">
        <v>45886</v>
      </c>
      <c r="D655" t="inlineStr">
        <is>
          <t>DALARNAS LÄN</t>
        </is>
      </c>
      <c r="E655" t="inlineStr">
        <is>
          <t>LEKSAND</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16815-2025</t>
        </is>
      </c>
      <c r="B656" s="1" t="n">
        <v>45754</v>
      </c>
      <c r="C656" s="1" t="n">
        <v>45886</v>
      </c>
      <c r="D656" t="inlineStr">
        <is>
          <t>DALARNAS LÄN</t>
        </is>
      </c>
      <c r="E656" t="inlineStr">
        <is>
          <t>LEKSAND</t>
        </is>
      </c>
      <c r="G656" t="n">
        <v>2.8</v>
      </c>
      <c r="H656" t="n">
        <v>0</v>
      </c>
      <c r="I656" t="n">
        <v>0</v>
      </c>
      <c r="J656" t="n">
        <v>0</v>
      </c>
      <c r="K656" t="n">
        <v>0</v>
      </c>
      <c r="L656" t="n">
        <v>0</v>
      </c>
      <c r="M656" t="n">
        <v>0</v>
      </c>
      <c r="N656" t="n">
        <v>0</v>
      </c>
      <c r="O656" t="n">
        <v>0</v>
      </c>
      <c r="P656" t="n">
        <v>0</v>
      </c>
      <c r="Q656" t="n">
        <v>0</v>
      </c>
      <c r="R656" s="2" t="inlineStr"/>
    </row>
    <row r="657" ht="15" customHeight="1">
      <c r="A657" t="inlineStr">
        <is>
          <t>A 22388-2024</t>
        </is>
      </c>
      <c r="B657" s="1" t="n">
        <v>45446</v>
      </c>
      <c r="C657" s="1" t="n">
        <v>45886</v>
      </c>
      <c r="D657" t="inlineStr">
        <is>
          <t>DALARNAS LÄN</t>
        </is>
      </c>
      <c r="E657" t="inlineStr">
        <is>
          <t>LEKSAND</t>
        </is>
      </c>
      <c r="F657" t="inlineStr">
        <is>
          <t>Bergvik skog väst AB</t>
        </is>
      </c>
      <c r="G657" t="n">
        <v>5.3</v>
      </c>
      <c r="H657" t="n">
        <v>0</v>
      </c>
      <c r="I657" t="n">
        <v>0</v>
      </c>
      <c r="J657" t="n">
        <v>0</v>
      </c>
      <c r="K657" t="n">
        <v>0</v>
      </c>
      <c r="L657" t="n">
        <v>0</v>
      </c>
      <c r="M657" t="n">
        <v>0</v>
      </c>
      <c r="N657" t="n">
        <v>0</v>
      </c>
      <c r="O657" t="n">
        <v>0</v>
      </c>
      <c r="P657" t="n">
        <v>0</v>
      </c>
      <c r="Q657" t="n">
        <v>0</v>
      </c>
      <c r="R657" s="2" t="inlineStr"/>
    </row>
    <row r="658" ht="15" customHeight="1">
      <c r="A658" t="inlineStr">
        <is>
          <t>A 61208-2023</t>
        </is>
      </c>
      <c r="B658" s="1" t="n">
        <v>45260</v>
      </c>
      <c r="C658" s="1" t="n">
        <v>45886</v>
      </c>
      <c r="D658" t="inlineStr">
        <is>
          <t>DALARNAS LÄN</t>
        </is>
      </c>
      <c r="E658" t="inlineStr">
        <is>
          <t>LEKSAND</t>
        </is>
      </c>
      <c r="G658" t="n">
        <v>1.7</v>
      </c>
      <c r="H658" t="n">
        <v>0</v>
      </c>
      <c r="I658" t="n">
        <v>0</v>
      </c>
      <c r="J658" t="n">
        <v>0</v>
      </c>
      <c r="K658" t="n">
        <v>0</v>
      </c>
      <c r="L658" t="n">
        <v>0</v>
      </c>
      <c r="M658" t="n">
        <v>0</v>
      </c>
      <c r="N658" t="n">
        <v>0</v>
      </c>
      <c r="O658" t="n">
        <v>0</v>
      </c>
      <c r="P658" t="n">
        <v>0</v>
      </c>
      <c r="Q658" t="n">
        <v>0</v>
      </c>
      <c r="R658" s="2" t="inlineStr"/>
    </row>
    <row r="659" ht="15" customHeight="1">
      <c r="A659" t="inlineStr">
        <is>
          <t>A 52977-2022</t>
        </is>
      </c>
      <c r="B659" s="1" t="n">
        <v>44875</v>
      </c>
      <c r="C659" s="1" t="n">
        <v>45886</v>
      </c>
      <c r="D659" t="inlineStr">
        <is>
          <t>DALARNAS LÄN</t>
        </is>
      </c>
      <c r="E659" t="inlineStr">
        <is>
          <t>LEKSAND</t>
        </is>
      </c>
      <c r="G659" t="n">
        <v>1.5</v>
      </c>
      <c r="H659" t="n">
        <v>0</v>
      </c>
      <c r="I659" t="n">
        <v>0</v>
      </c>
      <c r="J659" t="n">
        <v>0</v>
      </c>
      <c r="K659" t="n">
        <v>0</v>
      </c>
      <c r="L659" t="n">
        <v>0</v>
      </c>
      <c r="M659" t="n">
        <v>0</v>
      </c>
      <c r="N659" t="n">
        <v>0</v>
      </c>
      <c r="O659" t="n">
        <v>0</v>
      </c>
      <c r="P659" t="n">
        <v>0</v>
      </c>
      <c r="Q659" t="n">
        <v>0</v>
      </c>
      <c r="R659" s="2" t="inlineStr"/>
    </row>
    <row r="660" ht="15" customHeight="1">
      <c r="A660" t="inlineStr">
        <is>
          <t>A 25921-2024</t>
        </is>
      </c>
      <c r="B660" s="1" t="n">
        <v>45467.6053587963</v>
      </c>
      <c r="C660" s="1" t="n">
        <v>45886</v>
      </c>
      <c r="D660" t="inlineStr">
        <is>
          <t>DALARNAS LÄN</t>
        </is>
      </c>
      <c r="E660" t="inlineStr">
        <is>
          <t>LEKSAND</t>
        </is>
      </c>
      <c r="G660" t="n">
        <v>2.8</v>
      </c>
      <c r="H660" t="n">
        <v>0</v>
      </c>
      <c r="I660" t="n">
        <v>0</v>
      </c>
      <c r="J660" t="n">
        <v>0</v>
      </c>
      <c r="K660" t="n">
        <v>0</v>
      </c>
      <c r="L660" t="n">
        <v>0</v>
      </c>
      <c r="M660" t="n">
        <v>0</v>
      </c>
      <c r="N660" t="n">
        <v>0</v>
      </c>
      <c r="O660" t="n">
        <v>0</v>
      </c>
      <c r="P660" t="n">
        <v>0</v>
      </c>
      <c r="Q660" t="n">
        <v>0</v>
      </c>
      <c r="R660" s="2" t="inlineStr"/>
    </row>
    <row r="661" ht="15" customHeight="1">
      <c r="A661" t="inlineStr">
        <is>
          <t>A 28892-2022</t>
        </is>
      </c>
      <c r="B661" s="1" t="n">
        <v>44749</v>
      </c>
      <c r="C661" s="1" t="n">
        <v>45886</v>
      </c>
      <c r="D661" t="inlineStr">
        <is>
          <t>DALARNAS LÄN</t>
        </is>
      </c>
      <c r="E661" t="inlineStr">
        <is>
          <t>LEKSAND</t>
        </is>
      </c>
      <c r="F661" t="inlineStr">
        <is>
          <t>Bergvik skog väst AB</t>
        </is>
      </c>
      <c r="G661" t="n">
        <v>9.1</v>
      </c>
      <c r="H661" t="n">
        <v>0</v>
      </c>
      <c r="I661" t="n">
        <v>0</v>
      </c>
      <c r="J661" t="n">
        <v>0</v>
      </c>
      <c r="K661" t="n">
        <v>0</v>
      </c>
      <c r="L661" t="n">
        <v>0</v>
      </c>
      <c r="M661" t="n">
        <v>0</v>
      </c>
      <c r="N661" t="n">
        <v>0</v>
      </c>
      <c r="O661" t="n">
        <v>0</v>
      </c>
      <c r="P661" t="n">
        <v>0</v>
      </c>
      <c r="Q661" t="n">
        <v>0</v>
      </c>
      <c r="R661" s="2" t="inlineStr"/>
    </row>
    <row r="662" ht="15" customHeight="1">
      <c r="A662" t="inlineStr">
        <is>
          <t>A 15120-2023</t>
        </is>
      </c>
      <c r="B662" s="1" t="n">
        <v>45016.46484953703</v>
      </c>
      <c r="C662" s="1" t="n">
        <v>45886</v>
      </c>
      <c r="D662" t="inlineStr">
        <is>
          <t>DALARNAS LÄN</t>
        </is>
      </c>
      <c r="E662" t="inlineStr">
        <is>
          <t>LEKSAND</t>
        </is>
      </c>
      <c r="G662" t="n">
        <v>2.7</v>
      </c>
      <c r="H662" t="n">
        <v>0</v>
      </c>
      <c r="I662" t="n">
        <v>0</v>
      </c>
      <c r="J662" t="n">
        <v>0</v>
      </c>
      <c r="K662" t="n">
        <v>0</v>
      </c>
      <c r="L662" t="n">
        <v>0</v>
      </c>
      <c r="M662" t="n">
        <v>0</v>
      </c>
      <c r="N662" t="n">
        <v>0</v>
      </c>
      <c r="O662" t="n">
        <v>0</v>
      </c>
      <c r="P662" t="n">
        <v>0</v>
      </c>
      <c r="Q662" t="n">
        <v>0</v>
      </c>
      <c r="R662" s="2" t="inlineStr"/>
    </row>
    <row r="663" ht="15" customHeight="1">
      <c r="A663" t="inlineStr">
        <is>
          <t>A 320-2023</t>
        </is>
      </c>
      <c r="B663" s="1" t="n">
        <v>44929</v>
      </c>
      <c r="C663" s="1" t="n">
        <v>45886</v>
      </c>
      <c r="D663" t="inlineStr">
        <is>
          <t>DALARNAS LÄN</t>
        </is>
      </c>
      <c r="E663" t="inlineStr">
        <is>
          <t>LEKSAND</t>
        </is>
      </c>
      <c r="F663" t="inlineStr">
        <is>
          <t>Övriga Aktiebolag</t>
        </is>
      </c>
      <c r="G663" t="n">
        <v>5.4</v>
      </c>
      <c r="H663" t="n">
        <v>0</v>
      </c>
      <c r="I663" t="n">
        <v>0</v>
      </c>
      <c r="J663" t="n">
        <v>0</v>
      </c>
      <c r="K663" t="n">
        <v>0</v>
      </c>
      <c r="L663" t="n">
        <v>0</v>
      </c>
      <c r="M663" t="n">
        <v>0</v>
      </c>
      <c r="N663" t="n">
        <v>0</v>
      </c>
      <c r="O663" t="n">
        <v>0</v>
      </c>
      <c r="P663" t="n">
        <v>0</v>
      </c>
      <c r="Q663" t="n">
        <v>0</v>
      </c>
      <c r="R663" s="2" t="inlineStr"/>
    </row>
    <row r="664" ht="15" customHeight="1">
      <c r="A664" t="inlineStr">
        <is>
          <t>A 17413-2023</t>
        </is>
      </c>
      <c r="B664" s="1" t="n">
        <v>45035</v>
      </c>
      <c r="C664" s="1" t="n">
        <v>45886</v>
      </c>
      <c r="D664" t="inlineStr">
        <is>
          <t>DALARNAS LÄN</t>
        </is>
      </c>
      <c r="E664" t="inlineStr">
        <is>
          <t>LEKSAND</t>
        </is>
      </c>
      <c r="G664" t="n">
        <v>1.7</v>
      </c>
      <c r="H664" t="n">
        <v>0</v>
      </c>
      <c r="I664" t="n">
        <v>0</v>
      </c>
      <c r="J664" t="n">
        <v>0</v>
      </c>
      <c r="K664" t="n">
        <v>0</v>
      </c>
      <c r="L664" t="n">
        <v>0</v>
      </c>
      <c r="M664" t="n">
        <v>0</v>
      </c>
      <c r="N664" t="n">
        <v>0</v>
      </c>
      <c r="O664" t="n">
        <v>0</v>
      </c>
      <c r="P664" t="n">
        <v>0</v>
      </c>
      <c r="Q664" t="n">
        <v>0</v>
      </c>
      <c r="R664" s="2" t="inlineStr"/>
    </row>
    <row r="665" ht="15" customHeight="1">
      <c r="A665" t="inlineStr">
        <is>
          <t>A 9138-2023</t>
        </is>
      </c>
      <c r="B665" s="1" t="n">
        <v>44974</v>
      </c>
      <c r="C665" s="1" t="n">
        <v>45886</v>
      </c>
      <c r="D665" t="inlineStr">
        <is>
          <t>DALARNAS LÄN</t>
        </is>
      </c>
      <c r="E665" t="inlineStr">
        <is>
          <t>LEKSAND</t>
        </is>
      </c>
      <c r="G665" t="n">
        <v>4.6</v>
      </c>
      <c r="H665" t="n">
        <v>0</v>
      </c>
      <c r="I665" t="n">
        <v>0</v>
      </c>
      <c r="J665" t="n">
        <v>0</v>
      </c>
      <c r="K665" t="n">
        <v>0</v>
      </c>
      <c r="L665" t="n">
        <v>0</v>
      </c>
      <c r="M665" t="n">
        <v>0</v>
      </c>
      <c r="N665" t="n">
        <v>0</v>
      </c>
      <c r="O665" t="n">
        <v>0</v>
      </c>
      <c r="P665" t="n">
        <v>0</v>
      </c>
      <c r="Q665" t="n">
        <v>0</v>
      </c>
      <c r="R665" s="2" t="inlineStr"/>
    </row>
    <row r="666" ht="15" customHeight="1">
      <c r="A666" t="inlineStr">
        <is>
          <t>A 61680-2024</t>
        </is>
      </c>
      <c r="B666" s="1" t="n">
        <v>45647.42890046296</v>
      </c>
      <c r="C666" s="1" t="n">
        <v>45886</v>
      </c>
      <c r="D666" t="inlineStr">
        <is>
          <t>DALARNAS LÄN</t>
        </is>
      </c>
      <c r="E666" t="inlineStr">
        <is>
          <t>LEKSAND</t>
        </is>
      </c>
      <c r="G666" t="n">
        <v>3.6</v>
      </c>
      <c r="H666" t="n">
        <v>0</v>
      </c>
      <c r="I666" t="n">
        <v>0</v>
      </c>
      <c r="J666" t="n">
        <v>0</v>
      </c>
      <c r="K666" t="n">
        <v>0</v>
      </c>
      <c r="L666" t="n">
        <v>0</v>
      </c>
      <c r="M666" t="n">
        <v>0</v>
      </c>
      <c r="N666" t="n">
        <v>0</v>
      </c>
      <c r="O666" t="n">
        <v>0</v>
      </c>
      <c r="P666" t="n">
        <v>0</v>
      </c>
      <c r="Q666" t="n">
        <v>0</v>
      </c>
      <c r="R666" s="2" t="inlineStr"/>
    </row>
    <row r="667" ht="15" customHeight="1">
      <c r="A667" t="inlineStr">
        <is>
          <t>A 54911-2024</t>
        </is>
      </c>
      <c r="B667" s="1" t="n">
        <v>45618.68929398148</v>
      </c>
      <c r="C667" s="1" t="n">
        <v>45886</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12581-2025</t>
        </is>
      </c>
      <c r="B668" s="1" t="n">
        <v>45732.62201388889</v>
      </c>
      <c r="C668" s="1" t="n">
        <v>45886</v>
      </c>
      <c r="D668" t="inlineStr">
        <is>
          <t>DALARNAS LÄN</t>
        </is>
      </c>
      <c r="E668" t="inlineStr">
        <is>
          <t>LEKSAND</t>
        </is>
      </c>
      <c r="G668" t="n">
        <v>5.1</v>
      </c>
      <c r="H668" t="n">
        <v>0</v>
      </c>
      <c r="I668" t="n">
        <v>0</v>
      </c>
      <c r="J668" t="n">
        <v>0</v>
      </c>
      <c r="K668" t="n">
        <v>0</v>
      </c>
      <c r="L668" t="n">
        <v>0</v>
      </c>
      <c r="M668" t="n">
        <v>0</v>
      </c>
      <c r="N668" t="n">
        <v>0</v>
      </c>
      <c r="O668" t="n">
        <v>0</v>
      </c>
      <c r="P668" t="n">
        <v>0</v>
      </c>
      <c r="Q668" t="n">
        <v>0</v>
      </c>
      <c r="R668" s="2" t="inlineStr"/>
    </row>
    <row r="669" ht="15" customHeight="1">
      <c r="A669" t="inlineStr">
        <is>
          <t>A 12620-2025</t>
        </is>
      </c>
      <c r="B669" s="1" t="n">
        <v>45733.35498842593</v>
      </c>
      <c r="C669" s="1" t="n">
        <v>45886</v>
      </c>
      <c r="D669" t="inlineStr">
        <is>
          <t>DALARNAS LÄN</t>
        </is>
      </c>
      <c r="E669" t="inlineStr">
        <is>
          <t>LEKSAND</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12623-2025</t>
        </is>
      </c>
      <c r="B670" s="1" t="n">
        <v>45733.36079861111</v>
      </c>
      <c r="C670" s="1" t="n">
        <v>45886</v>
      </c>
      <c r="D670" t="inlineStr">
        <is>
          <t>DALARNAS LÄN</t>
        </is>
      </c>
      <c r="E670" t="inlineStr">
        <is>
          <t>LEKSAND</t>
        </is>
      </c>
      <c r="F670" t="inlineStr">
        <is>
          <t>Bergvik skog väst AB</t>
        </is>
      </c>
      <c r="G670" t="n">
        <v>13</v>
      </c>
      <c r="H670" t="n">
        <v>0</v>
      </c>
      <c r="I670" t="n">
        <v>0</v>
      </c>
      <c r="J670" t="n">
        <v>0</v>
      </c>
      <c r="K670" t="n">
        <v>0</v>
      </c>
      <c r="L670" t="n">
        <v>0</v>
      </c>
      <c r="M670" t="n">
        <v>0</v>
      </c>
      <c r="N670" t="n">
        <v>0</v>
      </c>
      <c r="O670" t="n">
        <v>0</v>
      </c>
      <c r="P670" t="n">
        <v>0</v>
      </c>
      <c r="Q670" t="n">
        <v>0</v>
      </c>
      <c r="R670" s="2" t="inlineStr"/>
    </row>
    <row r="671" ht="15" customHeight="1">
      <c r="A671" t="inlineStr">
        <is>
          <t>A 32666-2023</t>
        </is>
      </c>
      <c r="B671" s="1" t="n">
        <v>45121</v>
      </c>
      <c r="C671" s="1" t="n">
        <v>45886</v>
      </c>
      <c r="D671" t="inlineStr">
        <is>
          <t>DALARNAS LÄN</t>
        </is>
      </c>
      <c r="E671" t="inlineStr">
        <is>
          <t>LEKSAND</t>
        </is>
      </c>
      <c r="G671" t="n">
        <v>9.9</v>
      </c>
      <c r="H671" t="n">
        <v>0</v>
      </c>
      <c r="I671" t="n">
        <v>0</v>
      </c>
      <c r="J671" t="n">
        <v>0</v>
      </c>
      <c r="K671" t="n">
        <v>0</v>
      </c>
      <c r="L671" t="n">
        <v>0</v>
      </c>
      <c r="M671" t="n">
        <v>0</v>
      </c>
      <c r="N671" t="n">
        <v>0</v>
      </c>
      <c r="O671" t="n">
        <v>0</v>
      </c>
      <c r="P671" t="n">
        <v>0</v>
      </c>
      <c r="Q671" t="n">
        <v>0</v>
      </c>
      <c r="R671" s="2" t="inlineStr"/>
    </row>
    <row r="672" ht="15" customHeight="1">
      <c r="A672" t="inlineStr">
        <is>
          <t>A 16611-2024</t>
        </is>
      </c>
      <c r="B672" s="1" t="n">
        <v>45408.55504629629</v>
      </c>
      <c r="C672" s="1" t="n">
        <v>45886</v>
      </c>
      <c r="D672" t="inlineStr">
        <is>
          <t>DALARNAS LÄN</t>
        </is>
      </c>
      <c r="E672" t="inlineStr">
        <is>
          <t>LEKSAND</t>
        </is>
      </c>
      <c r="G672" t="n">
        <v>5.9</v>
      </c>
      <c r="H672" t="n">
        <v>0</v>
      </c>
      <c r="I672" t="n">
        <v>0</v>
      </c>
      <c r="J672" t="n">
        <v>0</v>
      </c>
      <c r="K672" t="n">
        <v>0</v>
      </c>
      <c r="L672" t="n">
        <v>0</v>
      </c>
      <c r="M672" t="n">
        <v>0</v>
      </c>
      <c r="N672" t="n">
        <v>0</v>
      </c>
      <c r="O672" t="n">
        <v>0</v>
      </c>
      <c r="P672" t="n">
        <v>0</v>
      </c>
      <c r="Q672" t="n">
        <v>0</v>
      </c>
      <c r="R672" s="2" t="inlineStr"/>
    </row>
    <row r="673" ht="15" customHeight="1">
      <c r="A673" t="inlineStr">
        <is>
          <t>A 5231-2024</t>
        </is>
      </c>
      <c r="B673" s="1" t="n">
        <v>45330</v>
      </c>
      <c r="C673" s="1" t="n">
        <v>45886</v>
      </c>
      <c r="D673" t="inlineStr">
        <is>
          <t>DALARNAS LÄN</t>
        </is>
      </c>
      <c r="E673" t="inlineStr">
        <is>
          <t>LEKSAND</t>
        </is>
      </c>
      <c r="F673" t="inlineStr">
        <is>
          <t>Bergvik skog väst AB</t>
        </is>
      </c>
      <c r="G673" t="n">
        <v>11.2</v>
      </c>
      <c r="H673" t="n">
        <v>0</v>
      </c>
      <c r="I673" t="n">
        <v>0</v>
      </c>
      <c r="J673" t="n">
        <v>0</v>
      </c>
      <c r="K673" t="n">
        <v>0</v>
      </c>
      <c r="L673" t="n">
        <v>0</v>
      </c>
      <c r="M673" t="n">
        <v>0</v>
      </c>
      <c r="N673" t="n">
        <v>0</v>
      </c>
      <c r="O673" t="n">
        <v>0</v>
      </c>
      <c r="P673" t="n">
        <v>0</v>
      </c>
      <c r="Q673" t="n">
        <v>0</v>
      </c>
      <c r="R673" s="2" t="inlineStr"/>
    </row>
    <row r="674" ht="15" customHeight="1">
      <c r="A674" t="inlineStr">
        <is>
          <t>A 5574-2024</t>
        </is>
      </c>
      <c r="B674" s="1" t="n">
        <v>45334</v>
      </c>
      <c r="C674" s="1" t="n">
        <v>45886</v>
      </c>
      <c r="D674" t="inlineStr">
        <is>
          <t>DALARNAS LÄN</t>
        </is>
      </c>
      <c r="E674" t="inlineStr">
        <is>
          <t>LEKSAND</t>
        </is>
      </c>
      <c r="G674" t="n">
        <v>0.4</v>
      </c>
      <c r="H674" t="n">
        <v>0</v>
      </c>
      <c r="I674" t="n">
        <v>0</v>
      </c>
      <c r="J674" t="n">
        <v>0</v>
      </c>
      <c r="K674" t="n">
        <v>0</v>
      </c>
      <c r="L674" t="n">
        <v>0</v>
      </c>
      <c r="M674" t="n">
        <v>0</v>
      </c>
      <c r="N674" t="n">
        <v>0</v>
      </c>
      <c r="O674" t="n">
        <v>0</v>
      </c>
      <c r="P674" t="n">
        <v>0</v>
      </c>
      <c r="Q674" t="n">
        <v>0</v>
      </c>
      <c r="R674" s="2" t="inlineStr"/>
    </row>
    <row r="675" ht="15" customHeight="1">
      <c r="A675" t="inlineStr">
        <is>
          <t>A 23896-2024</t>
        </is>
      </c>
      <c r="B675" s="1" t="n">
        <v>45455.6758449074</v>
      </c>
      <c r="C675" s="1" t="n">
        <v>45886</v>
      </c>
      <c r="D675" t="inlineStr">
        <is>
          <t>DALARNAS LÄN</t>
        </is>
      </c>
      <c r="E675" t="inlineStr">
        <is>
          <t>LEKSAND</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28578-2023</t>
        </is>
      </c>
      <c r="B676" s="1" t="n">
        <v>45103</v>
      </c>
      <c r="C676" s="1" t="n">
        <v>45886</v>
      </c>
      <c r="D676" t="inlineStr">
        <is>
          <t>DALARNAS LÄN</t>
        </is>
      </c>
      <c r="E676" t="inlineStr">
        <is>
          <t>LEKSAND</t>
        </is>
      </c>
      <c r="G676" t="n">
        <v>4.4</v>
      </c>
      <c r="H676" t="n">
        <v>0</v>
      </c>
      <c r="I676" t="n">
        <v>0</v>
      </c>
      <c r="J676" t="n">
        <v>0</v>
      </c>
      <c r="K676" t="n">
        <v>0</v>
      </c>
      <c r="L676" t="n">
        <v>0</v>
      </c>
      <c r="M676" t="n">
        <v>0</v>
      </c>
      <c r="N676" t="n">
        <v>0</v>
      </c>
      <c r="O676" t="n">
        <v>0</v>
      </c>
      <c r="P676" t="n">
        <v>0</v>
      </c>
      <c r="Q676" t="n">
        <v>0</v>
      </c>
      <c r="R676" s="2" t="inlineStr"/>
    </row>
    <row r="677" ht="15" customHeight="1">
      <c r="A677" t="inlineStr">
        <is>
          <t>A 61288-2022</t>
        </is>
      </c>
      <c r="B677" s="1" t="n">
        <v>44915</v>
      </c>
      <c r="C677" s="1" t="n">
        <v>45886</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20936-2023</t>
        </is>
      </c>
      <c r="B678" s="1" t="n">
        <v>45061</v>
      </c>
      <c r="C678" s="1" t="n">
        <v>45886</v>
      </c>
      <c r="D678" t="inlineStr">
        <is>
          <t>DALARNAS LÄN</t>
        </is>
      </c>
      <c r="E678" t="inlineStr">
        <is>
          <t>LEKSAND</t>
        </is>
      </c>
      <c r="G678" t="n">
        <v>0.3</v>
      </c>
      <c r="H678" t="n">
        <v>0</v>
      </c>
      <c r="I678" t="n">
        <v>0</v>
      </c>
      <c r="J678" t="n">
        <v>0</v>
      </c>
      <c r="K678" t="n">
        <v>0</v>
      </c>
      <c r="L678" t="n">
        <v>0</v>
      </c>
      <c r="M678" t="n">
        <v>0</v>
      </c>
      <c r="N678" t="n">
        <v>0</v>
      </c>
      <c r="O678" t="n">
        <v>0</v>
      </c>
      <c r="P678" t="n">
        <v>0</v>
      </c>
      <c r="Q678" t="n">
        <v>0</v>
      </c>
      <c r="R678" s="2" t="inlineStr"/>
    </row>
    <row r="679" ht="15" customHeight="1">
      <c r="A679" t="inlineStr">
        <is>
          <t>A 41169-2024</t>
        </is>
      </c>
      <c r="B679" s="1" t="n">
        <v>45559.48637731482</v>
      </c>
      <c r="C679" s="1" t="n">
        <v>45886</v>
      </c>
      <c r="D679" t="inlineStr">
        <is>
          <t>DALARNAS LÄN</t>
        </is>
      </c>
      <c r="E679" t="inlineStr">
        <is>
          <t>LEKSAND</t>
        </is>
      </c>
      <c r="G679" t="n">
        <v>8.9</v>
      </c>
      <c r="H679" t="n">
        <v>0</v>
      </c>
      <c r="I679" t="n">
        <v>0</v>
      </c>
      <c r="J679" t="n">
        <v>0</v>
      </c>
      <c r="K679" t="n">
        <v>0</v>
      </c>
      <c r="L679" t="n">
        <v>0</v>
      </c>
      <c r="M679" t="n">
        <v>0</v>
      </c>
      <c r="N679" t="n">
        <v>0</v>
      </c>
      <c r="O679" t="n">
        <v>0</v>
      </c>
      <c r="P679" t="n">
        <v>0</v>
      </c>
      <c r="Q679" t="n">
        <v>0</v>
      </c>
      <c r="R679" s="2" t="inlineStr"/>
    </row>
    <row r="680" ht="15" customHeight="1">
      <c r="A680" t="inlineStr">
        <is>
          <t>A 45512-2023</t>
        </is>
      </c>
      <c r="B680" s="1" t="n">
        <v>45194.49178240741</v>
      </c>
      <c r="C680" s="1" t="n">
        <v>45886</v>
      </c>
      <c r="D680" t="inlineStr">
        <is>
          <t>DALARNAS LÄN</t>
        </is>
      </c>
      <c r="E680" t="inlineStr">
        <is>
          <t>LEKSAND</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402-2024</t>
        </is>
      </c>
      <c r="B681" s="1" t="n">
        <v>45296.45545138889</v>
      </c>
      <c r="C681" s="1" t="n">
        <v>45886</v>
      </c>
      <c r="D681" t="inlineStr">
        <is>
          <t>DALARNAS LÄN</t>
        </is>
      </c>
      <c r="E681" t="inlineStr">
        <is>
          <t>LEKSAND</t>
        </is>
      </c>
      <c r="G681" t="n">
        <v>1.5</v>
      </c>
      <c r="H681" t="n">
        <v>0</v>
      </c>
      <c r="I681" t="n">
        <v>0</v>
      </c>
      <c r="J681" t="n">
        <v>0</v>
      </c>
      <c r="K681" t="n">
        <v>0</v>
      </c>
      <c r="L681" t="n">
        <v>0</v>
      </c>
      <c r="M681" t="n">
        <v>0</v>
      </c>
      <c r="N681" t="n">
        <v>0</v>
      </c>
      <c r="O681" t="n">
        <v>0</v>
      </c>
      <c r="P681" t="n">
        <v>0</v>
      </c>
      <c r="Q681" t="n">
        <v>0</v>
      </c>
      <c r="R681" s="2" t="inlineStr"/>
    </row>
    <row r="682" ht="15" customHeight="1">
      <c r="A682" t="inlineStr">
        <is>
          <t>A 51677-2024</t>
        </is>
      </c>
      <c r="B682" s="1" t="n">
        <v>45607.30265046296</v>
      </c>
      <c r="C682" s="1" t="n">
        <v>45886</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7778-2025</t>
        </is>
      </c>
      <c r="B683" s="1" t="n">
        <v>45706</v>
      </c>
      <c r="C683" s="1" t="n">
        <v>45886</v>
      </c>
      <c r="D683" t="inlineStr">
        <is>
          <t>DALARNAS LÄN</t>
        </is>
      </c>
      <c r="E683" t="inlineStr">
        <is>
          <t>LEKSAND</t>
        </is>
      </c>
      <c r="G683" t="n">
        <v>2.2</v>
      </c>
      <c r="H683" t="n">
        <v>0</v>
      </c>
      <c r="I683" t="n">
        <v>0</v>
      </c>
      <c r="J683" t="n">
        <v>0</v>
      </c>
      <c r="K683" t="n">
        <v>0</v>
      </c>
      <c r="L683" t="n">
        <v>0</v>
      </c>
      <c r="M683" t="n">
        <v>0</v>
      </c>
      <c r="N683" t="n">
        <v>0</v>
      </c>
      <c r="O683" t="n">
        <v>0</v>
      </c>
      <c r="P683" t="n">
        <v>0</v>
      </c>
      <c r="Q683" t="n">
        <v>0</v>
      </c>
      <c r="R683" s="2" t="inlineStr"/>
    </row>
    <row r="684" ht="15" customHeight="1">
      <c r="A684" t="inlineStr">
        <is>
          <t>A 19590-2023</t>
        </is>
      </c>
      <c r="B684" s="1" t="n">
        <v>45049</v>
      </c>
      <c r="C684" s="1" t="n">
        <v>45886</v>
      </c>
      <c r="D684" t="inlineStr">
        <is>
          <t>DALARNAS LÄN</t>
        </is>
      </c>
      <c r="E684" t="inlineStr">
        <is>
          <t>LEKSAND</t>
        </is>
      </c>
      <c r="G684" t="n">
        <v>0.7</v>
      </c>
      <c r="H684" t="n">
        <v>0</v>
      </c>
      <c r="I684" t="n">
        <v>0</v>
      </c>
      <c r="J684" t="n">
        <v>0</v>
      </c>
      <c r="K684" t="n">
        <v>0</v>
      </c>
      <c r="L684" t="n">
        <v>0</v>
      </c>
      <c r="M684" t="n">
        <v>0</v>
      </c>
      <c r="N684" t="n">
        <v>0</v>
      </c>
      <c r="O684" t="n">
        <v>0</v>
      </c>
      <c r="P684" t="n">
        <v>0</v>
      </c>
      <c r="Q684" t="n">
        <v>0</v>
      </c>
      <c r="R684" s="2" t="inlineStr"/>
    </row>
    <row r="685" ht="15" customHeight="1">
      <c r="A685" t="inlineStr">
        <is>
          <t>A 39807-2024</t>
        </is>
      </c>
      <c r="B685" s="1" t="n">
        <v>45553.35763888889</v>
      </c>
      <c r="C685" s="1" t="n">
        <v>45886</v>
      </c>
      <c r="D685" t="inlineStr">
        <is>
          <t>DALARNAS LÄN</t>
        </is>
      </c>
      <c r="E685" t="inlineStr">
        <is>
          <t>LEKSAND</t>
        </is>
      </c>
      <c r="F685" t="inlineStr">
        <is>
          <t>Bergvik skog väst AB</t>
        </is>
      </c>
      <c r="G685" t="n">
        <v>1.2</v>
      </c>
      <c r="H685" t="n">
        <v>0</v>
      </c>
      <c r="I685" t="n">
        <v>0</v>
      </c>
      <c r="J685" t="n">
        <v>0</v>
      </c>
      <c r="K685" t="n">
        <v>0</v>
      </c>
      <c r="L685" t="n">
        <v>0</v>
      </c>
      <c r="M685" t="n">
        <v>0</v>
      </c>
      <c r="N685" t="n">
        <v>0</v>
      </c>
      <c r="O685" t="n">
        <v>0</v>
      </c>
      <c r="P685" t="n">
        <v>0</v>
      </c>
      <c r="Q685" t="n">
        <v>0</v>
      </c>
      <c r="R685" s="2" t="inlineStr"/>
    </row>
    <row r="686" ht="15" customHeight="1">
      <c r="A686" t="inlineStr">
        <is>
          <t>A 17377-2025</t>
        </is>
      </c>
      <c r="B686" s="1" t="n">
        <v>45756.983125</v>
      </c>
      <c r="C686" s="1" t="n">
        <v>45886</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61269-2022</t>
        </is>
      </c>
      <c r="B687" s="1" t="n">
        <v>44909</v>
      </c>
      <c r="C687" s="1" t="n">
        <v>45886</v>
      </c>
      <c r="D687" t="inlineStr">
        <is>
          <t>DALARNAS LÄN</t>
        </is>
      </c>
      <c r="E687" t="inlineStr">
        <is>
          <t>LEKSAND</t>
        </is>
      </c>
      <c r="G687" t="n">
        <v>4.2</v>
      </c>
      <c r="H687" t="n">
        <v>0</v>
      </c>
      <c r="I687" t="n">
        <v>0</v>
      </c>
      <c r="J687" t="n">
        <v>0</v>
      </c>
      <c r="K687" t="n">
        <v>0</v>
      </c>
      <c r="L687" t="n">
        <v>0</v>
      </c>
      <c r="M687" t="n">
        <v>0</v>
      </c>
      <c r="N687" t="n">
        <v>0</v>
      </c>
      <c r="O687" t="n">
        <v>0</v>
      </c>
      <c r="P687" t="n">
        <v>0</v>
      </c>
      <c r="Q687" t="n">
        <v>0</v>
      </c>
      <c r="R687" s="2" t="inlineStr"/>
    </row>
    <row r="688" ht="15" customHeight="1">
      <c r="A688" t="inlineStr">
        <is>
          <t>A 13384-2025</t>
        </is>
      </c>
      <c r="B688" s="1" t="n">
        <v>45735</v>
      </c>
      <c r="C688" s="1" t="n">
        <v>45886</v>
      </c>
      <c r="D688" t="inlineStr">
        <is>
          <t>DALARNAS LÄN</t>
        </is>
      </c>
      <c r="E688" t="inlineStr">
        <is>
          <t>LEKSAND</t>
        </is>
      </c>
      <c r="G688" t="n">
        <v>3.2</v>
      </c>
      <c r="H688" t="n">
        <v>0</v>
      </c>
      <c r="I688" t="n">
        <v>0</v>
      </c>
      <c r="J688" t="n">
        <v>0</v>
      </c>
      <c r="K688" t="n">
        <v>0</v>
      </c>
      <c r="L688" t="n">
        <v>0</v>
      </c>
      <c r="M688" t="n">
        <v>0</v>
      </c>
      <c r="N688" t="n">
        <v>0</v>
      </c>
      <c r="O688" t="n">
        <v>0</v>
      </c>
      <c r="P688" t="n">
        <v>0</v>
      </c>
      <c r="Q688" t="n">
        <v>0</v>
      </c>
      <c r="R688" s="2" t="inlineStr"/>
    </row>
    <row r="689" ht="15" customHeight="1">
      <c r="A689" t="inlineStr">
        <is>
          <t>A 31850-2024</t>
        </is>
      </c>
      <c r="B689" s="1" t="n">
        <v>45509.67334490741</v>
      </c>
      <c r="C689" s="1" t="n">
        <v>45886</v>
      </c>
      <c r="D689" t="inlineStr">
        <is>
          <t>DALARNAS LÄN</t>
        </is>
      </c>
      <c r="E689" t="inlineStr">
        <is>
          <t>LEKSAND</t>
        </is>
      </c>
      <c r="G689" t="n">
        <v>0.5</v>
      </c>
      <c r="H689" t="n">
        <v>0</v>
      </c>
      <c r="I689" t="n">
        <v>0</v>
      </c>
      <c r="J689" t="n">
        <v>0</v>
      </c>
      <c r="K689" t="n">
        <v>0</v>
      </c>
      <c r="L689" t="n">
        <v>0</v>
      </c>
      <c r="M689" t="n">
        <v>0</v>
      </c>
      <c r="N689" t="n">
        <v>0</v>
      </c>
      <c r="O689" t="n">
        <v>0</v>
      </c>
      <c r="P689" t="n">
        <v>0</v>
      </c>
      <c r="Q689" t="n">
        <v>0</v>
      </c>
      <c r="R689" s="2" t="inlineStr"/>
    </row>
    <row r="690" ht="15" customHeight="1">
      <c r="A690" t="inlineStr">
        <is>
          <t>A 55029-2024</t>
        </is>
      </c>
      <c r="B690" s="1" t="n">
        <v>45621.38016203704</v>
      </c>
      <c r="C690" s="1" t="n">
        <v>45886</v>
      </c>
      <c r="D690" t="inlineStr">
        <is>
          <t>DALARNAS LÄN</t>
        </is>
      </c>
      <c r="E690" t="inlineStr">
        <is>
          <t>LEKSAND</t>
        </is>
      </c>
      <c r="G690" t="n">
        <v>1.9</v>
      </c>
      <c r="H690" t="n">
        <v>0</v>
      </c>
      <c r="I690" t="n">
        <v>0</v>
      </c>
      <c r="J690" t="n">
        <v>0</v>
      </c>
      <c r="K690" t="n">
        <v>0</v>
      </c>
      <c r="L690" t="n">
        <v>0</v>
      </c>
      <c r="M690" t="n">
        <v>0</v>
      </c>
      <c r="N690" t="n">
        <v>0</v>
      </c>
      <c r="O690" t="n">
        <v>0</v>
      </c>
      <c r="P690" t="n">
        <v>0</v>
      </c>
      <c r="Q690" t="n">
        <v>0</v>
      </c>
      <c r="R690" s="2" t="inlineStr"/>
    </row>
    <row r="691" ht="15" customHeight="1">
      <c r="A691" t="inlineStr">
        <is>
          <t>A 53817-2023</t>
        </is>
      </c>
      <c r="B691" s="1" t="n">
        <v>45231.40488425926</v>
      </c>
      <c r="C691" s="1" t="n">
        <v>45886</v>
      </c>
      <c r="D691" t="inlineStr">
        <is>
          <t>DALARNAS LÄN</t>
        </is>
      </c>
      <c r="E691" t="inlineStr">
        <is>
          <t>LEKSAND</t>
        </is>
      </c>
      <c r="G691" t="n">
        <v>1.2</v>
      </c>
      <c r="H691" t="n">
        <v>0</v>
      </c>
      <c r="I691" t="n">
        <v>0</v>
      </c>
      <c r="J691" t="n">
        <v>0</v>
      </c>
      <c r="K691" t="n">
        <v>0</v>
      </c>
      <c r="L691" t="n">
        <v>0</v>
      </c>
      <c r="M691" t="n">
        <v>0</v>
      </c>
      <c r="N691" t="n">
        <v>0</v>
      </c>
      <c r="O691" t="n">
        <v>0</v>
      </c>
      <c r="P691" t="n">
        <v>0</v>
      </c>
      <c r="Q691" t="n">
        <v>0</v>
      </c>
      <c r="R691" s="2" t="inlineStr"/>
    </row>
    <row r="692" ht="15" customHeight="1">
      <c r="A692" t="inlineStr">
        <is>
          <t>A 19415-2025</t>
        </is>
      </c>
      <c r="B692" s="1" t="n">
        <v>45769</v>
      </c>
      <c r="C692" s="1" t="n">
        <v>45886</v>
      </c>
      <c r="D692" t="inlineStr">
        <is>
          <t>DALARNAS LÄN</t>
        </is>
      </c>
      <c r="E692" t="inlineStr">
        <is>
          <t>LEKSAND</t>
        </is>
      </c>
      <c r="F692" t="inlineStr">
        <is>
          <t>Bergvik skog väst AB</t>
        </is>
      </c>
      <c r="G692" t="n">
        <v>11.5</v>
      </c>
      <c r="H692" t="n">
        <v>0</v>
      </c>
      <c r="I692" t="n">
        <v>0</v>
      </c>
      <c r="J692" t="n">
        <v>0</v>
      </c>
      <c r="K692" t="n">
        <v>0</v>
      </c>
      <c r="L692" t="n">
        <v>0</v>
      </c>
      <c r="M692" t="n">
        <v>0</v>
      </c>
      <c r="N692" t="n">
        <v>0</v>
      </c>
      <c r="O692" t="n">
        <v>0</v>
      </c>
      <c r="P692" t="n">
        <v>0</v>
      </c>
      <c r="Q692" t="n">
        <v>0</v>
      </c>
      <c r="R692" s="2" t="inlineStr"/>
    </row>
    <row r="693" ht="15" customHeight="1">
      <c r="A693" t="inlineStr">
        <is>
          <t>A 11277-2025</t>
        </is>
      </c>
      <c r="B693" s="1" t="n">
        <v>45726.41565972222</v>
      </c>
      <c r="C693" s="1" t="n">
        <v>45886</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325-2023</t>
        </is>
      </c>
      <c r="B694" s="1" t="n">
        <v>44929</v>
      </c>
      <c r="C694" s="1" t="n">
        <v>45886</v>
      </c>
      <c r="D694" t="inlineStr">
        <is>
          <t>DALARNAS LÄN</t>
        </is>
      </c>
      <c r="E694" t="inlineStr">
        <is>
          <t>LEKSAND</t>
        </is>
      </c>
      <c r="F694" t="inlineStr">
        <is>
          <t>Övriga Aktiebolag</t>
        </is>
      </c>
      <c r="G694" t="n">
        <v>7.1</v>
      </c>
      <c r="H694" t="n">
        <v>0</v>
      </c>
      <c r="I694" t="n">
        <v>0</v>
      </c>
      <c r="J694" t="n">
        <v>0</v>
      </c>
      <c r="K694" t="n">
        <v>0</v>
      </c>
      <c r="L694" t="n">
        <v>0</v>
      </c>
      <c r="M694" t="n">
        <v>0</v>
      </c>
      <c r="N694" t="n">
        <v>0</v>
      </c>
      <c r="O694" t="n">
        <v>0</v>
      </c>
      <c r="P694" t="n">
        <v>0</v>
      </c>
      <c r="Q694" t="n">
        <v>0</v>
      </c>
      <c r="R694" s="2" t="inlineStr"/>
    </row>
    <row r="695" ht="15" customHeight="1">
      <c r="A695" t="inlineStr">
        <is>
          <t>A 11678-2025</t>
        </is>
      </c>
      <c r="B695" s="1" t="n">
        <v>45726</v>
      </c>
      <c r="C695" s="1" t="n">
        <v>45886</v>
      </c>
      <c r="D695" t="inlineStr">
        <is>
          <t>DALARNAS LÄN</t>
        </is>
      </c>
      <c r="E695" t="inlineStr">
        <is>
          <t>LEKSAND</t>
        </is>
      </c>
      <c r="G695" t="n">
        <v>9.4</v>
      </c>
      <c r="H695" t="n">
        <v>0</v>
      </c>
      <c r="I695" t="n">
        <v>0</v>
      </c>
      <c r="J695" t="n">
        <v>0</v>
      </c>
      <c r="K695" t="n">
        <v>0</v>
      </c>
      <c r="L695" t="n">
        <v>0</v>
      </c>
      <c r="M695" t="n">
        <v>0</v>
      </c>
      <c r="N695" t="n">
        <v>0</v>
      </c>
      <c r="O695" t="n">
        <v>0</v>
      </c>
      <c r="P695" t="n">
        <v>0</v>
      </c>
      <c r="Q695" t="n">
        <v>0</v>
      </c>
      <c r="R695" s="2" t="inlineStr"/>
    </row>
    <row r="696" ht="15" customHeight="1">
      <c r="A696" t="inlineStr">
        <is>
          <t>A 28633-2023</t>
        </is>
      </c>
      <c r="B696" s="1" t="n">
        <v>45103.61575231481</v>
      </c>
      <c r="C696" s="1" t="n">
        <v>45886</v>
      </c>
      <c r="D696" t="inlineStr">
        <is>
          <t>DALARNAS LÄN</t>
        </is>
      </c>
      <c r="E696" t="inlineStr">
        <is>
          <t>LEKSAND</t>
        </is>
      </c>
      <c r="F696" t="inlineStr">
        <is>
          <t>Bergvik skog väst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14943-2023</t>
        </is>
      </c>
      <c r="B697" s="1" t="n">
        <v>45015</v>
      </c>
      <c r="C697" s="1" t="n">
        <v>45886</v>
      </c>
      <c r="D697" t="inlineStr">
        <is>
          <t>DALARNAS LÄN</t>
        </is>
      </c>
      <c r="E697" t="inlineStr">
        <is>
          <t>LEKSAND</t>
        </is>
      </c>
      <c r="G697" t="n">
        <v>1.7</v>
      </c>
      <c r="H697" t="n">
        <v>0</v>
      </c>
      <c r="I697" t="n">
        <v>0</v>
      </c>
      <c r="J697" t="n">
        <v>0</v>
      </c>
      <c r="K697" t="n">
        <v>0</v>
      </c>
      <c r="L697" t="n">
        <v>0</v>
      </c>
      <c r="M697" t="n">
        <v>0</v>
      </c>
      <c r="N697" t="n">
        <v>0</v>
      </c>
      <c r="O697" t="n">
        <v>0</v>
      </c>
      <c r="P697" t="n">
        <v>0</v>
      </c>
      <c r="Q697" t="n">
        <v>0</v>
      </c>
      <c r="R697" s="2" t="inlineStr"/>
    </row>
    <row r="698" ht="15" customHeight="1">
      <c r="A698" t="inlineStr">
        <is>
          <t>A 41840-2024</t>
        </is>
      </c>
      <c r="B698" s="1" t="n">
        <v>45561.42170138889</v>
      </c>
      <c r="C698" s="1" t="n">
        <v>45886</v>
      </c>
      <c r="D698" t="inlineStr">
        <is>
          <t>DALARNAS LÄN</t>
        </is>
      </c>
      <c r="E698" t="inlineStr">
        <is>
          <t>LEKSAND</t>
        </is>
      </c>
      <c r="G698" t="n">
        <v>0.4</v>
      </c>
      <c r="H698" t="n">
        <v>0</v>
      </c>
      <c r="I698" t="n">
        <v>0</v>
      </c>
      <c r="J698" t="n">
        <v>0</v>
      </c>
      <c r="K698" t="n">
        <v>0</v>
      </c>
      <c r="L698" t="n">
        <v>0</v>
      </c>
      <c r="M698" t="n">
        <v>0</v>
      </c>
      <c r="N698" t="n">
        <v>0</v>
      </c>
      <c r="O698" t="n">
        <v>0</v>
      </c>
      <c r="P698" t="n">
        <v>0</v>
      </c>
      <c r="Q698" t="n">
        <v>0</v>
      </c>
      <c r="R698" s="2" t="inlineStr"/>
    </row>
    <row r="699" ht="15" customHeight="1">
      <c r="A699" t="inlineStr">
        <is>
          <t>A 33143-2024</t>
        </is>
      </c>
      <c r="B699" s="1" t="n">
        <v>45518</v>
      </c>
      <c r="C699" s="1" t="n">
        <v>45886</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28630-2023</t>
        </is>
      </c>
      <c r="B700" s="1" t="n">
        <v>45103.61003472222</v>
      </c>
      <c r="C700" s="1" t="n">
        <v>45886</v>
      </c>
      <c r="D700" t="inlineStr">
        <is>
          <t>DALARNAS LÄN</t>
        </is>
      </c>
      <c r="E700" t="inlineStr">
        <is>
          <t>LEKSAND</t>
        </is>
      </c>
      <c r="F700" t="inlineStr">
        <is>
          <t>Bergvik skog väst AB</t>
        </is>
      </c>
      <c r="G700" t="n">
        <v>0.3</v>
      </c>
      <c r="H700" t="n">
        <v>0</v>
      </c>
      <c r="I700" t="n">
        <v>0</v>
      </c>
      <c r="J700" t="n">
        <v>0</v>
      </c>
      <c r="K700" t="n">
        <v>0</v>
      </c>
      <c r="L700" t="n">
        <v>0</v>
      </c>
      <c r="M700" t="n">
        <v>0</v>
      </c>
      <c r="N700" t="n">
        <v>0</v>
      </c>
      <c r="O700" t="n">
        <v>0</v>
      </c>
      <c r="P700" t="n">
        <v>0</v>
      </c>
      <c r="Q700" t="n">
        <v>0</v>
      </c>
      <c r="R700" s="2" t="inlineStr"/>
    </row>
    <row r="701">
      <c r="A701" t="inlineStr">
        <is>
          <t>A 7759-2025</t>
        </is>
      </c>
      <c r="B701" s="1" t="n">
        <v>45706.53827546296</v>
      </c>
      <c r="C701" s="1" t="n">
        <v>45886</v>
      </c>
      <c r="D701" t="inlineStr">
        <is>
          <t>DALARNAS LÄN</t>
        </is>
      </c>
      <c r="E701" t="inlineStr">
        <is>
          <t>LEKSAND</t>
        </is>
      </c>
      <c r="G701" t="n">
        <v>3.3</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2025-08-17T08:31:12Z</dcterms:created>
  <dcterms:modified xmlns:dcterms="http://purl.org/dc/terms/" xmlns:xsi="http://www.w3.org/2001/XMLSchema-instance" xsi:type="dcterms:W3CDTF">2025-08-17T08:31:13Z</dcterms:modified>
</cp:coreProperties>
</file>