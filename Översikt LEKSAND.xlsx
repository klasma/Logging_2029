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45634</v>
      </c>
      <c r="D7" t="inlineStr">
        <is>
          <t>DALARNAS LÄN</t>
        </is>
      </c>
      <c r="E7" t="inlineStr">
        <is>
          <t>LEKSAND</t>
        </is>
      </c>
      <c r="F7" t="inlineStr">
        <is>
          <t>Övriga statliga verk och myndigheter</t>
        </is>
      </c>
      <c r="G7" t="n">
        <v>2.5</v>
      </c>
      <c r="H7" t="n">
        <v>2</v>
      </c>
      <c r="I7" t="n">
        <v>2</v>
      </c>
      <c r="J7" t="n">
        <v>7</v>
      </c>
      <c r="K7" t="n">
        <v>2</v>
      </c>
      <c r="L7" t="n">
        <v>0</v>
      </c>
      <c r="M7" t="n">
        <v>0</v>
      </c>
      <c r="N7" t="n">
        <v>0</v>
      </c>
      <c r="O7" t="n">
        <v>9</v>
      </c>
      <c r="P7" t="n">
        <v>2</v>
      </c>
      <c r="Q7" t="n">
        <v>12</v>
      </c>
      <c r="R7" s="2" t="inlineStr">
        <is>
          <t>Olivinkremla
Rynkskinn
Granticka
Gränsticka
Rosenticka
Spillkråka
Stjärntagging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61373-2019</t>
        </is>
      </c>
      <c r="B8" s="1" t="n">
        <v>43783</v>
      </c>
      <c r="C8" s="1" t="n">
        <v>45634</v>
      </c>
      <c r="D8" t="inlineStr">
        <is>
          <t>DALARNAS LÄN</t>
        </is>
      </c>
      <c r="E8" t="inlineStr">
        <is>
          <t>LEKSAND</t>
        </is>
      </c>
      <c r="F8" t="inlineStr">
        <is>
          <t>Bergvik skog väst AB</t>
        </is>
      </c>
      <c r="G8" t="n">
        <v>4.4</v>
      </c>
      <c r="H8" t="n">
        <v>2</v>
      </c>
      <c r="I8" t="n">
        <v>6</v>
      </c>
      <c r="J8" t="n">
        <v>4</v>
      </c>
      <c r="K8" t="n">
        <v>1</v>
      </c>
      <c r="L8" t="n">
        <v>0</v>
      </c>
      <c r="M8" t="n">
        <v>0</v>
      </c>
      <c r="N8" t="n">
        <v>0</v>
      </c>
      <c r="O8" t="n">
        <v>5</v>
      </c>
      <c r="P8" t="n">
        <v>1</v>
      </c>
      <c r="Q8" t="n">
        <v>11</v>
      </c>
      <c r="R8" s="2" t="inlineStr">
        <is>
          <t>Aspgelélav
Kolflarnlav
Rosenticka
Tretåig hackspett
Vedskivlav
Bårdlav
Dropptaggsvamp
Mindre märgborre
Plattlummer
Skinnlav
Stuplav</t>
        </is>
      </c>
      <c r="S8">
        <f>HYPERLINK("https://klasma.github.io/Logging_2029/artfynd/A 61373-2019 artfynd.xlsx", "A 61373-2019")</f>
        <v/>
      </c>
      <c r="T8">
        <f>HYPERLINK("https://klasma.github.io/Logging_2029/kartor/A 61373-2019 karta.png", "A 61373-2019")</f>
        <v/>
      </c>
      <c r="V8">
        <f>HYPERLINK("https://klasma.github.io/Logging_2029/klagomål/A 61373-2019 FSC-klagomål.docx", "A 61373-2019")</f>
        <v/>
      </c>
      <c r="W8">
        <f>HYPERLINK("https://klasma.github.io/Logging_2029/klagomålsmail/A 61373-2019 FSC-klagomål mail.docx", "A 61373-2019")</f>
        <v/>
      </c>
      <c r="X8">
        <f>HYPERLINK("https://klasma.github.io/Logging_2029/tillsyn/A 61373-2019 tillsynsbegäran.docx", "A 61373-2019")</f>
        <v/>
      </c>
      <c r="Y8">
        <f>HYPERLINK("https://klasma.github.io/Logging_2029/tillsynsmail/A 61373-2019 tillsynsbegäran mail.docx", "A 61373-2019")</f>
        <v/>
      </c>
      <c r="Z8">
        <f>HYPERLINK("https://klasma.github.io/Logging_2029/fåglar/A 61373-2019 prioriterade fågelarter.docx", "A 61373-2019")</f>
        <v/>
      </c>
    </row>
    <row r="9" ht="15" customHeight="1">
      <c r="A9" t="inlineStr">
        <is>
          <t>A 61375-2019</t>
        </is>
      </c>
      <c r="B9" s="1" t="n">
        <v>43783</v>
      </c>
      <c r="C9" s="1" t="n">
        <v>45634</v>
      </c>
      <c r="D9" t="inlineStr">
        <is>
          <t>DALARNAS LÄN</t>
        </is>
      </c>
      <c r="E9" t="inlineStr">
        <is>
          <t>LEKSAND</t>
        </is>
      </c>
      <c r="F9" t="inlineStr">
        <is>
          <t>Bergvik skog väst AB</t>
        </is>
      </c>
      <c r="G9" t="n">
        <v>15.7</v>
      </c>
      <c r="H9" t="n">
        <v>1</v>
      </c>
      <c r="I9" t="n">
        <v>6</v>
      </c>
      <c r="J9" t="n">
        <v>3</v>
      </c>
      <c r="K9" t="n">
        <v>2</v>
      </c>
      <c r="L9" t="n">
        <v>0</v>
      </c>
      <c r="M9" t="n">
        <v>0</v>
      </c>
      <c r="N9" t="n">
        <v>0</v>
      </c>
      <c r="O9" t="n">
        <v>5</v>
      </c>
      <c r="P9" t="n">
        <v>2</v>
      </c>
      <c r="Q9" t="n">
        <v>11</v>
      </c>
      <c r="R9" s="2" t="inlineStr">
        <is>
          <t>Knärot
Rynkskinn
Kolflarnlav
Nordtagging
Vedskivlav
Bollvitmossa
Bronshjon
Dropptaggsvamp
Mindre märgborre
Vedticka
Vågbandad barkbock</t>
        </is>
      </c>
      <c r="S9">
        <f>HYPERLINK("https://klasma.github.io/Logging_2029/artfynd/A 61375-2019 artfynd.xlsx", "A 61375-2019")</f>
        <v/>
      </c>
      <c r="T9">
        <f>HYPERLINK("https://klasma.github.io/Logging_2029/kartor/A 61375-2019 karta.png", "A 61375-2019")</f>
        <v/>
      </c>
      <c r="U9">
        <f>HYPERLINK("https://klasma.github.io/Logging_2029/knärot/A 61375-2019 karta knärot.png", "A 61375-2019")</f>
        <v/>
      </c>
      <c r="V9">
        <f>HYPERLINK("https://klasma.github.io/Logging_2029/klagomål/A 61375-2019 FSC-klagomål.docx", "A 61375-2019")</f>
        <v/>
      </c>
      <c r="W9">
        <f>HYPERLINK("https://klasma.github.io/Logging_2029/klagomålsmail/A 61375-2019 FSC-klagomål mail.docx", "A 61375-2019")</f>
        <v/>
      </c>
      <c r="X9">
        <f>HYPERLINK("https://klasma.github.io/Logging_2029/tillsyn/A 61375-2019 tillsynsbegäran.docx", "A 61375-2019")</f>
        <v/>
      </c>
      <c r="Y9">
        <f>HYPERLINK("https://klasma.github.io/Logging_2029/tillsynsmail/A 61375-2019 tillsynsbegäran mail.docx", "A 61375-2019")</f>
        <v/>
      </c>
    </row>
    <row r="10" ht="15" customHeight="1">
      <c r="A10" t="inlineStr">
        <is>
          <t>A 59850-2022</t>
        </is>
      </c>
      <c r="B10" s="1" t="n">
        <v>44901</v>
      </c>
      <c r="C10" s="1" t="n">
        <v>45634</v>
      </c>
      <c r="D10" t="inlineStr">
        <is>
          <t>DALARNAS LÄN</t>
        </is>
      </c>
      <c r="E10" t="inlineStr">
        <is>
          <t>LEKSAND</t>
        </is>
      </c>
      <c r="G10" t="n">
        <v>1.7</v>
      </c>
      <c r="H10" t="n">
        <v>3</v>
      </c>
      <c r="I10" t="n">
        <v>3</v>
      </c>
      <c r="J10" t="n">
        <v>5</v>
      </c>
      <c r="K10" t="n">
        <v>1</v>
      </c>
      <c r="L10" t="n">
        <v>0</v>
      </c>
      <c r="M10" t="n">
        <v>0</v>
      </c>
      <c r="N10" t="n">
        <v>0</v>
      </c>
      <c r="O10" t="n">
        <v>6</v>
      </c>
      <c r="P10" t="n">
        <v>1</v>
      </c>
      <c r="Q10" t="n">
        <v>11</v>
      </c>
      <c r="R10" s="2" t="inlineStr">
        <is>
          <t>Rynkskinn
Garnlav
Granticka
Tretåig hackspett
Ullticka
Violettgrå tagellav
Bågpraktmossa
Svavelriska
Vedticka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57812-2023</t>
        </is>
      </c>
      <c r="B11" s="1" t="n">
        <v>45247</v>
      </c>
      <c r="C11" s="1" t="n">
        <v>45634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45634</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45634</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45634</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45634</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45634</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45634</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45634</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45634</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45634</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45634</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45634</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45634</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45634</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45634</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45634</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45634</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45634</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45634</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45634</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45634</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45634</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45634</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45634</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45634</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45634</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45634</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45634</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45634</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45634</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45634</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45634</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45634</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45634</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45634</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45634</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45634</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45634</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45634</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45634</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45634</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45634</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45634</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45634</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45634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45634</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45634</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45634</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45634</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45634</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45634</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45634</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45634</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45634</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45634</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45634</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45634</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45634</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45634</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45634</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45634</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45634</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45634</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45634</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45634</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45634</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45634</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45634</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45634</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45634</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45634</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45634</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45634</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45634</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45634</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45634</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45634</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45634</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45634</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45634</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45634</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45634</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45634</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45634</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45634</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45634</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45634</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45634</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45634</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45634</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45634</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45634</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45634</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45634</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45634</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45634</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45634</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45634</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45634</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45634</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45634</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45634</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45634</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45634</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45634</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45634</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45634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45634</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45634</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45634</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45634</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45634</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45634</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45634</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45634</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45634</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45634</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45634</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45634</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45634</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45634</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45634</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45634</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45634</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45634</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45634</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45634</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45634</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45634</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45634</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45634</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45634</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45634</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45634</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45634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45634</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45634</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45634</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45634</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45634</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45634</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45634</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45634</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45634</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45634</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45634</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45634</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45634</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45634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45634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45634</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45634</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45634</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45634</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45634</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45634</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45634</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45634</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45634</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45634</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45634</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45634</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45634</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45634</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45634</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45634</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45634</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45634</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45634</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45634</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45634</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45634</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45634</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45634</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45634</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45634</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45634</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45634</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45634</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45634</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45634</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45634</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45634</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45634</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45634</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45634</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45634</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45634</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45634</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45634</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45634</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45634</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45634</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45634</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45634</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45634</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45634</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45634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45634</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45634</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45634</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45634</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45634</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45634</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45634</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45634</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45634</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45634</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45634</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45634</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45634</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45634</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45634</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45634</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45634</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45634</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45634</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45634</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45634</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45634</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45634</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45634</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45634</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45634</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45634</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45634</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45634</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45634</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45634</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45634</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45634</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45634</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45634</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45634</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45634</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45634</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45634</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45634</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45634</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45634</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45634</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45634</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45634</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45634</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45634</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45634</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45634</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45634</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45634</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45634</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45634</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45634</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45634</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45634</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45634</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45634</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45634</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45634</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45634</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45634</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45634</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45634</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45634</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45634</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45634</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45634</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45634</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45634</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45634</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45634</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45634</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45634</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45634</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45634</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45634</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45634</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45634</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45634</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45634</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45634</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45634</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45634</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45634</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45634</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45634</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45634</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45634</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45634</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45634</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45634</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45634</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45634</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45634</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45634</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45634</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45634</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45634</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45634</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45634</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45634</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45634</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45634</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45634</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45634</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45634</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45634</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45634</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45634</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45634</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45634</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45634</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45634</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45634</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45634</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45634</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45634</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45634</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45634</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45634</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45634</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45634</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45634</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45634</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45634</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45634</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45634</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45634</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45634</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45634</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45634</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45634</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45634</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45634</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45634</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45634</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45634</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45634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45634</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45634</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45634</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45634</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45634</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45634</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45634</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45634</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45634</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45634</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45634</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45634</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45634</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45634</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45634</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45634</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45634</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45634</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45634</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45634</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45634</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45634</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45634</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45634</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45634</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45634</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45634</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45634</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45634</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45634</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45634</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45634</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45634</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45634</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45634</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45634</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45634</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45634</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45634</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45634</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45634</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45634</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45634</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45634</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45634</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45634</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45634</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45634</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45634</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45634</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45634</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45634</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45634</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45634</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45634</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45634</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45634</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45634</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45634</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45634</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45634</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45634</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45634</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45634</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45634</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45634</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45634</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45634</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45634</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45634</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45634</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45634</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45634</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45634</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45634</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45634</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45634</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45634</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45634</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45634</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45634</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45634</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45634</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45634</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45634</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45634</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45634</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45634</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45634</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45634</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45634</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45634</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45634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45634</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45634</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45634</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45634</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45634</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45634</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45634</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45634</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45634</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45634</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45634</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45634</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45634</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45634</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45634</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45634</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45634</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45634</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45634</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45634</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45634</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45634</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45634</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45634</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45634</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45634</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45634</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45634</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45634</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45634</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45634</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45634</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45634</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45634</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45634</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45634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45634</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45634</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45634</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45634</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45634</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45634</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45634</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45634</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45634</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45634</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45634</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45634</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45634</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45634</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45634</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45634</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45634</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45634</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45634</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45634</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45634</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45634</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45634</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45634</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45634</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45634</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45634</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45634</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45634</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45634</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45634</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45634</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45634</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45634</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45634</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45634</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45634</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45634</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45634</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45634</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45634</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45634</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45634</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45634</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45634</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45634</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45634</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45634</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45634</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45634</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45634</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45634</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45634</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45634</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45634</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45634</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45634</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45634</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45634</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45634</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45634</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45634</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45634</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45634</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45634</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45634</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45634</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45634</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45634</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45634</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45634</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45634</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45634</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45634</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45634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45634</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45634</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45634</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45634</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45634</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45634</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45634</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45634</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45634</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45634</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45634</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45634</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45634</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45634</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45634</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45634</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45634</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45634</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45634</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45634</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45634</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45634</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45634</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45634</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45634</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45634</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45634</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45634</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45634</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45634</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45634</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45634</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45634</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45634</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45634</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45634</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45634</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45634</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45634</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45634</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45634</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45634</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45634</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45634</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45634</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45634</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45634</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45634</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45634</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45634</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45634</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45634</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45634</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45634</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45634</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45634</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45634</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45634</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45634</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45634</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45634</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45634</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45634</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45634</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45634</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45634</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45634</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45634</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45634</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45634</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45634</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45634</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45634</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45634</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45634</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45634</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45634</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45634</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45634</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45634</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45634</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45634</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45634</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45634</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45634</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45634</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45634</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45634</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45634</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45634</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45634</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45634</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45634</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45634</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45634</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45634</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45634</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45634</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45634</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45634</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45634</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45634</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45634</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45634</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45634</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45634</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45634</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45634</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45634</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45634</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45634</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45634</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45634</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45634</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45634</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45634</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45634</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45634</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45634</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45634</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45634</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45634</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45634</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45634</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45634</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45634</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45634</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45634</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45634</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45634</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45634</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45634</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45634</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45634</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45634</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45634</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45634</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45634</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45634</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45634</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45634</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45634</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45634</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45634</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45634</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45634</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45634</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45634</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45634</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45634</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45634</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45634</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45634</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45634</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45634</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45634</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45634</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45634</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45634</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45634</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45634</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45634</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45634</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45634</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45634</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45634</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45634</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45634</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45634</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45634</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45634</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45634</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45634</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45634</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45634</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45634</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45634</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45634</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45634</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45634</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45634</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45634</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45634</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45634</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45634</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45634</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45634</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45634</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45634</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45634</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45634</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45634</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45634</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45634</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45634</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45634</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45634</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45634</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45634</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45634</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45634</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45634</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45634</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45634</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45634</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45634</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45634</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45634</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45634</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45634</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45634</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45634</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45634</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45634</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45634</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45634</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45634</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45634</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45634</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45634</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45634</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45634</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45634</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45634</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45634</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45634</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45634</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45634</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45634</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45634</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45634</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45634</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45634</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45634</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45634</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45634</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45634</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45634</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45634</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45634</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45634</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45634</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45634</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45634</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45634</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45634</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45634</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45634</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45634</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45634</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45634</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45634</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45634</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45634</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45634</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45634</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45634</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45634</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45634</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45634</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45634</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45634</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45634</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45634</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45634</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45634</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45634</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45634</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45634</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45634</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45634</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45634</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45634</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45634</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45634</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45634</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45634</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45634</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45634</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45634</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45634</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45634</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45634</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45634</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45634</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45634</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45634</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45634</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45634</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45634</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45634</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45634</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45634</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45634</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45634</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45634</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45634</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45634</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45634</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45634</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45634</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45634</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45634</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45634</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45634</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45634</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45634</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45634</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45634</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45634</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45634</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45634</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45634</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45634</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45634</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45634</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45634</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45634</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45634</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45634</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45634</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45634</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45634</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45634</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45634</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45634</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45634</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45634</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45634</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45634</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45634</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45634</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45634</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45634</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45634</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45634</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45634</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45634</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45634</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45634</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45634</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45634</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45634</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45634</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45634</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45634</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45634</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45634</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45634</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45634</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45634</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45634</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45634</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45634</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45634</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45634</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45634</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45634</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45634</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45634</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45634</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45634</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45634</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45634</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45634</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45634</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45634</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45634</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45634</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45634</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45634</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45634</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45634</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45634</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45634</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45634</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45634</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45634</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45634</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45634</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45634</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45634</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45634</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45634</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45634</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45634</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45634</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45634</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45634</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45634</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45634</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45634</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45634</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45634</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45634</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45634</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45634</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45634</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45634</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45634</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45634</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45634</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45634</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45634</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45634</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45634</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45634</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45634</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45634</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45634</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45634</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45634</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45634</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45634</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45634</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45634</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45634</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45634</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45634</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45634</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45634</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45634</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45634</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45634</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45634</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45634</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45634</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45634</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45634</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45634</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45634</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45634</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45634</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45634</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45634</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45634</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45634</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45634</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45634</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45634</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45634</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45634</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45634</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45634</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45634</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45634</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45634</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45634</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45634</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45634</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45634</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45634</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45634</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45634</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45634</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45634</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45634</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45634</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45634</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45634</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45634</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45634</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45634</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45634</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45634</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45634</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45634</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45634</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45634</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45634</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45634</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45634</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45634</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45634</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45634</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45634</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45634</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45634</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45634</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45634</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45634</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45634</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45634</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45634</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45634</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45634</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45634</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45634</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45634</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45634</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45634</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45634</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45634</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45634</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45634</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45634</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45634</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45634</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45634</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45634</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45634</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45634</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45634</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45634</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45634</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45634</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45634</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45634</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45634</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45634</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45634</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45634</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45634</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45634</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45634</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45634</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45634</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45634</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45634</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45634</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45634</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45634</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45634</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45634</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45634</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45634</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45634</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45634</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45634</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45634</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45634</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45634</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45634</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45634</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45634</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45634</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45634</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45634</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45634</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45634</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45634</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45634</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45634</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45634</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45634</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45634</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45634</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45634</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45634</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45634</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45634</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45634</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45634</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45634</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45634</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45634</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45634</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45634</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45634</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45634</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45634</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45634</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45634</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45634</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45634</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45634</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45634</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51907-2024</t>
        </is>
      </c>
      <c r="B1139" s="1" t="n">
        <v>45607</v>
      </c>
      <c r="C1139" s="1" t="n">
        <v>45634</v>
      </c>
      <c r="D1139" t="inlineStr">
        <is>
          <t>DALARNAS LÄN</t>
        </is>
      </c>
      <c r="E1139" t="inlineStr">
        <is>
          <t>LEKSAND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45634</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45634</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45634</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45634</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45634</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45634</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45634</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45634</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45634</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53662-2024</t>
        </is>
      </c>
      <c r="B1149" s="1" t="n">
        <v>45612</v>
      </c>
      <c r="C1149" s="1" t="n">
        <v>45634</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53313-2024</t>
        </is>
      </c>
      <c r="B1150" s="1" t="n">
        <v>45614</v>
      </c>
      <c r="C1150" s="1" t="n">
        <v>45634</v>
      </c>
      <c r="D1150" t="inlineStr">
        <is>
          <t>DALARNAS LÄN</t>
        </is>
      </c>
      <c r="E1150" t="inlineStr">
        <is>
          <t>LEKSAND</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53633-2024</t>
        </is>
      </c>
      <c r="B1151" s="1" t="n">
        <v>45614</v>
      </c>
      <c r="C1151" s="1" t="n">
        <v>45634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53625-2024</t>
        </is>
      </c>
      <c r="B1152" s="1" t="n">
        <v>45614</v>
      </c>
      <c r="C1152" s="1" t="n">
        <v>45634</v>
      </c>
      <c r="D1152" t="inlineStr">
        <is>
          <t>DALARNAS LÄN</t>
        </is>
      </c>
      <c r="E1152" t="inlineStr">
        <is>
          <t>LEKSAND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53634-2024</t>
        </is>
      </c>
      <c r="B1153" s="1" t="n">
        <v>45614</v>
      </c>
      <c r="C1153" s="1" t="n">
        <v>45634</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45634</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53981-2024</t>
        </is>
      </c>
      <c r="B1155" s="1" t="n">
        <v>45615</v>
      </c>
      <c r="C1155" s="1" t="n">
        <v>45634</v>
      </c>
      <c r="D1155" t="inlineStr">
        <is>
          <t>DALARNAS LÄN</t>
        </is>
      </c>
      <c r="E1155" t="inlineStr">
        <is>
          <t>LEKSAND</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53992-2024</t>
        </is>
      </c>
      <c r="B1156" s="1" t="n">
        <v>45616</v>
      </c>
      <c r="C1156" s="1" t="n">
        <v>45634</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54917-2024</t>
        </is>
      </c>
      <c r="B1157" s="1" t="n">
        <v>45618</v>
      </c>
      <c r="C1157" s="1" t="n">
        <v>45634</v>
      </c>
      <c r="D1157" t="inlineStr">
        <is>
          <t>DALARNAS LÄN</t>
        </is>
      </c>
      <c r="E1157" t="inlineStr">
        <is>
          <t>LEKSAND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54911-2024</t>
        </is>
      </c>
      <c r="B1158" s="1" t="n">
        <v>45618</v>
      </c>
      <c r="C1158" s="1" t="n">
        <v>45634</v>
      </c>
      <c r="D1158" t="inlineStr">
        <is>
          <t>DALARNAS LÄN</t>
        </is>
      </c>
      <c r="E1158" t="inlineStr">
        <is>
          <t>LEKSAND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45634</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45634</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55029-2024</t>
        </is>
      </c>
      <c r="B1161" s="1" t="n">
        <v>45621</v>
      </c>
      <c r="C1161" s="1" t="n">
        <v>45634</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55268-2024</t>
        </is>
      </c>
      <c r="B1162" s="1" t="n">
        <v>45621</v>
      </c>
      <c r="C1162" s="1" t="n">
        <v>45634</v>
      </c>
      <c r="D1162" t="inlineStr">
        <is>
          <t>DALARNAS LÄN</t>
        </is>
      </c>
      <c r="E1162" t="inlineStr">
        <is>
          <t>LEKSAND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45634</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55643-2024</t>
        </is>
      </c>
      <c r="B1164" s="1" t="n">
        <v>45621</v>
      </c>
      <c r="C1164" s="1" t="n">
        <v>45634</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45634</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45634</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55520-2024</t>
        </is>
      </c>
      <c r="B1167" s="1" t="n">
        <v>45621</v>
      </c>
      <c r="C1167" s="1" t="n">
        <v>45634</v>
      </c>
      <c r="D1167" t="inlineStr">
        <is>
          <t>DALARNAS LÄN</t>
        </is>
      </c>
      <c r="E1167" t="inlineStr">
        <is>
          <t>LEKSAND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55706-2024</t>
        </is>
      </c>
      <c r="B1168" s="1" t="n">
        <v>45622</v>
      </c>
      <c r="C1168" s="1" t="n">
        <v>45634</v>
      </c>
      <c r="D1168" t="inlineStr">
        <is>
          <t>DALARNAS LÄN</t>
        </is>
      </c>
      <c r="E1168" t="inlineStr">
        <is>
          <t>LEKSAND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55689-2024</t>
        </is>
      </c>
      <c r="B1169" s="1" t="n">
        <v>45622</v>
      </c>
      <c r="C1169" s="1" t="n">
        <v>45634</v>
      </c>
      <c r="D1169" t="inlineStr">
        <is>
          <t>DALARNAS LÄN</t>
        </is>
      </c>
      <c r="E1169" t="inlineStr">
        <is>
          <t>LEKSAND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55926-2024</t>
        </is>
      </c>
      <c r="B1170" s="1" t="n">
        <v>45623</v>
      </c>
      <c r="C1170" s="1" t="n">
        <v>45634</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56016-2024</t>
        </is>
      </c>
      <c r="B1171" s="1" t="n">
        <v>45623</v>
      </c>
      <c r="C1171" s="1" t="n">
        <v>45634</v>
      </c>
      <c r="D1171" t="inlineStr">
        <is>
          <t>DALARNAS LÄN</t>
        </is>
      </c>
      <c r="E1171" t="inlineStr">
        <is>
          <t>LEKSAND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56059-2024</t>
        </is>
      </c>
      <c r="B1172" s="1" t="n">
        <v>45624</v>
      </c>
      <c r="C1172" s="1" t="n">
        <v>45634</v>
      </c>
      <c r="D1172" t="inlineStr">
        <is>
          <t>DALARNAS LÄN</t>
        </is>
      </c>
      <c r="E1172" t="inlineStr">
        <is>
          <t>LEKSAND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56283-2024</t>
        </is>
      </c>
      <c r="B1173" s="1" t="n">
        <v>45624</v>
      </c>
      <c r="C1173" s="1" t="n">
        <v>45634</v>
      </c>
      <c r="D1173" t="inlineStr">
        <is>
          <t>DALARNAS LÄN</t>
        </is>
      </c>
      <c r="E1173" t="inlineStr">
        <is>
          <t>LEKSAND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56299-2024</t>
        </is>
      </c>
      <c r="B1174" s="1" t="n">
        <v>45624</v>
      </c>
      <c r="C1174" s="1" t="n">
        <v>45634</v>
      </c>
      <c r="D1174" t="inlineStr">
        <is>
          <t>DALARNAS LÄN</t>
        </is>
      </c>
      <c r="E1174" t="inlineStr">
        <is>
          <t>LEKSAND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56591-2024</t>
        </is>
      </c>
      <c r="B1175" s="1" t="n">
        <v>45625</v>
      </c>
      <c r="C1175" s="1" t="n">
        <v>45634</v>
      </c>
      <c r="D1175" t="inlineStr">
        <is>
          <t>DALARNAS LÄN</t>
        </is>
      </c>
      <c r="E1175" t="inlineStr">
        <is>
          <t>LEKSAND</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56608-2024</t>
        </is>
      </c>
      <c r="B1176" s="1" t="n">
        <v>45625</v>
      </c>
      <c r="C1176" s="1" t="n">
        <v>45634</v>
      </c>
      <c r="D1176" t="inlineStr">
        <is>
          <t>DALARNAS LÄN</t>
        </is>
      </c>
      <c r="E1176" t="inlineStr">
        <is>
          <t>LEKSAND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56941-2024</t>
        </is>
      </c>
      <c r="B1177" s="1" t="n">
        <v>45625</v>
      </c>
      <c r="C1177" s="1" t="n">
        <v>45634</v>
      </c>
      <c r="D1177" t="inlineStr">
        <is>
          <t>DALARNAS LÄN</t>
        </is>
      </c>
      <c r="E1177" t="inlineStr">
        <is>
          <t>LEKSAND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56950-2024</t>
        </is>
      </c>
      <c r="B1178" s="1" t="n">
        <v>45625</v>
      </c>
      <c r="C1178" s="1" t="n">
        <v>45634</v>
      </c>
      <c r="D1178" t="inlineStr">
        <is>
          <t>DALARNAS LÄN</t>
        </is>
      </c>
      <c r="E1178" t="inlineStr">
        <is>
          <t>LEKSAND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56943-2024</t>
        </is>
      </c>
      <c r="B1179" s="1" t="n">
        <v>45625</v>
      </c>
      <c r="C1179" s="1" t="n">
        <v>45634</v>
      </c>
      <c r="D1179" t="inlineStr">
        <is>
          <t>DALARNAS LÄN</t>
        </is>
      </c>
      <c r="E1179" t="inlineStr">
        <is>
          <t>LEKSAND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45634</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45634</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56749-2024</t>
        </is>
      </c>
      <c r="B1182" s="1" t="n">
        <v>45628</v>
      </c>
      <c r="C1182" s="1" t="n">
        <v>45634</v>
      </c>
      <c r="D1182" t="inlineStr">
        <is>
          <t>DALARNAS LÄN</t>
        </is>
      </c>
      <c r="E1182" t="inlineStr">
        <is>
          <t>LEKSAND</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56777-2024</t>
        </is>
      </c>
      <c r="B1183" s="1" t="n">
        <v>45628</v>
      </c>
      <c r="C1183" s="1" t="n">
        <v>45634</v>
      </c>
      <c r="D1183" t="inlineStr">
        <is>
          <t>DALARNAS LÄN</t>
        </is>
      </c>
      <c r="E1183" t="inlineStr">
        <is>
          <t>LEKSAND</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57599-2024</t>
        </is>
      </c>
      <c r="B1184" s="1" t="n">
        <v>45630</v>
      </c>
      <c r="C1184" s="1" t="n">
        <v>45634</v>
      </c>
      <c r="D1184" t="inlineStr">
        <is>
          <t>DALARNAS LÄN</t>
        </is>
      </c>
      <c r="E1184" t="inlineStr">
        <is>
          <t>LEKSAND</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57899-2024</t>
        </is>
      </c>
      <c r="B1185" s="1" t="n">
        <v>45630</v>
      </c>
      <c r="C1185" s="1" t="n">
        <v>45634</v>
      </c>
      <c r="D1185" t="inlineStr">
        <is>
          <t>DALARNAS LÄN</t>
        </is>
      </c>
      <c r="E1185" t="inlineStr">
        <is>
          <t>LEKSAND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57933-2024</t>
        </is>
      </c>
      <c r="B1186" s="1" t="n">
        <v>45630</v>
      </c>
      <c r="C1186" s="1" t="n">
        <v>45634</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45634</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45634</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c r="A1189" t="inlineStr">
        <is>
          <t>A 58244-2024</t>
        </is>
      </c>
      <c r="B1189" s="1" t="n">
        <v>45631</v>
      </c>
      <c r="C1189" s="1" t="n">
        <v>45634</v>
      </c>
      <c r="D1189" t="inlineStr">
        <is>
          <t>DALARNAS LÄN</t>
        </is>
      </c>
      <c r="E1189" t="inlineStr">
        <is>
          <t>LEKSAND</t>
        </is>
      </c>
      <c r="G1189" t="n">
        <v>1.9</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2024-12-08T15:10:12Z</dcterms:created>
  <dcterms:modified xmlns:dcterms="http://purl.org/dc/terms/" xmlns:xsi="http://www.w3.org/2001/XMLSchema-instance" xsi:type="dcterms:W3CDTF">2024-12-08T15:10:13Z</dcterms:modified>
</cp:coreProperties>
</file>