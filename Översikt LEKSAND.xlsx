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45984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45984</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45984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45984</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45984</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45984</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45984</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45984</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45984</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45984</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45984</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45984</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45984</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45984</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45984</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45984</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45984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31124-2024</t>
        </is>
      </c>
      <c r="B31" s="1" t="n">
        <v>45502.62886574074</v>
      </c>
      <c r="C31" s="1" t="n">
        <v>45984</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164-2024</t>
        </is>
      </c>
      <c r="B32" s="1" t="n">
        <v>45294.49954861111</v>
      </c>
      <c r="C32" s="1" t="n">
        <v>45984</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45984</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36778-2025</t>
        </is>
      </c>
      <c r="B34" s="1" t="n">
        <v>45873</v>
      </c>
      <c r="C34" s="1" t="n">
        <v>45984</v>
      </c>
      <c r="D34" t="inlineStr">
        <is>
          <t>DALARNAS LÄN</t>
        </is>
      </c>
      <c r="E34" t="inlineStr">
        <is>
          <t>LEKSAND</t>
        </is>
      </c>
      <c r="F34" t="inlineStr">
        <is>
          <t>Övriga statliga verk och myndigheter</t>
        </is>
      </c>
      <c r="G34" t="n">
        <v>0.6</v>
      </c>
      <c r="H34" t="n">
        <v>1</v>
      </c>
      <c r="I34" t="n">
        <v>0</v>
      </c>
      <c r="J34" t="n">
        <v>1</v>
      </c>
      <c r="K34" t="n">
        <v>0</v>
      </c>
      <c r="L34" t="n">
        <v>0</v>
      </c>
      <c r="M34" t="n">
        <v>0</v>
      </c>
      <c r="N34" t="n">
        <v>0</v>
      </c>
      <c r="O34" t="n">
        <v>1</v>
      </c>
      <c r="P34" t="n">
        <v>0</v>
      </c>
      <c r="Q34" t="n">
        <v>1</v>
      </c>
      <c r="R34" s="2" t="inlineStr">
        <is>
          <t>Tretåig hackspett</t>
        </is>
      </c>
      <c r="S34">
        <f>HYPERLINK("https://klasma.github.io/Logging_2029/artfynd/A 36778-2025 artfynd.xlsx", "A 36778-2025")</f>
        <v/>
      </c>
      <c r="T34">
        <f>HYPERLINK("https://klasma.github.io/Logging_2029/kartor/A 36778-2025 karta.png", "A 36778-2025")</f>
        <v/>
      </c>
      <c r="V34">
        <f>HYPERLINK("https://klasma.github.io/Logging_2029/klagomål/A 36778-2025 FSC-klagomål.docx", "A 36778-2025")</f>
        <v/>
      </c>
      <c r="W34">
        <f>HYPERLINK("https://klasma.github.io/Logging_2029/klagomålsmail/A 36778-2025 FSC-klagomål mail.docx", "A 36778-2025")</f>
        <v/>
      </c>
      <c r="X34">
        <f>HYPERLINK("https://klasma.github.io/Logging_2029/tillsyn/A 36778-2025 tillsynsbegäran.docx", "A 36778-2025")</f>
        <v/>
      </c>
      <c r="Y34">
        <f>HYPERLINK("https://klasma.github.io/Logging_2029/tillsynsmail/A 36778-2025 tillsynsbegäran mail.docx", "A 36778-2025")</f>
        <v/>
      </c>
      <c r="Z34">
        <f>HYPERLINK("https://klasma.github.io/Logging_2029/fåglar/A 36778-2025 prioriterade fågelarter.docx", "A 36778-2025")</f>
        <v/>
      </c>
    </row>
    <row r="35" ht="15" customHeight="1">
      <c r="A35" t="inlineStr">
        <is>
          <t>A 45375-2025</t>
        </is>
      </c>
      <c r="B35" s="1" t="n">
        <v>45922.39347222223</v>
      </c>
      <c r="C35" s="1" t="n">
        <v>45984</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34993-2025</t>
        </is>
      </c>
      <c r="B36" s="1" t="n">
        <v>45849.82383101852</v>
      </c>
      <c r="C36" s="1" t="n">
        <v>45984</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45984</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53633-2024</t>
        </is>
      </c>
      <c r="B38" s="1" t="n">
        <v>45614.83726851852</v>
      </c>
      <c r="C38" s="1" t="n">
        <v>45984</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47601-2025</t>
        </is>
      </c>
      <c r="B39" s="1" t="n">
        <v>45931.46008101852</v>
      </c>
      <c r="C39" s="1" t="n">
        <v>45984</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41873-2022</t>
        </is>
      </c>
      <c r="B40" s="1" t="n">
        <v>44829</v>
      </c>
      <c r="C40" s="1" t="n">
        <v>45984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4974-2025</t>
        </is>
      </c>
      <c r="B41" s="1" t="n">
        <v>45690.8478587963</v>
      </c>
      <c r="C41" s="1" t="n">
        <v>45984</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45984</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45984</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11218-2023</t>
        </is>
      </c>
      <c r="B44" s="1" t="n">
        <v>44992.62401620371</v>
      </c>
      <c r="C44" s="1" t="n">
        <v>45984</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45984</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45984</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45984</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45984</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45984</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45984</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1078-2021</t>
        </is>
      </c>
      <c r="B51" s="1" t="n">
        <v>44207</v>
      </c>
      <c r="C51" s="1" t="n">
        <v>45984</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45984</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45984</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45984</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45984</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45984</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45984</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45984</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45984</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45984</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45984</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45984</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45984</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45984</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45984</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45984</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45984</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45984</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45984</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45984</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45984</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791-2022</t>
        </is>
      </c>
      <c r="B73" s="1" t="n">
        <v>44570</v>
      </c>
      <c r="C73" s="1" t="n">
        <v>45984</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45984</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45984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45984</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45984</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45984</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45984</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45984</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45984</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45984</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45984</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45984</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45984</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45984</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45984</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45984</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45984</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45984</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45984</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45984</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45984</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45984</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45984</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45984</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45984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45984</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45984</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45984</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45984</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45984</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45984</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45984</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45984</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45984</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45984</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45984</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45984</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45984</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45984</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45984</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45984</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45984</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45984</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45984</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28128-2022</t>
        </is>
      </c>
      <c r="B118" s="1" t="n">
        <v>44746.50628472222</v>
      </c>
      <c r="C118" s="1" t="n">
        <v>45984</v>
      </c>
      <c r="D118" t="inlineStr">
        <is>
          <t>DALARNAS LÄN</t>
        </is>
      </c>
      <c r="E118" t="inlineStr">
        <is>
          <t>LEKSAND</t>
        </is>
      </c>
      <c r="G118" t="n">
        <v>3.5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45984</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8046-2024</t>
        </is>
      </c>
      <c r="B120" s="1" t="n">
        <v>45351.31555555556</v>
      </c>
      <c r="C120" s="1" t="n">
        <v>45984</v>
      </c>
      <c r="D120" t="inlineStr">
        <is>
          <t>DALARNAS LÄN</t>
        </is>
      </c>
      <c r="E120" t="inlineStr">
        <is>
          <t>LEKSAND</t>
        </is>
      </c>
      <c r="G120" t="n">
        <v>2.9</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45984</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13161-2024</t>
        </is>
      </c>
      <c r="B122" s="1" t="n">
        <v>45386.38972222222</v>
      </c>
      <c r="C122" s="1" t="n">
        <v>45984</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45984</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31915-2024</t>
        </is>
      </c>
      <c r="B124" s="1" t="n">
        <v>45510.38956018518</v>
      </c>
      <c r="C124" s="1" t="n">
        <v>45984</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45984</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59826-2023</t>
        </is>
      </c>
      <c r="B126" s="1" t="n">
        <v>45254</v>
      </c>
      <c r="C126" s="1" t="n">
        <v>45984</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45984</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7417-2024</t>
        </is>
      </c>
      <c r="B128" s="1" t="n">
        <v>45345.62378472222</v>
      </c>
      <c r="C128" s="1" t="n">
        <v>45984</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6758-2024</t>
        </is>
      </c>
      <c r="B129" s="1" t="n">
        <v>45342.46857638889</v>
      </c>
      <c r="C129" s="1" t="n">
        <v>45984</v>
      </c>
      <c r="D129" t="inlineStr">
        <is>
          <t>DALARNAS LÄN</t>
        </is>
      </c>
      <c r="E129" t="inlineStr">
        <is>
          <t>LEKSAND</t>
        </is>
      </c>
      <c r="F129" t="inlineStr">
        <is>
          <t>Bergvik skog väst AB</t>
        </is>
      </c>
      <c r="G129" t="n">
        <v>6.2</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45984</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45984</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45984</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51857-2022</t>
        </is>
      </c>
      <c r="B133" s="1" t="n">
        <v>44867</v>
      </c>
      <c r="C133" s="1" t="n">
        <v>45984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45984</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15968-2025</t>
        </is>
      </c>
      <c r="B135" s="1" t="n">
        <v>45749.54818287037</v>
      </c>
      <c r="C135" s="1" t="n">
        <v>45984</v>
      </c>
      <c r="D135" t="inlineStr">
        <is>
          <t>DALARNAS LÄN</t>
        </is>
      </c>
      <c r="E135" t="inlineStr">
        <is>
          <t>LEKSAND</t>
        </is>
      </c>
      <c r="G135" t="n">
        <v>3.2</v>
      </c>
      <c r="H135" t="n">
        <v>0</v>
      </c>
      <c r="I135" t="n">
        <v>0</v>
      </c>
      <c r="J135" t="n">
        <v>0</v>
      </c>
      <c r="K135" t="n">
        <v>0</v>
      </c>
      <c r="L135" t="n">
        <v>0</v>
      </c>
      <c r="M135" t="n">
        <v>0</v>
      </c>
      <c r="N135" t="n">
        <v>0</v>
      </c>
      <c r="O135" t="n">
        <v>0</v>
      </c>
      <c r="P135" t="n">
        <v>0</v>
      </c>
      <c r="Q135" t="n">
        <v>0</v>
      </c>
      <c r="R135" s="2" t="inlineStr"/>
    </row>
    <row r="136" ht="15" customHeight="1">
      <c r="A136" t="inlineStr">
        <is>
          <t>A 16005-2025</t>
        </is>
      </c>
      <c r="B136" s="1" t="n">
        <v>45749.59765046297</v>
      </c>
      <c r="C136" s="1" t="n">
        <v>45984</v>
      </c>
      <c r="D136" t="inlineStr">
        <is>
          <t>DALARNAS LÄN</t>
        </is>
      </c>
      <c r="E136" t="inlineStr">
        <is>
          <t>LEKSAND</t>
        </is>
      </c>
      <c r="G136" t="n">
        <v>2.1</v>
      </c>
      <c r="H136" t="n">
        <v>0</v>
      </c>
      <c r="I136" t="n">
        <v>0</v>
      </c>
      <c r="J136" t="n">
        <v>0</v>
      </c>
      <c r="K136" t="n">
        <v>0</v>
      </c>
      <c r="L136" t="n">
        <v>0</v>
      </c>
      <c r="M136" t="n">
        <v>0</v>
      </c>
      <c r="N136" t="n">
        <v>0</v>
      </c>
      <c r="O136" t="n">
        <v>0</v>
      </c>
      <c r="P136" t="n">
        <v>0</v>
      </c>
      <c r="Q136" t="n">
        <v>0</v>
      </c>
      <c r="R136" s="2" t="inlineStr"/>
    </row>
    <row r="137" ht="15" customHeight="1">
      <c r="A137" t="inlineStr">
        <is>
          <t>A 36534-2024</t>
        </is>
      </c>
      <c r="B137" s="1" t="n">
        <v>45537.45143518518</v>
      </c>
      <c r="C137" s="1" t="n">
        <v>45984</v>
      </c>
      <c r="D137" t="inlineStr">
        <is>
          <t>DALARNAS LÄN</t>
        </is>
      </c>
      <c r="E137" t="inlineStr">
        <is>
          <t>LEKSAND</t>
        </is>
      </c>
      <c r="G137" t="n">
        <v>4</v>
      </c>
      <c r="H137" t="n">
        <v>0</v>
      </c>
      <c r="I137" t="n">
        <v>0</v>
      </c>
      <c r="J137" t="n">
        <v>0</v>
      </c>
      <c r="K137" t="n">
        <v>0</v>
      </c>
      <c r="L137" t="n">
        <v>0</v>
      </c>
      <c r="M137" t="n">
        <v>0</v>
      </c>
      <c r="N137" t="n">
        <v>0</v>
      </c>
      <c r="O137" t="n">
        <v>0</v>
      </c>
      <c r="P137" t="n">
        <v>0</v>
      </c>
      <c r="Q137" t="n">
        <v>0</v>
      </c>
      <c r="R137" s="2" t="inlineStr"/>
    </row>
    <row r="138" ht="15" customHeight="1">
      <c r="A138" t="inlineStr">
        <is>
          <t>A 19820-2024</t>
        </is>
      </c>
      <c r="B138" s="1" t="n">
        <v>45433.33907407407</v>
      </c>
      <c r="C138" s="1" t="n">
        <v>45984</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19823-2024</t>
        </is>
      </c>
      <c r="B139" s="1" t="n">
        <v>45433.34469907408</v>
      </c>
      <c r="C139" s="1" t="n">
        <v>45984</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33072-2021</t>
        </is>
      </c>
      <c r="B140" s="1" t="n">
        <v>44375</v>
      </c>
      <c r="C140" s="1" t="n">
        <v>45984</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34244-2024</t>
        </is>
      </c>
      <c r="B141" s="1" t="n">
        <v>45524.58349537037</v>
      </c>
      <c r="C141" s="1" t="n">
        <v>45984</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7861-2024</t>
        </is>
      </c>
      <c r="B142" s="1" t="n">
        <v>45350.30831018519</v>
      </c>
      <c r="C142" s="1" t="n">
        <v>45984</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412-2024</t>
        </is>
      </c>
      <c r="B143" s="1" t="n">
        <v>45296</v>
      </c>
      <c r="C143" s="1" t="n">
        <v>45984</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59673-2023</t>
        </is>
      </c>
      <c r="B144" s="1" t="n">
        <v>45255.44603009259</v>
      </c>
      <c r="C144" s="1" t="n">
        <v>45984</v>
      </c>
      <c r="D144" t="inlineStr">
        <is>
          <t>DALARNAS LÄN</t>
        </is>
      </c>
      <c r="E144" t="inlineStr">
        <is>
          <t>LEKSAND</t>
        </is>
      </c>
      <c r="G144" t="n">
        <v>12.2</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45984</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22080-2025</t>
        </is>
      </c>
      <c r="B146" s="1" t="n">
        <v>45785</v>
      </c>
      <c r="C146" s="1" t="n">
        <v>45984</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22281-2024</t>
        </is>
      </c>
      <c r="B147" s="1" t="n">
        <v>45446.54756944445</v>
      </c>
      <c r="C147" s="1" t="n">
        <v>45984</v>
      </c>
      <c r="D147" t="inlineStr">
        <is>
          <t>DALARNAS LÄN</t>
        </is>
      </c>
      <c r="E147" t="inlineStr">
        <is>
          <t>LEKSAND</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22536-2025</t>
        </is>
      </c>
      <c r="B148" s="1" t="n">
        <v>45787.33037037037</v>
      </c>
      <c r="C148" s="1" t="n">
        <v>45984</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40755-2024</t>
        </is>
      </c>
      <c r="B149" s="1" t="n">
        <v>45558.45815972222</v>
      </c>
      <c r="C149" s="1" t="n">
        <v>45984</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23615-2024</t>
        </is>
      </c>
      <c r="B150" s="1" t="n">
        <v>45454.43050925926</v>
      </c>
      <c r="C150" s="1" t="n">
        <v>45984</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60042-2023</t>
        </is>
      </c>
      <c r="B151" s="1" t="n">
        <v>45256</v>
      </c>
      <c r="C151" s="1" t="n">
        <v>45984</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45984</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22876-2025</t>
        </is>
      </c>
      <c r="B153" s="1" t="n">
        <v>45790.3728587963</v>
      </c>
      <c r="C153" s="1" t="n">
        <v>45984</v>
      </c>
      <c r="D153" t="inlineStr">
        <is>
          <t>DALARNAS LÄN</t>
        </is>
      </c>
      <c r="E153" t="inlineStr">
        <is>
          <t>LEKSAND</t>
        </is>
      </c>
      <c r="G153" t="n">
        <v>5.9</v>
      </c>
      <c r="H153" t="n">
        <v>0</v>
      </c>
      <c r="I153" t="n">
        <v>0</v>
      </c>
      <c r="J153" t="n">
        <v>0</v>
      </c>
      <c r="K153" t="n">
        <v>0</v>
      </c>
      <c r="L153" t="n">
        <v>0</v>
      </c>
      <c r="M153" t="n">
        <v>0</v>
      </c>
      <c r="N153" t="n">
        <v>0</v>
      </c>
      <c r="O153" t="n">
        <v>0</v>
      </c>
      <c r="P153" t="n">
        <v>0</v>
      </c>
      <c r="Q153" t="n">
        <v>0</v>
      </c>
      <c r="R153" s="2" t="inlineStr"/>
    </row>
    <row r="154" ht="15" customHeight="1">
      <c r="A154" t="inlineStr">
        <is>
          <t>A 23517-2025</t>
        </is>
      </c>
      <c r="B154" s="1" t="n">
        <v>45792</v>
      </c>
      <c r="C154" s="1" t="n">
        <v>45984</v>
      </c>
      <c r="D154" t="inlineStr">
        <is>
          <t>DALARNAS LÄN</t>
        </is>
      </c>
      <c r="E154" t="inlineStr">
        <is>
          <t>LEKSAND</t>
        </is>
      </c>
      <c r="G154" t="n">
        <v>2.2</v>
      </c>
      <c r="H154" t="n">
        <v>0</v>
      </c>
      <c r="I154" t="n">
        <v>0</v>
      </c>
      <c r="J154" t="n">
        <v>0</v>
      </c>
      <c r="K154" t="n">
        <v>0</v>
      </c>
      <c r="L154" t="n">
        <v>0</v>
      </c>
      <c r="M154" t="n">
        <v>0</v>
      </c>
      <c r="N154" t="n">
        <v>0</v>
      </c>
      <c r="O154" t="n">
        <v>0</v>
      </c>
      <c r="P154" t="n">
        <v>0</v>
      </c>
      <c r="Q154" t="n">
        <v>0</v>
      </c>
      <c r="R154" s="2" t="inlineStr"/>
    </row>
    <row r="155" ht="15" customHeight="1">
      <c r="A155" t="inlineStr">
        <is>
          <t>A 5738-2023</t>
        </is>
      </c>
      <c r="B155" s="1" t="n">
        <v>44962</v>
      </c>
      <c r="C155" s="1" t="n">
        <v>45984</v>
      </c>
      <c r="D155" t="inlineStr">
        <is>
          <t>DALARNAS LÄN</t>
        </is>
      </c>
      <c r="E155" t="inlineStr">
        <is>
          <t>LEKSAND</t>
        </is>
      </c>
      <c r="G155" t="n">
        <v>0.2</v>
      </c>
      <c r="H155" t="n">
        <v>0</v>
      </c>
      <c r="I155" t="n">
        <v>0</v>
      </c>
      <c r="J155" t="n">
        <v>0</v>
      </c>
      <c r="K155" t="n">
        <v>0</v>
      </c>
      <c r="L155" t="n">
        <v>0</v>
      </c>
      <c r="M155" t="n">
        <v>0</v>
      </c>
      <c r="N155" t="n">
        <v>0</v>
      </c>
      <c r="O155" t="n">
        <v>0</v>
      </c>
      <c r="P155" t="n">
        <v>0</v>
      </c>
      <c r="Q155" t="n">
        <v>0</v>
      </c>
      <c r="R155" s="2" t="inlineStr"/>
    </row>
    <row r="156" ht="15" customHeight="1">
      <c r="A156" t="inlineStr">
        <is>
          <t>A 5570-2024</t>
        </is>
      </c>
      <c r="B156" s="1" t="n">
        <v>45334</v>
      </c>
      <c r="C156" s="1" t="n">
        <v>45984</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23058-2025</t>
        </is>
      </c>
      <c r="B157" s="1" t="n">
        <v>45790.78076388889</v>
      </c>
      <c r="C157" s="1" t="n">
        <v>45984</v>
      </c>
      <c r="D157" t="inlineStr">
        <is>
          <t>DALARNAS LÄN</t>
        </is>
      </c>
      <c r="E157" t="inlineStr">
        <is>
          <t>LEKSAND</t>
        </is>
      </c>
      <c r="G157" t="n">
        <v>6.7</v>
      </c>
      <c r="H157" t="n">
        <v>0</v>
      </c>
      <c r="I157" t="n">
        <v>0</v>
      </c>
      <c r="J157" t="n">
        <v>0</v>
      </c>
      <c r="K157" t="n">
        <v>0</v>
      </c>
      <c r="L157" t="n">
        <v>0</v>
      </c>
      <c r="M157" t="n">
        <v>0</v>
      </c>
      <c r="N157" t="n">
        <v>0</v>
      </c>
      <c r="O157" t="n">
        <v>0</v>
      </c>
      <c r="P157" t="n">
        <v>0</v>
      </c>
      <c r="Q157" t="n">
        <v>0</v>
      </c>
      <c r="R157" s="2" t="inlineStr"/>
    </row>
    <row r="158" ht="15" customHeight="1">
      <c r="A158" t="inlineStr">
        <is>
          <t>A 23076-2025</t>
        </is>
      </c>
      <c r="B158" s="1" t="n">
        <v>45790.90960648148</v>
      </c>
      <c r="C158" s="1" t="n">
        <v>45984</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43693-2022</t>
        </is>
      </c>
      <c r="B159" s="1" t="n">
        <v>44837.6369212963</v>
      </c>
      <c r="C159" s="1" t="n">
        <v>45984</v>
      </c>
      <c r="D159" t="inlineStr">
        <is>
          <t>DALARNAS LÄN</t>
        </is>
      </c>
      <c r="E159" t="inlineStr">
        <is>
          <t>LEKSAND</t>
        </is>
      </c>
      <c r="G159" t="n">
        <v>2.7</v>
      </c>
      <c r="H159" t="n">
        <v>0</v>
      </c>
      <c r="I159" t="n">
        <v>0</v>
      </c>
      <c r="J159" t="n">
        <v>0</v>
      </c>
      <c r="K159" t="n">
        <v>0</v>
      </c>
      <c r="L159" t="n">
        <v>0</v>
      </c>
      <c r="M159" t="n">
        <v>0</v>
      </c>
      <c r="N159" t="n">
        <v>0</v>
      </c>
      <c r="O159" t="n">
        <v>0</v>
      </c>
      <c r="P159" t="n">
        <v>0</v>
      </c>
      <c r="Q159" t="n">
        <v>0</v>
      </c>
      <c r="R159" s="2" t="inlineStr"/>
    </row>
    <row r="160" ht="15" customHeight="1">
      <c r="A160" t="inlineStr">
        <is>
          <t>A 43735-2022</t>
        </is>
      </c>
      <c r="B160" s="1" t="n">
        <v>44837.70210648148</v>
      </c>
      <c r="C160" s="1" t="n">
        <v>45984</v>
      </c>
      <c r="D160" t="inlineStr">
        <is>
          <t>DALARNAS LÄN</t>
        </is>
      </c>
      <c r="E160" t="inlineStr">
        <is>
          <t>LEKSAND</t>
        </is>
      </c>
      <c r="G160" t="n">
        <v>2.9</v>
      </c>
      <c r="H160" t="n">
        <v>0</v>
      </c>
      <c r="I160" t="n">
        <v>0</v>
      </c>
      <c r="J160" t="n">
        <v>0</v>
      </c>
      <c r="K160" t="n">
        <v>0</v>
      </c>
      <c r="L160" t="n">
        <v>0</v>
      </c>
      <c r="M160" t="n">
        <v>0</v>
      </c>
      <c r="N160" t="n">
        <v>0</v>
      </c>
      <c r="O160" t="n">
        <v>0</v>
      </c>
      <c r="P160" t="n">
        <v>0</v>
      </c>
      <c r="Q160" t="n">
        <v>0</v>
      </c>
      <c r="R160" s="2" t="inlineStr"/>
    </row>
    <row r="161" ht="15" customHeight="1">
      <c r="A161" t="inlineStr">
        <is>
          <t>A 17726-2024</t>
        </is>
      </c>
      <c r="B161" s="1" t="n">
        <v>45418.55609953704</v>
      </c>
      <c r="C161" s="1" t="n">
        <v>45984</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2517-2024</t>
        </is>
      </c>
      <c r="B162" s="1" t="n">
        <v>45313</v>
      </c>
      <c r="C162" s="1" t="n">
        <v>45984</v>
      </c>
      <c r="D162" t="inlineStr">
        <is>
          <t>DALARNAS LÄN</t>
        </is>
      </c>
      <c r="E162" t="inlineStr">
        <is>
          <t>LEKSAND</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57468-2023</t>
        </is>
      </c>
      <c r="B163" s="1" t="n">
        <v>45246</v>
      </c>
      <c r="C163" s="1" t="n">
        <v>45984</v>
      </c>
      <c r="D163" t="inlineStr">
        <is>
          <t>DALARNAS LÄN</t>
        </is>
      </c>
      <c r="E163" t="inlineStr">
        <is>
          <t>LEKSAND</t>
        </is>
      </c>
      <c r="G163" t="n">
        <v>4.6</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45984</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44822-2024</t>
        </is>
      </c>
      <c r="B165" s="1" t="n">
        <v>45574.6646412037</v>
      </c>
      <c r="C165" s="1" t="n">
        <v>45984</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60692-2023</t>
        </is>
      </c>
      <c r="B166" s="1" t="n">
        <v>45260.50008101852</v>
      </c>
      <c r="C166" s="1" t="n">
        <v>45984</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49499-2024</t>
        </is>
      </c>
      <c r="B167" s="1" t="n">
        <v>45596</v>
      </c>
      <c r="C167" s="1" t="n">
        <v>45984</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23855-2025</t>
        </is>
      </c>
      <c r="B168" s="1" t="n">
        <v>45793.65900462963</v>
      </c>
      <c r="C168" s="1" t="n">
        <v>45984</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7897-2025</t>
        </is>
      </c>
      <c r="B169" s="1" t="n">
        <v>45707.30969907407</v>
      </c>
      <c r="C169" s="1" t="n">
        <v>45984</v>
      </c>
      <c r="D169" t="inlineStr">
        <is>
          <t>DALARNAS LÄN</t>
        </is>
      </c>
      <c r="E169" t="inlineStr">
        <is>
          <t>LEKSAND</t>
        </is>
      </c>
      <c r="G169" t="n">
        <v>3.1</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45886.83605324074</v>
      </c>
      <c r="C170" s="1" t="n">
        <v>45984</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24919-2024</t>
        </is>
      </c>
      <c r="B171" s="1" t="n">
        <v>45461.60636574074</v>
      </c>
      <c r="C171" s="1" t="n">
        <v>45984</v>
      </c>
      <c r="D171" t="inlineStr">
        <is>
          <t>DALARNAS LÄN</t>
        </is>
      </c>
      <c r="E171" t="inlineStr">
        <is>
          <t>LEKSAND</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30204-2024</t>
        </is>
      </c>
      <c r="B172" s="1" t="n">
        <v>45490.35402777778</v>
      </c>
      <c r="C172" s="1" t="n">
        <v>45984</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19618-2024</t>
        </is>
      </c>
      <c r="B173" s="1" t="n">
        <v>45432.32896990741</v>
      </c>
      <c r="C173" s="1" t="n">
        <v>45984</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7450-2023</t>
        </is>
      </c>
      <c r="B174" s="1" t="n">
        <v>44971</v>
      </c>
      <c r="C174" s="1" t="n">
        <v>45984</v>
      </c>
      <c r="D174" t="inlineStr">
        <is>
          <t>DALARNAS LÄN</t>
        </is>
      </c>
      <c r="E174" t="inlineStr">
        <is>
          <t>LEKSAND</t>
        </is>
      </c>
      <c r="G174" t="n">
        <v>3</v>
      </c>
      <c r="H174" t="n">
        <v>0</v>
      </c>
      <c r="I174" t="n">
        <v>0</v>
      </c>
      <c r="J174" t="n">
        <v>0</v>
      </c>
      <c r="K174" t="n">
        <v>0</v>
      </c>
      <c r="L174" t="n">
        <v>0</v>
      </c>
      <c r="M174" t="n">
        <v>0</v>
      </c>
      <c r="N174" t="n">
        <v>0</v>
      </c>
      <c r="O174" t="n">
        <v>0</v>
      </c>
      <c r="P174" t="n">
        <v>0</v>
      </c>
      <c r="Q174" t="n">
        <v>0</v>
      </c>
      <c r="R174" s="2" t="inlineStr"/>
    </row>
    <row r="175" ht="15" customHeight="1">
      <c r="A175" t="inlineStr">
        <is>
          <t>A 39546-2025</t>
        </is>
      </c>
      <c r="B175" s="1" t="n">
        <v>45890.45706018519</v>
      </c>
      <c r="C175" s="1" t="n">
        <v>45984</v>
      </c>
      <c r="D175" t="inlineStr">
        <is>
          <t>DALARNAS LÄN</t>
        </is>
      </c>
      <c r="E175" t="inlineStr">
        <is>
          <t>LEKSAND</t>
        </is>
      </c>
      <c r="G175" t="n">
        <v>4.6</v>
      </c>
      <c r="H175" t="n">
        <v>0</v>
      </c>
      <c r="I175" t="n">
        <v>0</v>
      </c>
      <c r="J175" t="n">
        <v>0</v>
      </c>
      <c r="K175" t="n">
        <v>0</v>
      </c>
      <c r="L175" t="n">
        <v>0</v>
      </c>
      <c r="M175" t="n">
        <v>0</v>
      </c>
      <c r="N175" t="n">
        <v>0</v>
      </c>
      <c r="O175" t="n">
        <v>0</v>
      </c>
      <c r="P175" t="n">
        <v>0</v>
      </c>
      <c r="Q175" t="n">
        <v>0</v>
      </c>
      <c r="R175" s="2" t="inlineStr"/>
    </row>
    <row r="176" ht="15" customHeight="1">
      <c r="A176" t="inlineStr">
        <is>
          <t>A 39572-2025</t>
        </is>
      </c>
      <c r="B176" s="1" t="n">
        <v>45890</v>
      </c>
      <c r="C176" s="1" t="n">
        <v>45984</v>
      </c>
      <c r="D176" t="inlineStr">
        <is>
          <t>DALARNAS LÄN</t>
        </is>
      </c>
      <c r="E176" t="inlineStr">
        <is>
          <t>LEKSAND</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23283-2024</t>
        </is>
      </c>
      <c r="B177" s="1" t="n">
        <v>45453</v>
      </c>
      <c r="C177" s="1" t="n">
        <v>45984</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39569-2025</t>
        </is>
      </c>
      <c r="B178" s="1" t="n">
        <v>45890</v>
      </c>
      <c r="C178" s="1" t="n">
        <v>45984</v>
      </c>
      <c r="D178" t="inlineStr">
        <is>
          <t>DALARNAS LÄN</t>
        </is>
      </c>
      <c r="E178" t="inlineStr">
        <is>
          <t>LEKSAND</t>
        </is>
      </c>
      <c r="F178" t="inlineStr">
        <is>
          <t>Bergvik skog väst AB</t>
        </is>
      </c>
      <c r="G178" t="n">
        <v>1.6</v>
      </c>
      <c r="H178" t="n">
        <v>0</v>
      </c>
      <c r="I178" t="n">
        <v>0</v>
      </c>
      <c r="J178" t="n">
        <v>0</v>
      </c>
      <c r="K178" t="n">
        <v>0</v>
      </c>
      <c r="L178" t="n">
        <v>0</v>
      </c>
      <c r="M178" t="n">
        <v>0</v>
      </c>
      <c r="N178" t="n">
        <v>0</v>
      </c>
      <c r="O178" t="n">
        <v>0</v>
      </c>
      <c r="P178" t="n">
        <v>0</v>
      </c>
      <c r="Q178" t="n">
        <v>0</v>
      </c>
      <c r="R178" s="2" t="inlineStr"/>
    </row>
    <row r="179" ht="15" customHeight="1">
      <c r="A179" t="inlineStr">
        <is>
          <t>A 47121-2021</t>
        </is>
      </c>
      <c r="B179" s="1" t="n">
        <v>44446</v>
      </c>
      <c r="C179" s="1" t="n">
        <v>45984</v>
      </c>
      <c r="D179" t="inlineStr">
        <is>
          <t>DALARNAS LÄN</t>
        </is>
      </c>
      <c r="E179" t="inlineStr">
        <is>
          <t>LEKSAND</t>
        </is>
      </c>
      <c r="G179" t="n">
        <v>3.5</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45984</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4121-2024</t>
        </is>
      </c>
      <c r="B181" s="1" t="n">
        <v>45323</v>
      </c>
      <c r="C181" s="1" t="n">
        <v>45984</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39516-2025</t>
        </is>
      </c>
      <c r="B182" s="1" t="n">
        <v>45890.42633101852</v>
      </c>
      <c r="C182" s="1" t="n">
        <v>45984</v>
      </c>
      <c r="D182" t="inlineStr">
        <is>
          <t>DALARNAS LÄN</t>
        </is>
      </c>
      <c r="E182" t="inlineStr">
        <is>
          <t>LEKSAND</t>
        </is>
      </c>
      <c r="G182" t="n">
        <v>3.6</v>
      </c>
      <c r="H182" t="n">
        <v>0</v>
      </c>
      <c r="I182" t="n">
        <v>0</v>
      </c>
      <c r="J182" t="n">
        <v>0</v>
      </c>
      <c r="K182" t="n">
        <v>0</v>
      </c>
      <c r="L182" t="n">
        <v>0</v>
      </c>
      <c r="M182" t="n">
        <v>0</v>
      </c>
      <c r="N182" t="n">
        <v>0</v>
      </c>
      <c r="O182" t="n">
        <v>0</v>
      </c>
      <c r="P182" t="n">
        <v>0</v>
      </c>
      <c r="Q182" t="n">
        <v>0</v>
      </c>
      <c r="R182" s="2" t="inlineStr"/>
    </row>
    <row r="183" ht="15" customHeight="1">
      <c r="A183" t="inlineStr">
        <is>
          <t>A 23891-2025</t>
        </is>
      </c>
      <c r="B183" s="1" t="n">
        <v>45793</v>
      </c>
      <c r="C183" s="1" t="n">
        <v>45984</v>
      </c>
      <c r="D183" t="inlineStr">
        <is>
          <t>DALARNAS LÄN</t>
        </is>
      </c>
      <c r="E183" t="inlineStr">
        <is>
          <t>LEKSAND</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39660-2025</t>
        </is>
      </c>
      <c r="B184" s="1" t="n">
        <v>45890.63006944444</v>
      </c>
      <c r="C184" s="1" t="n">
        <v>45984</v>
      </c>
      <c r="D184" t="inlineStr">
        <is>
          <t>DALARNAS LÄN</t>
        </is>
      </c>
      <c r="E184" t="inlineStr">
        <is>
          <t>LEKSAND</t>
        </is>
      </c>
      <c r="F184" t="inlineStr">
        <is>
          <t>Bergvik skog väst AB</t>
        </is>
      </c>
      <c r="G184" t="n">
        <v>5.8</v>
      </c>
      <c r="H184" t="n">
        <v>0</v>
      </c>
      <c r="I184" t="n">
        <v>0</v>
      </c>
      <c r="J184" t="n">
        <v>0</v>
      </c>
      <c r="K184" t="n">
        <v>0</v>
      </c>
      <c r="L184" t="n">
        <v>0</v>
      </c>
      <c r="M184" t="n">
        <v>0</v>
      </c>
      <c r="N184" t="n">
        <v>0</v>
      </c>
      <c r="O184" t="n">
        <v>0</v>
      </c>
      <c r="P184" t="n">
        <v>0</v>
      </c>
      <c r="Q184" t="n">
        <v>0</v>
      </c>
      <c r="R184" s="2" t="inlineStr"/>
    </row>
    <row r="185" ht="15" customHeight="1">
      <c r="A185" t="inlineStr">
        <is>
          <t>A 39693-2025</t>
        </is>
      </c>
      <c r="B185" s="1" t="n">
        <v>45890.68304398148</v>
      </c>
      <c r="C185" s="1" t="n">
        <v>45984</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72575-2021</t>
        </is>
      </c>
      <c r="B186" s="1" t="n">
        <v>44546</v>
      </c>
      <c r="C186" s="1" t="n">
        <v>45984</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72581-2021</t>
        </is>
      </c>
      <c r="B187" s="1" t="n">
        <v>44546.46354166666</v>
      </c>
      <c r="C187" s="1" t="n">
        <v>45984</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41169-2024</t>
        </is>
      </c>
      <c r="B188" s="1" t="n">
        <v>45559.48637731482</v>
      </c>
      <c r="C188" s="1" t="n">
        <v>45984</v>
      </c>
      <c r="D188" t="inlineStr">
        <is>
          <t>DALARNAS LÄN</t>
        </is>
      </c>
      <c r="E188" t="inlineStr">
        <is>
          <t>LEKSAND</t>
        </is>
      </c>
      <c r="G188" t="n">
        <v>8.9</v>
      </c>
      <c r="H188" t="n">
        <v>0</v>
      </c>
      <c r="I188" t="n">
        <v>0</v>
      </c>
      <c r="J188" t="n">
        <v>0</v>
      </c>
      <c r="K188" t="n">
        <v>0</v>
      </c>
      <c r="L188" t="n">
        <v>0</v>
      </c>
      <c r="M188" t="n">
        <v>0</v>
      </c>
      <c r="N188" t="n">
        <v>0</v>
      </c>
      <c r="O188" t="n">
        <v>0</v>
      </c>
      <c r="P188" t="n">
        <v>0</v>
      </c>
      <c r="Q188" t="n">
        <v>0</v>
      </c>
      <c r="R188" s="2" t="inlineStr"/>
    </row>
    <row r="189" ht="15" customHeight="1">
      <c r="A189" t="inlineStr">
        <is>
          <t>A 24187-2025</t>
        </is>
      </c>
      <c r="B189" s="1" t="n">
        <v>45796</v>
      </c>
      <c r="C189" s="1" t="n">
        <v>45984</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24188-2025</t>
        </is>
      </c>
      <c r="B190" s="1" t="n">
        <v>45796</v>
      </c>
      <c r="C190" s="1" t="n">
        <v>45984</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45984</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61614-2023</t>
        </is>
      </c>
      <c r="B192" s="1" t="n">
        <v>45261</v>
      </c>
      <c r="C192" s="1" t="n">
        <v>45984</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26062-2024</t>
        </is>
      </c>
      <c r="B193" s="1" t="n">
        <v>45468.3509375</v>
      </c>
      <c r="C193" s="1" t="n">
        <v>45984</v>
      </c>
      <c r="D193" t="inlineStr">
        <is>
          <t>DALARNAS LÄN</t>
        </is>
      </c>
      <c r="E193" t="inlineStr">
        <is>
          <t>LEKSAND</t>
        </is>
      </c>
      <c r="F193" t="inlineStr">
        <is>
          <t>Övriga statliga verk och myndigheter</t>
        </is>
      </c>
      <c r="G193" t="n">
        <v>6.4</v>
      </c>
      <c r="H193" t="n">
        <v>0</v>
      </c>
      <c r="I193" t="n">
        <v>0</v>
      </c>
      <c r="J193" t="n">
        <v>0</v>
      </c>
      <c r="K193" t="n">
        <v>0</v>
      </c>
      <c r="L193" t="n">
        <v>0</v>
      </c>
      <c r="M193" t="n">
        <v>0</v>
      </c>
      <c r="N193" t="n">
        <v>0</v>
      </c>
      <c r="O193" t="n">
        <v>0</v>
      </c>
      <c r="P193" t="n">
        <v>0</v>
      </c>
      <c r="Q193" t="n">
        <v>0</v>
      </c>
      <c r="R193" s="2" t="inlineStr"/>
    </row>
    <row r="194" ht="15" customHeight="1">
      <c r="A194" t="inlineStr">
        <is>
          <t>A 34585-2024</t>
        </is>
      </c>
      <c r="B194" s="1" t="n">
        <v>45526.37697916666</v>
      </c>
      <c r="C194" s="1" t="n">
        <v>45984</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63514-2023</t>
        </is>
      </c>
      <c r="B195" s="1" t="n">
        <v>45274</v>
      </c>
      <c r="C195" s="1" t="n">
        <v>45984</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24373-2025</t>
        </is>
      </c>
      <c r="B196" s="1" t="n">
        <v>45797.61113425926</v>
      </c>
      <c r="C196" s="1" t="n">
        <v>45984</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45984</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22646-2025</t>
        </is>
      </c>
      <c r="B198" s="1" t="n">
        <v>45786</v>
      </c>
      <c r="C198" s="1" t="n">
        <v>45984</v>
      </c>
      <c r="D198" t="inlineStr">
        <is>
          <t>DALARNAS LÄN</t>
        </is>
      </c>
      <c r="E198" t="inlineStr">
        <is>
          <t>LEKSAND</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24369-2025</t>
        </is>
      </c>
      <c r="B199" s="1" t="n">
        <v>45797.60731481481</v>
      </c>
      <c r="C199" s="1" t="n">
        <v>45984</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40517-2025</t>
        </is>
      </c>
      <c r="B200" s="1" t="n">
        <v>45896.36368055556</v>
      </c>
      <c r="C200" s="1" t="n">
        <v>45984</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40513-2025</t>
        </is>
      </c>
      <c r="B201" s="1" t="n">
        <v>45896.35100694445</v>
      </c>
      <c r="C201" s="1" t="n">
        <v>45984</v>
      </c>
      <c r="D201" t="inlineStr">
        <is>
          <t>DALARNAS LÄN</t>
        </is>
      </c>
      <c r="E201" t="inlineStr">
        <is>
          <t>LEKSAND</t>
        </is>
      </c>
      <c r="G201" t="n">
        <v>7.1</v>
      </c>
      <c r="H201" t="n">
        <v>0</v>
      </c>
      <c r="I201" t="n">
        <v>0</v>
      </c>
      <c r="J201" t="n">
        <v>0</v>
      </c>
      <c r="K201" t="n">
        <v>0</v>
      </c>
      <c r="L201" t="n">
        <v>0</v>
      </c>
      <c r="M201" t="n">
        <v>0</v>
      </c>
      <c r="N201" t="n">
        <v>0</v>
      </c>
      <c r="O201" t="n">
        <v>0</v>
      </c>
      <c r="P201" t="n">
        <v>0</v>
      </c>
      <c r="Q201" t="n">
        <v>0</v>
      </c>
      <c r="R201" s="2" t="inlineStr"/>
    </row>
    <row r="202" ht="15" customHeight="1">
      <c r="A202" t="inlineStr">
        <is>
          <t>A 24715-2025</t>
        </is>
      </c>
      <c r="B202" s="1" t="n">
        <v>45798.97899305556</v>
      </c>
      <c r="C202" s="1" t="n">
        <v>45984</v>
      </c>
      <c r="D202" t="inlineStr">
        <is>
          <t>DALARNAS LÄN</t>
        </is>
      </c>
      <c r="E202" t="inlineStr">
        <is>
          <t>LEKSAND</t>
        </is>
      </c>
      <c r="G202" t="n">
        <v>8.4</v>
      </c>
      <c r="H202" t="n">
        <v>0</v>
      </c>
      <c r="I202" t="n">
        <v>0</v>
      </c>
      <c r="J202" t="n">
        <v>0</v>
      </c>
      <c r="K202" t="n">
        <v>0</v>
      </c>
      <c r="L202" t="n">
        <v>0</v>
      </c>
      <c r="M202" t="n">
        <v>0</v>
      </c>
      <c r="N202" t="n">
        <v>0</v>
      </c>
      <c r="O202" t="n">
        <v>0</v>
      </c>
      <c r="P202" t="n">
        <v>0</v>
      </c>
      <c r="Q202" t="n">
        <v>0</v>
      </c>
      <c r="R202" s="2" t="inlineStr"/>
    </row>
    <row r="203" ht="15" customHeight="1">
      <c r="A203" t="inlineStr">
        <is>
          <t>A 7928-2023</t>
        </is>
      </c>
      <c r="B203" s="1" t="n">
        <v>44973</v>
      </c>
      <c r="C203" s="1" t="n">
        <v>45984</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30860-2024</t>
        </is>
      </c>
      <c r="B204" s="1" t="n">
        <v>45497.69108796296</v>
      </c>
      <c r="C204" s="1" t="n">
        <v>45984</v>
      </c>
      <c r="D204" t="inlineStr">
        <is>
          <t>DALARNAS LÄN</t>
        </is>
      </c>
      <c r="E204" t="inlineStr">
        <is>
          <t>LEKSAND</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30864-2024</t>
        </is>
      </c>
      <c r="B205" s="1" t="n">
        <v>45497.71550925926</v>
      </c>
      <c r="C205" s="1" t="n">
        <v>45984</v>
      </c>
      <c r="D205" t="inlineStr">
        <is>
          <t>DALARNAS LÄN</t>
        </is>
      </c>
      <c r="E205" t="inlineStr">
        <is>
          <t>LEKSAND</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25096-2025</t>
        </is>
      </c>
      <c r="B206" s="1" t="n">
        <v>45800.33868055556</v>
      </c>
      <c r="C206" s="1" t="n">
        <v>45984</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25105-2025</t>
        </is>
      </c>
      <c r="B207" s="1" t="n">
        <v>45800.34751157407</v>
      </c>
      <c r="C207" s="1" t="n">
        <v>45984</v>
      </c>
      <c r="D207" t="inlineStr">
        <is>
          <t>DALARNAS LÄN</t>
        </is>
      </c>
      <c r="E207" t="inlineStr">
        <is>
          <t>LEKSAND</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5582-2024</t>
        </is>
      </c>
      <c r="B208" s="1" t="n">
        <v>45334</v>
      </c>
      <c r="C208" s="1" t="n">
        <v>45984</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5584-2024</t>
        </is>
      </c>
      <c r="B209" s="1" t="n">
        <v>45334</v>
      </c>
      <c r="C209" s="1" t="n">
        <v>45984</v>
      </c>
      <c r="D209" t="inlineStr">
        <is>
          <t>DALARNAS LÄN</t>
        </is>
      </c>
      <c r="E209" t="inlineStr">
        <is>
          <t>LEKSAND</t>
        </is>
      </c>
      <c r="F209" t="inlineStr">
        <is>
          <t>Kyrkan</t>
        </is>
      </c>
      <c r="G209" t="n">
        <v>0.4</v>
      </c>
      <c r="H209" t="n">
        <v>0</v>
      </c>
      <c r="I209" t="n">
        <v>0</v>
      </c>
      <c r="J209" t="n">
        <v>0</v>
      </c>
      <c r="K209" t="n">
        <v>0</v>
      </c>
      <c r="L209" t="n">
        <v>0</v>
      </c>
      <c r="M209" t="n">
        <v>0</v>
      </c>
      <c r="N209" t="n">
        <v>0</v>
      </c>
      <c r="O209" t="n">
        <v>0</v>
      </c>
      <c r="P209" t="n">
        <v>0</v>
      </c>
      <c r="Q209" t="n">
        <v>0</v>
      </c>
      <c r="R209" s="2" t="inlineStr"/>
    </row>
    <row r="210" ht="15" customHeight="1">
      <c r="A210" t="inlineStr">
        <is>
          <t>A 41237-2025</t>
        </is>
      </c>
      <c r="B210" s="1" t="n">
        <v>45898.59570601852</v>
      </c>
      <c r="C210" s="1" t="n">
        <v>45984</v>
      </c>
      <c r="D210" t="inlineStr">
        <is>
          <t>DALARNAS LÄN</t>
        </is>
      </c>
      <c r="E210" t="inlineStr">
        <is>
          <t>LEKSAND</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41248-2025</t>
        </is>
      </c>
      <c r="B211" s="1" t="n">
        <v>45898.60199074074</v>
      </c>
      <c r="C211" s="1" t="n">
        <v>45984</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41308-2025</t>
        </is>
      </c>
      <c r="B212" s="1" t="n">
        <v>45898</v>
      </c>
      <c r="C212" s="1" t="n">
        <v>45984</v>
      </c>
      <c r="D212" t="inlineStr">
        <is>
          <t>DALARNAS LÄN</t>
        </is>
      </c>
      <c r="E212" t="inlineStr">
        <is>
          <t>LEKSAND</t>
        </is>
      </c>
      <c r="F212" t="inlineStr">
        <is>
          <t>Bergvik skog väst AB</t>
        </is>
      </c>
      <c r="G212" t="n">
        <v>6.7</v>
      </c>
      <c r="H212" t="n">
        <v>0</v>
      </c>
      <c r="I212" t="n">
        <v>0</v>
      </c>
      <c r="J212" t="n">
        <v>0</v>
      </c>
      <c r="K212" t="n">
        <v>0</v>
      </c>
      <c r="L212" t="n">
        <v>0</v>
      </c>
      <c r="M212" t="n">
        <v>0</v>
      </c>
      <c r="N212" t="n">
        <v>0</v>
      </c>
      <c r="O212" t="n">
        <v>0</v>
      </c>
      <c r="P212" t="n">
        <v>0</v>
      </c>
      <c r="Q212" t="n">
        <v>0</v>
      </c>
      <c r="R212" s="2" t="inlineStr"/>
    </row>
    <row r="213" ht="15" customHeight="1">
      <c r="A213" t="inlineStr">
        <is>
          <t>A 31255-2023</t>
        </is>
      </c>
      <c r="B213" s="1" t="n">
        <v>45114.36729166667</v>
      </c>
      <c r="C213" s="1" t="n">
        <v>45984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41380-2025</t>
        </is>
      </c>
      <c r="B214" s="1" t="n">
        <v>45900.92826388889</v>
      </c>
      <c r="C214" s="1" t="n">
        <v>45984</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45984</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50332-2025</t>
        </is>
      </c>
      <c r="B216" s="1" t="n">
        <v>45944.47092592593</v>
      </c>
      <c r="C216" s="1" t="n">
        <v>45984</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40752-2024</t>
        </is>
      </c>
      <c r="B217" s="1" t="n">
        <v>45558.45638888889</v>
      </c>
      <c r="C217" s="1" t="n">
        <v>45984</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45984</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45901.4815625</v>
      </c>
      <c r="C219" s="1" t="n">
        <v>45984</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58244-2024</t>
        </is>
      </c>
      <c r="B220" s="1" t="n">
        <v>45631</v>
      </c>
      <c r="C220" s="1" t="n">
        <v>45984</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62161-2024</t>
        </is>
      </c>
      <c r="B221" s="1" t="n">
        <v>45656.86009259259</v>
      </c>
      <c r="C221" s="1" t="n">
        <v>45984</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11606-2025</t>
        </is>
      </c>
      <c r="B222" s="1" t="n">
        <v>45727</v>
      </c>
      <c r="C222" s="1" t="n">
        <v>45984</v>
      </c>
      <c r="D222" t="inlineStr">
        <is>
          <t>DALARNAS LÄN</t>
        </is>
      </c>
      <c r="E222" t="inlineStr">
        <is>
          <t>LEKSAND</t>
        </is>
      </c>
      <c r="G222" t="n">
        <v>2.3</v>
      </c>
      <c r="H222" t="n">
        <v>0</v>
      </c>
      <c r="I222" t="n">
        <v>0</v>
      </c>
      <c r="J222" t="n">
        <v>0</v>
      </c>
      <c r="K222" t="n">
        <v>0</v>
      </c>
      <c r="L222" t="n">
        <v>0</v>
      </c>
      <c r="M222" t="n">
        <v>0</v>
      </c>
      <c r="N222" t="n">
        <v>0</v>
      </c>
      <c r="O222" t="n">
        <v>0</v>
      </c>
      <c r="P222" t="n">
        <v>0</v>
      </c>
      <c r="Q222" t="n">
        <v>0</v>
      </c>
      <c r="R222" s="2" t="inlineStr"/>
    </row>
    <row r="223" ht="15" customHeight="1">
      <c r="A223" t="inlineStr">
        <is>
          <t>A 21954-2023</t>
        </is>
      </c>
      <c r="B223" s="1" t="n">
        <v>45068</v>
      </c>
      <c r="C223" s="1" t="n">
        <v>45984</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8743-2023</t>
        </is>
      </c>
      <c r="B224" s="1" t="n">
        <v>44978</v>
      </c>
      <c r="C224" s="1" t="n">
        <v>45984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63544-2023</t>
        </is>
      </c>
      <c r="B225" s="1" t="n">
        <v>45275</v>
      </c>
      <c r="C225" s="1" t="n">
        <v>45984</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23892-2025</t>
        </is>
      </c>
      <c r="B226" s="1" t="n">
        <v>45793</v>
      </c>
      <c r="C226" s="1" t="n">
        <v>45984</v>
      </c>
      <c r="D226" t="inlineStr">
        <is>
          <t>DALARNAS LÄN</t>
        </is>
      </c>
      <c r="E226" t="inlineStr">
        <is>
          <t>LEKSAND</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26386-2025</t>
        </is>
      </c>
      <c r="B227" s="1" t="n">
        <v>45806</v>
      </c>
      <c r="C227" s="1" t="n">
        <v>45984</v>
      </c>
      <c r="D227" t="inlineStr">
        <is>
          <t>DALARNAS LÄN</t>
        </is>
      </c>
      <c r="E227" t="inlineStr">
        <is>
          <t>LEKSAND</t>
        </is>
      </c>
      <c r="F227" t="inlineStr">
        <is>
          <t>Bergvik skog väst AB</t>
        </is>
      </c>
      <c r="G227" t="n">
        <v>26.3</v>
      </c>
      <c r="H227" t="n">
        <v>0</v>
      </c>
      <c r="I227" t="n">
        <v>0</v>
      </c>
      <c r="J227" t="n">
        <v>0</v>
      </c>
      <c r="K227" t="n">
        <v>0</v>
      </c>
      <c r="L227" t="n">
        <v>0</v>
      </c>
      <c r="M227" t="n">
        <v>0</v>
      </c>
      <c r="N227" t="n">
        <v>0</v>
      </c>
      <c r="O227" t="n">
        <v>0</v>
      </c>
      <c r="P227" t="n">
        <v>0</v>
      </c>
      <c r="Q227" t="n">
        <v>0</v>
      </c>
      <c r="R227" s="2" t="inlineStr"/>
    </row>
    <row r="228" ht="15" customHeight="1">
      <c r="A228" t="inlineStr">
        <is>
          <t>A 25329-2022</t>
        </is>
      </c>
      <c r="B228" s="1" t="n">
        <v>44731.8799537037</v>
      </c>
      <c r="C228" s="1" t="n">
        <v>45984</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42284-2025</t>
        </is>
      </c>
      <c r="B229" s="1" t="n">
        <v>45903</v>
      </c>
      <c r="C229" s="1" t="n">
        <v>45984</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26423-2025</t>
        </is>
      </c>
      <c r="B230" s="1" t="n">
        <v>45807.37829861111</v>
      </c>
      <c r="C230" s="1" t="n">
        <v>45984</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45984</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50704-2025</t>
        </is>
      </c>
      <c r="B232" s="1" t="n">
        <v>45946.27984953704</v>
      </c>
      <c r="C232" s="1" t="n">
        <v>45984</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28032-2024</t>
        </is>
      </c>
      <c r="B233" s="1" t="n">
        <v>45476.49346064815</v>
      </c>
      <c r="C233" s="1" t="n">
        <v>45984</v>
      </c>
      <c r="D233" t="inlineStr">
        <is>
          <t>DALARNAS LÄN</t>
        </is>
      </c>
      <c r="E233" t="inlineStr">
        <is>
          <t>LEKSAND</t>
        </is>
      </c>
      <c r="G233" t="n">
        <v>2</v>
      </c>
      <c r="H233" t="n">
        <v>0</v>
      </c>
      <c r="I233" t="n">
        <v>0</v>
      </c>
      <c r="J233" t="n">
        <v>0</v>
      </c>
      <c r="K233" t="n">
        <v>0</v>
      </c>
      <c r="L233" t="n">
        <v>0</v>
      </c>
      <c r="M233" t="n">
        <v>0</v>
      </c>
      <c r="N233" t="n">
        <v>0</v>
      </c>
      <c r="O233" t="n">
        <v>0</v>
      </c>
      <c r="P233" t="n">
        <v>0</v>
      </c>
      <c r="Q233" t="n">
        <v>0</v>
      </c>
      <c r="R233" s="2" t="inlineStr"/>
    </row>
    <row r="234" ht="15" customHeight="1">
      <c r="A234" t="inlineStr">
        <is>
          <t>A 19550-2023</t>
        </is>
      </c>
      <c r="B234" s="1" t="n">
        <v>45049</v>
      </c>
      <c r="C234" s="1" t="n">
        <v>45984</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33593-2024</t>
        </is>
      </c>
      <c r="B235" s="1" t="n">
        <v>45520.36055555556</v>
      </c>
      <c r="C235" s="1" t="n">
        <v>45984</v>
      </c>
      <c r="D235" t="inlineStr">
        <is>
          <t>DALARNAS LÄN</t>
        </is>
      </c>
      <c r="E235" t="inlineStr">
        <is>
          <t>LEKSAND</t>
        </is>
      </c>
      <c r="G235" t="n">
        <v>0.3</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45984</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27262-2025</t>
        </is>
      </c>
      <c r="B237" s="1" t="n">
        <v>45812</v>
      </c>
      <c r="C237" s="1" t="n">
        <v>45984</v>
      </c>
      <c r="D237" t="inlineStr">
        <is>
          <t>DALARNAS LÄN</t>
        </is>
      </c>
      <c r="E237" t="inlineStr">
        <is>
          <t>LEKSAND</t>
        </is>
      </c>
      <c r="F237" t="inlineStr">
        <is>
          <t>Bergvik skog väst AB</t>
        </is>
      </c>
      <c r="G237" t="n">
        <v>7.7</v>
      </c>
      <c r="H237" t="n">
        <v>0</v>
      </c>
      <c r="I237" t="n">
        <v>0</v>
      </c>
      <c r="J237" t="n">
        <v>0</v>
      </c>
      <c r="K237" t="n">
        <v>0</v>
      </c>
      <c r="L237" t="n">
        <v>0</v>
      </c>
      <c r="M237" t="n">
        <v>0</v>
      </c>
      <c r="N237" t="n">
        <v>0</v>
      </c>
      <c r="O237" t="n">
        <v>0</v>
      </c>
      <c r="P237" t="n">
        <v>0</v>
      </c>
      <c r="Q237" t="n">
        <v>0</v>
      </c>
      <c r="R237" s="2" t="inlineStr"/>
    </row>
    <row r="238" ht="15" customHeight="1">
      <c r="A238" t="inlineStr">
        <is>
          <t>A 27329-2025</t>
        </is>
      </c>
      <c r="B238" s="1" t="n">
        <v>45812.60864583333</v>
      </c>
      <c r="C238" s="1" t="n">
        <v>45984</v>
      </c>
      <c r="D238" t="inlineStr">
        <is>
          <t>DALARNAS LÄN</t>
        </is>
      </c>
      <c r="E238" t="inlineStr">
        <is>
          <t>LEKSAND</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27332-2025</t>
        </is>
      </c>
      <c r="B239" s="1" t="n">
        <v>45812.61265046296</v>
      </c>
      <c r="C239" s="1" t="n">
        <v>45984</v>
      </c>
      <c r="D239" t="inlineStr">
        <is>
          <t>DALARNAS LÄN</t>
        </is>
      </c>
      <c r="E239" t="inlineStr">
        <is>
          <t>LEKSAND</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47203-2023</t>
        </is>
      </c>
      <c r="B240" s="1" t="n">
        <v>45202</v>
      </c>
      <c r="C240" s="1" t="n">
        <v>45984</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9105-2024</t>
        </is>
      </c>
      <c r="B241" s="1" t="n">
        <v>45357</v>
      </c>
      <c r="C241" s="1" t="n">
        <v>45984</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50447-2023</t>
        </is>
      </c>
      <c r="B242" s="1" t="n">
        <v>45216.72185185185</v>
      </c>
      <c r="C242" s="1" t="n">
        <v>45984</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27682-2025</t>
        </is>
      </c>
      <c r="B243" s="1" t="n">
        <v>45813.64782407408</v>
      </c>
      <c r="C243" s="1" t="n">
        <v>45984</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45984</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27705-2025</t>
        </is>
      </c>
      <c r="B245" s="1" t="n">
        <v>45813</v>
      </c>
      <c r="C245" s="1" t="n">
        <v>45984</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61787-2022</t>
        </is>
      </c>
      <c r="B246" s="1" t="n">
        <v>44917</v>
      </c>
      <c r="C246" s="1" t="n">
        <v>45984</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27680-2025</t>
        </is>
      </c>
      <c r="B247" s="1" t="n">
        <v>45813.64618055556</v>
      </c>
      <c r="C247" s="1" t="n">
        <v>45984</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28913-2024</t>
        </is>
      </c>
      <c r="B248" s="1" t="n">
        <v>45480.75318287037</v>
      </c>
      <c r="C248" s="1" t="n">
        <v>45984</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28483-2025</t>
        </is>
      </c>
      <c r="B249" s="1" t="n">
        <v>45818</v>
      </c>
      <c r="C249" s="1" t="n">
        <v>45984</v>
      </c>
      <c r="D249" t="inlineStr">
        <is>
          <t>DALARNAS LÄN</t>
        </is>
      </c>
      <c r="E249" t="inlineStr">
        <is>
          <t>LEKSAND</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39921-2024</t>
        </is>
      </c>
      <c r="B250" s="1" t="n">
        <v>45553</v>
      </c>
      <c r="C250" s="1" t="n">
        <v>45984</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41015-2024</t>
        </is>
      </c>
      <c r="B251" s="1" t="n">
        <v>45559.32537037037</v>
      </c>
      <c r="C251" s="1" t="n">
        <v>45984</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45984</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6050-2023</t>
        </is>
      </c>
      <c r="B253" s="1" t="n">
        <v>44959</v>
      </c>
      <c r="C253" s="1" t="n">
        <v>45984</v>
      </c>
      <c r="D253" t="inlineStr">
        <is>
          <t>DALARNAS LÄN</t>
        </is>
      </c>
      <c r="E253" t="inlineStr">
        <is>
          <t>LEKSAND</t>
        </is>
      </c>
      <c r="G253" t="n">
        <v>6.2</v>
      </c>
      <c r="H253" t="n">
        <v>0</v>
      </c>
      <c r="I253" t="n">
        <v>0</v>
      </c>
      <c r="J253" t="n">
        <v>0</v>
      </c>
      <c r="K253" t="n">
        <v>0</v>
      </c>
      <c r="L253" t="n">
        <v>0</v>
      </c>
      <c r="M253" t="n">
        <v>0</v>
      </c>
      <c r="N253" t="n">
        <v>0</v>
      </c>
      <c r="O253" t="n">
        <v>0</v>
      </c>
      <c r="P253" t="n">
        <v>0</v>
      </c>
      <c r="Q253" t="n">
        <v>0</v>
      </c>
      <c r="R253" s="2" t="inlineStr"/>
    </row>
    <row r="254" ht="15" customHeight="1">
      <c r="A254" t="inlineStr">
        <is>
          <t>A 27791-2023</t>
        </is>
      </c>
      <c r="B254" s="1" t="n">
        <v>45098</v>
      </c>
      <c r="C254" s="1" t="n">
        <v>45984</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28505-2025</t>
        </is>
      </c>
      <c r="B255" s="1" t="n">
        <v>45818</v>
      </c>
      <c r="C255" s="1" t="n">
        <v>45984</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28499-2025</t>
        </is>
      </c>
      <c r="B256" s="1" t="n">
        <v>45818</v>
      </c>
      <c r="C256" s="1" t="n">
        <v>45984</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27984-2025</t>
        </is>
      </c>
      <c r="B257" s="1" t="n">
        <v>45817.57710648148</v>
      </c>
      <c r="C257" s="1" t="n">
        <v>45984</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45984</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14504-2025</t>
        </is>
      </c>
      <c r="B259" s="1" t="n">
        <v>45741</v>
      </c>
      <c r="C259" s="1" t="n">
        <v>45984</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28488-2025</t>
        </is>
      </c>
      <c r="B260" s="1" t="n">
        <v>45818</v>
      </c>
      <c r="C260" s="1" t="n">
        <v>45984</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40007-2024</t>
        </is>
      </c>
      <c r="B261" s="1" t="n">
        <v>45553.6516550926</v>
      </c>
      <c r="C261" s="1" t="n">
        <v>45984</v>
      </c>
      <c r="D261" t="inlineStr">
        <is>
          <t>DALARNAS LÄN</t>
        </is>
      </c>
      <c r="E261" t="inlineStr">
        <is>
          <t>LEKSAND</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2311-2021</t>
        </is>
      </c>
      <c r="B262" s="1" t="n">
        <v>44213</v>
      </c>
      <c r="C262" s="1" t="n">
        <v>45984</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32072-2024</t>
        </is>
      </c>
      <c r="B263" s="1" t="n">
        <v>45510.98405092592</v>
      </c>
      <c r="C263" s="1" t="n">
        <v>45984</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51663-2025</t>
        </is>
      </c>
      <c r="B264" s="1" t="n">
        <v>45951</v>
      </c>
      <c r="C264" s="1" t="n">
        <v>45984</v>
      </c>
      <c r="D264" t="inlineStr">
        <is>
          <t>DALARNAS LÄN</t>
        </is>
      </c>
      <c r="E264" t="inlineStr">
        <is>
          <t>LEKSAND</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51728-2025</t>
        </is>
      </c>
      <c r="B265" s="1" t="n">
        <v>45951</v>
      </c>
      <c r="C265" s="1" t="n">
        <v>45984</v>
      </c>
      <c r="D265" t="inlineStr">
        <is>
          <t>DALARNAS LÄN</t>
        </is>
      </c>
      <c r="E265" t="inlineStr">
        <is>
          <t>LEKSAND</t>
        </is>
      </c>
      <c r="F265" t="inlineStr">
        <is>
          <t>Bergvik skog väst AB</t>
        </is>
      </c>
      <c r="G265" t="n">
        <v>14.2</v>
      </c>
      <c r="H265" t="n">
        <v>0</v>
      </c>
      <c r="I265" t="n">
        <v>0</v>
      </c>
      <c r="J265" t="n">
        <v>0</v>
      </c>
      <c r="K265" t="n">
        <v>0</v>
      </c>
      <c r="L265" t="n">
        <v>0</v>
      </c>
      <c r="M265" t="n">
        <v>0</v>
      </c>
      <c r="N265" t="n">
        <v>0</v>
      </c>
      <c r="O265" t="n">
        <v>0</v>
      </c>
      <c r="P265" t="n">
        <v>0</v>
      </c>
      <c r="Q265" t="n">
        <v>0</v>
      </c>
      <c r="R265" s="2" t="inlineStr"/>
    </row>
    <row r="266" ht="15" customHeight="1">
      <c r="A266" t="inlineStr">
        <is>
          <t>A 51768-2025</t>
        </is>
      </c>
      <c r="B266" s="1" t="n">
        <v>45951.64041666667</v>
      </c>
      <c r="C266" s="1" t="n">
        <v>45984</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28770-2025</t>
        </is>
      </c>
      <c r="B267" s="1" t="n">
        <v>45820</v>
      </c>
      <c r="C267" s="1" t="n">
        <v>45984</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13165-2023</t>
        </is>
      </c>
      <c r="B268" s="1" t="n">
        <v>45002.57731481481</v>
      </c>
      <c r="C268" s="1" t="n">
        <v>45984</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28458-2025</t>
        </is>
      </c>
      <c r="B269" s="1" t="n">
        <v>45819.413125</v>
      </c>
      <c r="C269" s="1" t="n">
        <v>45984</v>
      </c>
      <c r="D269" t="inlineStr">
        <is>
          <t>DALARNAS LÄN</t>
        </is>
      </c>
      <c r="E269" t="inlineStr">
        <is>
          <t>LEKSAND</t>
        </is>
      </c>
      <c r="G269" t="n">
        <v>3</v>
      </c>
      <c r="H269" t="n">
        <v>0</v>
      </c>
      <c r="I269" t="n">
        <v>0</v>
      </c>
      <c r="J269" t="n">
        <v>0</v>
      </c>
      <c r="K269" t="n">
        <v>0</v>
      </c>
      <c r="L269" t="n">
        <v>0</v>
      </c>
      <c r="M269" t="n">
        <v>0</v>
      </c>
      <c r="N269" t="n">
        <v>0</v>
      </c>
      <c r="O269" t="n">
        <v>0</v>
      </c>
      <c r="P269" t="n">
        <v>0</v>
      </c>
      <c r="Q269" t="n">
        <v>0</v>
      </c>
      <c r="R269" s="2" t="inlineStr"/>
    </row>
    <row r="270" ht="15" customHeight="1">
      <c r="A270" t="inlineStr">
        <is>
          <t>A 51926-2025</t>
        </is>
      </c>
      <c r="B270" s="1" t="n">
        <v>45952.49537037037</v>
      </c>
      <c r="C270" s="1" t="n">
        <v>45984</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7467-2023</t>
        </is>
      </c>
      <c r="B271" s="1" t="n">
        <v>44966</v>
      </c>
      <c r="C271" s="1" t="n">
        <v>45984</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45788-2021</t>
        </is>
      </c>
      <c r="B272" s="1" t="n">
        <v>44441</v>
      </c>
      <c r="C272" s="1" t="n">
        <v>45984</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29005-2025</t>
        </is>
      </c>
      <c r="B273" s="1" t="n">
        <v>45821.39326388889</v>
      </c>
      <c r="C273" s="1" t="n">
        <v>45984</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28985-2025</t>
        </is>
      </c>
      <c r="B274" s="1" t="n">
        <v>45821.36862268519</v>
      </c>
      <c r="C274" s="1" t="n">
        <v>45984</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43195-2025</t>
        </is>
      </c>
      <c r="B275" s="1" t="n">
        <v>45910.4294212963</v>
      </c>
      <c r="C275" s="1" t="n">
        <v>45984</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43158-2025</t>
        </is>
      </c>
      <c r="B276" s="1" t="n">
        <v>45910.35496527778</v>
      </c>
      <c r="C276" s="1" t="n">
        <v>45984</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28592-2023</t>
        </is>
      </c>
      <c r="B277" s="1" t="n">
        <v>45103</v>
      </c>
      <c r="C277" s="1" t="n">
        <v>45984</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45984</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45984</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43607-2025</t>
        </is>
      </c>
      <c r="B280" s="1" t="n">
        <v>45911.66873842593</v>
      </c>
      <c r="C280" s="1" t="n">
        <v>45984</v>
      </c>
      <c r="D280" t="inlineStr">
        <is>
          <t>DALARNAS LÄN</t>
        </is>
      </c>
      <c r="E280" t="inlineStr">
        <is>
          <t>LEKSAND</t>
        </is>
      </c>
      <c r="G280" t="n">
        <v>7.3</v>
      </c>
      <c r="H280" t="n">
        <v>0</v>
      </c>
      <c r="I280" t="n">
        <v>0</v>
      </c>
      <c r="J280" t="n">
        <v>0</v>
      </c>
      <c r="K280" t="n">
        <v>0</v>
      </c>
      <c r="L280" t="n">
        <v>0</v>
      </c>
      <c r="M280" t="n">
        <v>0</v>
      </c>
      <c r="N280" t="n">
        <v>0</v>
      </c>
      <c r="O280" t="n">
        <v>0</v>
      </c>
      <c r="P280" t="n">
        <v>0</v>
      </c>
      <c r="Q280" t="n">
        <v>0</v>
      </c>
      <c r="R280" s="2" t="inlineStr"/>
    </row>
    <row r="281" ht="15" customHeight="1">
      <c r="A281" t="inlineStr">
        <is>
          <t>A 2630-2025</t>
        </is>
      </c>
      <c r="B281" s="1" t="n">
        <v>45675.85865740741</v>
      </c>
      <c r="C281" s="1" t="n">
        <v>45984</v>
      </c>
      <c r="D281" t="inlineStr">
        <is>
          <t>DALARNAS LÄN</t>
        </is>
      </c>
      <c r="E281" t="inlineStr">
        <is>
          <t>LEKSAND</t>
        </is>
      </c>
      <c r="G281" t="n">
        <v>1.6</v>
      </c>
      <c r="H281" t="n">
        <v>0</v>
      </c>
      <c r="I281" t="n">
        <v>0</v>
      </c>
      <c r="J281" t="n">
        <v>0</v>
      </c>
      <c r="K281" t="n">
        <v>0</v>
      </c>
      <c r="L281" t="n">
        <v>0</v>
      </c>
      <c r="M281" t="n">
        <v>0</v>
      </c>
      <c r="N281" t="n">
        <v>0</v>
      </c>
      <c r="O281" t="n">
        <v>0</v>
      </c>
      <c r="P281" t="n">
        <v>0</v>
      </c>
      <c r="Q281" t="n">
        <v>0</v>
      </c>
      <c r="R281" s="2" t="inlineStr"/>
    </row>
    <row r="282" ht="15" customHeight="1">
      <c r="A282" t="inlineStr">
        <is>
          <t>A 43629-2025</t>
        </is>
      </c>
      <c r="B282" s="1" t="n">
        <v>45911.70180555555</v>
      </c>
      <c r="C282" s="1" t="n">
        <v>45984</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43781-2025</t>
        </is>
      </c>
      <c r="B283" s="1" t="n">
        <v>45912.52229166667</v>
      </c>
      <c r="C283" s="1" t="n">
        <v>45984</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29729-2025</t>
        </is>
      </c>
      <c r="B284" s="1" t="n">
        <v>45825.58077546296</v>
      </c>
      <c r="C284" s="1" t="n">
        <v>45984</v>
      </c>
      <c r="D284" t="inlineStr">
        <is>
          <t>DALARNAS LÄN</t>
        </is>
      </c>
      <c r="E284" t="inlineStr">
        <is>
          <t>LEKSAND</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29553-2025</t>
        </is>
      </c>
      <c r="B285" s="1" t="n">
        <v>45825.35315972222</v>
      </c>
      <c r="C285" s="1" t="n">
        <v>45984</v>
      </c>
      <c r="D285" t="inlineStr">
        <is>
          <t>DALARNAS LÄN</t>
        </is>
      </c>
      <c r="E285" t="inlineStr">
        <is>
          <t>LEKSAND</t>
        </is>
      </c>
      <c r="G285" t="n">
        <v>1.8</v>
      </c>
      <c r="H285" t="n">
        <v>0</v>
      </c>
      <c r="I285" t="n">
        <v>0</v>
      </c>
      <c r="J285" t="n">
        <v>0</v>
      </c>
      <c r="K285" t="n">
        <v>0</v>
      </c>
      <c r="L285" t="n">
        <v>0</v>
      </c>
      <c r="M285" t="n">
        <v>0</v>
      </c>
      <c r="N285" t="n">
        <v>0</v>
      </c>
      <c r="O285" t="n">
        <v>0</v>
      </c>
      <c r="P285" t="n">
        <v>0</v>
      </c>
      <c r="Q285" t="n">
        <v>0</v>
      </c>
      <c r="R285" s="2" t="inlineStr"/>
    </row>
    <row r="286" ht="15" customHeight="1">
      <c r="A286" t="inlineStr">
        <is>
          <t>A 13063-2023</t>
        </is>
      </c>
      <c r="B286" s="1" t="n">
        <v>45001</v>
      </c>
      <c r="C286" s="1" t="n">
        <v>45984</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45984</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43888-2025</t>
        </is>
      </c>
      <c r="B288" s="1" t="n">
        <v>45912</v>
      </c>
      <c r="C288" s="1" t="n">
        <v>45984</v>
      </c>
      <c r="D288" t="inlineStr">
        <is>
          <t>DALARNAS LÄN</t>
        </is>
      </c>
      <c r="E288" t="inlineStr">
        <is>
          <t>LEKSAND</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42727-2024</t>
        </is>
      </c>
      <c r="B289" s="1" t="n">
        <v>45566</v>
      </c>
      <c r="C289" s="1" t="n">
        <v>45984</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30254-2025</t>
        </is>
      </c>
      <c r="B290" s="1" t="n">
        <v>45827.42336805556</v>
      </c>
      <c r="C290" s="1" t="n">
        <v>45984</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36444-2023</t>
        </is>
      </c>
      <c r="B291" s="1" t="n">
        <v>45152.63138888889</v>
      </c>
      <c r="C291" s="1" t="n">
        <v>45984</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40407-2024</t>
        </is>
      </c>
      <c r="B292" s="1" t="n">
        <v>45555</v>
      </c>
      <c r="C292" s="1" t="n">
        <v>45984</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43628-2025</t>
        </is>
      </c>
      <c r="B293" s="1" t="n">
        <v>45911.70060185185</v>
      </c>
      <c r="C293" s="1" t="n">
        <v>45984</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30917-2025</t>
        </is>
      </c>
      <c r="B294" s="1" t="n">
        <v>45832.37989583334</v>
      </c>
      <c r="C294" s="1" t="n">
        <v>45984</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31179-2025</t>
        </is>
      </c>
      <c r="B295" s="1" t="n">
        <v>45832.67648148148</v>
      </c>
      <c r="C295" s="1" t="n">
        <v>45984</v>
      </c>
      <c r="D295" t="inlineStr">
        <is>
          <t>DALARNAS LÄN</t>
        </is>
      </c>
      <c r="E295" t="inlineStr">
        <is>
          <t>LEKSAND</t>
        </is>
      </c>
      <c r="G295" t="n">
        <v>4.7</v>
      </c>
      <c r="H295" t="n">
        <v>0</v>
      </c>
      <c r="I295" t="n">
        <v>0</v>
      </c>
      <c r="J295" t="n">
        <v>0</v>
      </c>
      <c r="K295" t="n">
        <v>0</v>
      </c>
      <c r="L295" t="n">
        <v>0</v>
      </c>
      <c r="M295" t="n">
        <v>0</v>
      </c>
      <c r="N295" t="n">
        <v>0</v>
      </c>
      <c r="O295" t="n">
        <v>0</v>
      </c>
      <c r="P295" t="n">
        <v>0</v>
      </c>
      <c r="Q295" t="n">
        <v>0</v>
      </c>
      <c r="R295" s="2" t="inlineStr"/>
    </row>
    <row r="296" ht="15" customHeight="1">
      <c r="A296" t="inlineStr">
        <is>
          <t>A 30969-2025</t>
        </is>
      </c>
      <c r="B296" s="1" t="n">
        <v>45832.45914351852</v>
      </c>
      <c r="C296" s="1" t="n">
        <v>45984</v>
      </c>
      <c r="D296" t="inlineStr">
        <is>
          <t>DALARNAS LÄN</t>
        </is>
      </c>
      <c r="E296" t="inlineStr">
        <is>
          <t>LEKSAND</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44516-2025</t>
        </is>
      </c>
      <c r="B297" s="1" t="n">
        <v>45916.70982638889</v>
      </c>
      <c r="C297" s="1" t="n">
        <v>45984</v>
      </c>
      <c r="D297" t="inlineStr">
        <is>
          <t>DALARNAS LÄN</t>
        </is>
      </c>
      <c r="E297" t="inlineStr">
        <is>
          <t>LEKSAND</t>
        </is>
      </c>
      <c r="G297" t="n">
        <v>1.8</v>
      </c>
      <c r="H297" t="n">
        <v>0</v>
      </c>
      <c r="I297" t="n">
        <v>0</v>
      </c>
      <c r="J297" t="n">
        <v>0</v>
      </c>
      <c r="K297" t="n">
        <v>0</v>
      </c>
      <c r="L297" t="n">
        <v>0</v>
      </c>
      <c r="M297" t="n">
        <v>0</v>
      </c>
      <c r="N297" t="n">
        <v>0</v>
      </c>
      <c r="O297" t="n">
        <v>0</v>
      </c>
      <c r="P297" t="n">
        <v>0</v>
      </c>
      <c r="Q297" t="n">
        <v>0</v>
      </c>
      <c r="R297" s="2" t="inlineStr"/>
    </row>
    <row r="298" ht="15" customHeight="1">
      <c r="A298" t="inlineStr">
        <is>
          <t>A 44519-2025</t>
        </is>
      </c>
      <c r="B298" s="1" t="n">
        <v>45916.71483796297</v>
      </c>
      <c r="C298" s="1" t="n">
        <v>45984</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30911-2025</t>
        </is>
      </c>
      <c r="B299" s="1" t="n">
        <v>45832.37547453704</v>
      </c>
      <c r="C299" s="1" t="n">
        <v>45984</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46628-2024</t>
        </is>
      </c>
      <c r="B300" s="1" t="n">
        <v>45583.33195601852</v>
      </c>
      <c r="C300" s="1" t="n">
        <v>45984</v>
      </c>
      <c r="D300" t="inlineStr">
        <is>
          <t>DALARNAS LÄN</t>
        </is>
      </c>
      <c r="E300" t="inlineStr">
        <is>
          <t>LEKSAND</t>
        </is>
      </c>
      <c r="G300" t="n">
        <v>0.2</v>
      </c>
      <c r="H300" t="n">
        <v>0</v>
      </c>
      <c r="I300" t="n">
        <v>0</v>
      </c>
      <c r="J300" t="n">
        <v>0</v>
      </c>
      <c r="K300" t="n">
        <v>0</v>
      </c>
      <c r="L300" t="n">
        <v>0</v>
      </c>
      <c r="M300" t="n">
        <v>0</v>
      </c>
      <c r="N300" t="n">
        <v>0</v>
      </c>
      <c r="O300" t="n">
        <v>0</v>
      </c>
      <c r="P300" t="n">
        <v>0</v>
      </c>
      <c r="Q300" t="n">
        <v>0</v>
      </c>
      <c r="R300" s="2" t="inlineStr"/>
    </row>
    <row r="301" ht="15" customHeight="1">
      <c r="A301" t="inlineStr">
        <is>
          <t>A 30920-2025</t>
        </is>
      </c>
      <c r="B301" s="1" t="n">
        <v>45832.38484953704</v>
      </c>
      <c r="C301" s="1" t="n">
        <v>45984</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9141-2023</t>
        </is>
      </c>
      <c r="B302" s="1" t="n">
        <v>44974</v>
      </c>
      <c r="C302" s="1" t="n">
        <v>45984</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53190-2025</t>
        </is>
      </c>
      <c r="B303" s="1" t="n">
        <v>45958.56283564815</v>
      </c>
      <c r="C303" s="1" t="n">
        <v>45984</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30916-2025</t>
        </is>
      </c>
      <c r="B304" s="1" t="n">
        <v>45832.37885416667</v>
      </c>
      <c r="C304" s="1" t="n">
        <v>45984</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30973-2025</t>
        </is>
      </c>
      <c r="B305" s="1" t="n">
        <v>45832.46300925926</v>
      </c>
      <c r="C305" s="1" t="n">
        <v>45984</v>
      </c>
      <c r="D305" t="inlineStr">
        <is>
          <t>DALARNAS LÄN</t>
        </is>
      </c>
      <c r="E305" t="inlineStr">
        <is>
          <t>LEKSAND</t>
        </is>
      </c>
      <c r="F305" t="inlineStr">
        <is>
          <t>Bergvik skog väst AB</t>
        </is>
      </c>
      <c r="G305" t="n">
        <v>3.1</v>
      </c>
      <c r="H305" t="n">
        <v>0</v>
      </c>
      <c r="I305" t="n">
        <v>0</v>
      </c>
      <c r="J305" t="n">
        <v>0</v>
      </c>
      <c r="K305" t="n">
        <v>0</v>
      </c>
      <c r="L305" t="n">
        <v>0</v>
      </c>
      <c r="M305" t="n">
        <v>0</v>
      </c>
      <c r="N305" t="n">
        <v>0</v>
      </c>
      <c r="O305" t="n">
        <v>0</v>
      </c>
      <c r="P305" t="n">
        <v>0</v>
      </c>
      <c r="Q305" t="n">
        <v>0</v>
      </c>
      <c r="R305" s="2" t="inlineStr"/>
    </row>
    <row r="306" ht="15" customHeight="1">
      <c r="A306" t="inlineStr">
        <is>
          <t>A 54844-2021</t>
        </is>
      </c>
      <c r="B306" s="1" t="n">
        <v>44474.30614583333</v>
      </c>
      <c r="C306" s="1" t="n">
        <v>45984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31189-2025</t>
        </is>
      </c>
      <c r="B307" s="1" t="n">
        <v>45832.6799537037</v>
      </c>
      <c r="C307" s="1" t="n">
        <v>45984</v>
      </c>
      <c r="D307" t="inlineStr">
        <is>
          <t>DALARNAS LÄN</t>
        </is>
      </c>
      <c r="E307" t="inlineStr">
        <is>
          <t>LEKSAND</t>
        </is>
      </c>
      <c r="G307" t="n">
        <v>5</v>
      </c>
      <c r="H307" t="n">
        <v>0</v>
      </c>
      <c r="I307" t="n">
        <v>0</v>
      </c>
      <c r="J307" t="n">
        <v>0</v>
      </c>
      <c r="K307" t="n">
        <v>0</v>
      </c>
      <c r="L307" t="n">
        <v>0</v>
      </c>
      <c r="M307" t="n">
        <v>0</v>
      </c>
      <c r="N307" t="n">
        <v>0</v>
      </c>
      <c r="O307" t="n">
        <v>0</v>
      </c>
      <c r="P307" t="n">
        <v>0</v>
      </c>
      <c r="Q307" t="n">
        <v>0</v>
      </c>
      <c r="R307" s="2" t="inlineStr"/>
    </row>
    <row r="308" ht="15" customHeight="1">
      <c r="A308" t="inlineStr">
        <is>
          <t>A 44237-2025</t>
        </is>
      </c>
      <c r="B308" s="1" t="n">
        <v>45915.6677199074</v>
      </c>
      <c r="C308" s="1" t="n">
        <v>45984</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8211-2023</t>
        </is>
      </c>
      <c r="B309" s="1" t="n">
        <v>44974</v>
      </c>
      <c r="C309" s="1" t="n">
        <v>45984</v>
      </c>
      <c r="D309" t="inlineStr">
        <is>
          <t>DALARNAS LÄN</t>
        </is>
      </c>
      <c r="E309" t="inlineStr">
        <is>
          <t>LEKSAND</t>
        </is>
      </c>
      <c r="G309" t="n">
        <v>5.2</v>
      </c>
      <c r="H309" t="n">
        <v>0</v>
      </c>
      <c r="I309" t="n">
        <v>0</v>
      </c>
      <c r="J309" t="n">
        <v>0</v>
      </c>
      <c r="K309" t="n">
        <v>0</v>
      </c>
      <c r="L309" t="n">
        <v>0</v>
      </c>
      <c r="M309" t="n">
        <v>0</v>
      </c>
      <c r="N309" t="n">
        <v>0</v>
      </c>
      <c r="O309" t="n">
        <v>0</v>
      </c>
      <c r="P309" t="n">
        <v>0</v>
      </c>
      <c r="Q309" t="n">
        <v>0</v>
      </c>
      <c r="R309" s="2" t="inlineStr"/>
    </row>
    <row r="310" ht="15" customHeight="1">
      <c r="A310" t="inlineStr">
        <is>
          <t>A 31619-2025</t>
        </is>
      </c>
      <c r="B310" s="1" t="n">
        <v>45833</v>
      </c>
      <c r="C310" s="1" t="n">
        <v>45984</v>
      </c>
      <c r="D310" t="inlineStr">
        <is>
          <t>DALARNAS LÄN</t>
        </is>
      </c>
      <c r="E310" t="inlineStr">
        <is>
          <t>LEKSAND</t>
        </is>
      </c>
      <c r="G310" t="n">
        <v>2.5</v>
      </c>
      <c r="H310" t="n">
        <v>0</v>
      </c>
      <c r="I310" t="n">
        <v>0</v>
      </c>
      <c r="J310" t="n">
        <v>0</v>
      </c>
      <c r="K310" t="n">
        <v>0</v>
      </c>
      <c r="L310" t="n">
        <v>0</v>
      </c>
      <c r="M310" t="n">
        <v>0</v>
      </c>
      <c r="N310" t="n">
        <v>0</v>
      </c>
      <c r="O310" t="n">
        <v>0</v>
      </c>
      <c r="P310" t="n">
        <v>0</v>
      </c>
      <c r="Q310" t="n">
        <v>0</v>
      </c>
      <c r="R310" s="2" t="inlineStr"/>
    </row>
    <row r="311" ht="15" customHeight="1">
      <c r="A311" t="inlineStr">
        <is>
          <t>A 52671-2025</t>
        </is>
      </c>
      <c r="B311" s="1" t="n">
        <v>45955.98113425926</v>
      </c>
      <c r="C311" s="1" t="n">
        <v>45984</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31446-2025</t>
        </is>
      </c>
      <c r="B312" s="1" t="n">
        <v>45833</v>
      </c>
      <c r="C312" s="1" t="n">
        <v>45984</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53041-2025</t>
        </is>
      </c>
      <c r="B313" s="1" t="n">
        <v>45958.35487268519</v>
      </c>
      <c r="C313" s="1" t="n">
        <v>45984</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46665-2023</t>
        </is>
      </c>
      <c r="B314" s="1" t="n">
        <v>45198.47399305556</v>
      </c>
      <c r="C314" s="1" t="n">
        <v>45984</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31787-2025</t>
        </is>
      </c>
      <c r="B315" s="1" t="n">
        <v>45834</v>
      </c>
      <c r="C315" s="1" t="n">
        <v>45984</v>
      </c>
      <c r="D315" t="inlineStr">
        <is>
          <t>DALARNAS LÄN</t>
        </is>
      </c>
      <c r="E315" t="inlineStr">
        <is>
          <t>LEKSAND</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31493-2025</t>
        </is>
      </c>
      <c r="B316" s="1" t="n">
        <v>45833</v>
      </c>
      <c r="C316" s="1" t="n">
        <v>45984</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53243-2025</t>
        </is>
      </c>
      <c r="B317" s="1" t="n">
        <v>45958.6442824074</v>
      </c>
      <c r="C317" s="1" t="n">
        <v>45984</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32104-2025</t>
        </is>
      </c>
      <c r="B318" s="1" t="n">
        <v>45835</v>
      </c>
      <c r="C318" s="1" t="n">
        <v>45984</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44948-2025</t>
        </is>
      </c>
      <c r="B319" s="1" t="n">
        <v>45918.60555555556</v>
      </c>
      <c r="C319" s="1" t="n">
        <v>45984</v>
      </c>
      <c r="D319" t="inlineStr">
        <is>
          <t>DALARNAS LÄN</t>
        </is>
      </c>
      <c r="E319" t="inlineStr">
        <is>
          <t>LEKSAND</t>
        </is>
      </c>
      <c r="G319" t="n">
        <v>5.1</v>
      </c>
      <c r="H319" t="n">
        <v>0</v>
      </c>
      <c r="I319" t="n">
        <v>0</v>
      </c>
      <c r="J319" t="n">
        <v>0</v>
      </c>
      <c r="K319" t="n">
        <v>0</v>
      </c>
      <c r="L319" t="n">
        <v>0</v>
      </c>
      <c r="M319" t="n">
        <v>0</v>
      </c>
      <c r="N319" t="n">
        <v>0</v>
      </c>
      <c r="O319" t="n">
        <v>0</v>
      </c>
      <c r="P319" t="n">
        <v>0</v>
      </c>
      <c r="Q319" t="n">
        <v>0</v>
      </c>
      <c r="R319" s="2" t="inlineStr"/>
    </row>
    <row r="320" ht="15" customHeight="1">
      <c r="A320" t="inlineStr">
        <is>
          <t>A 32593-2025</t>
        </is>
      </c>
      <c r="B320" s="1" t="n">
        <v>45838</v>
      </c>
      <c r="C320" s="1" t="n">
        <v>45984</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14615-2024</t>
        </is>
      </c>
      <c r="B321" s="1" t="n">
        <v>45397.26047453703</v>
      </c>
      <c r="C321" s="1" t="n">
        <v>45984</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32661-2025</t>
        </is>
      </c>
      <c r="B322" s="1" t="n">
        <v>45838.67953703704</v>
      </c>
      <c r="C322" s="1" t="n">
        <v>45984</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53718-2025</t>
        </is>
      </c>
      <c r="B323" s="1" t="n">
        <v>45960.61840277778</v>
      </c>
      <c r="C323" s="1" t="n">
        <v>45984</v>
      </c>
      <c r="D323" t="inlineStr">
        <is>
          <t>DALARNAS LÄN</t>
        </is>
      </c>
      <c r="E323" t="inlineStr">
        <is>
          <t>LEKSAND</t>
        </is>
      </c>
      <c r="G323" t="n">
        <v>7.5</v>
      </c>
      <c r="H323" t="n">
        <v>0</v>
      </c>
      <c r="I323" t="n">
        <v>0</v>
      </c>
      <c r="J323" t="n">
        <v>0</v>
      </c>
      <c r="K323" t="n">
        <v>0</v>
      </c>
      <c r="L323" t="n">
        <v>0</v>
      </c>
      <c r="M323" t="n">
        <v>0</v>
      </c>
      <c r="N323" t="n">
        <v>0</v>
      </c>
      <c r="O323" t="n">
        <v>0</v>
      </c>
      <c r="P323" t="n">
        <v>0</v>
      </c>
      <c r="Q323" t="n">
        <v>0</v>
      </c>
      <c r="R323" s="2" t="inlineStr"/>
    </row>
    <row r="324" ht="15" customHeight="1">
      <c r="A324" t="inlineStr">
        <is>
          <t>A 32301-2025</t>
        </is>
      </c>
      <c r="B324" s="1" t="n">
        <v>45835</v>
      </c>
      <c r="C324" s="1" t="n">
        <v>45984</v>
      </c>
      <c r="D324" t="inlineStr">
        <is>
          <t>DALARNAS LÄN</t>
        </is>
      </c>
      <c r="E324" t="inlineStr">
        <is>
          <t>LEKSAND</t>
        </is>
      </c>
      <c r="G324" t="n">
        <v>2.2</v>
      </c>
      <c r="H324" t="n">
        <v>0</v>
      </c>
      <c r="I324" t="n">
        <v>0</v>
      </c>
      <c r="J324" t="n">
        <v>0</v>
      </c>
      <c r="K324" t="n">
        <v>0</v>
      </c>
      <c r="L324" t="n">
        <v>0</v>
      </c>
      <c r="M324" t="n">
        <v>0</v>
      </c>
      <c r="N324" t="n">
        <v>0</v>
      </c>
      <c r="O324" t="n">
        <v>0</v>
      </c>
      <c r="P324" t="n">
        <v>0</v>
      </c>
      <c r="Q324" t="n">
        <v>0</v>
      </c>
      <c r="R324" s="2" t="inlineStr"/>
    </row>
    <row r="325" ht="15" customHeight="1">
      <c r="A325" t="inlineStr">
        <is>
          <t>A 30863-2024</t>
        </is>
      </c>
      <c r="B325" s="1" t="n">
        <v>45497.71074074074</v>
      </c>
      <c r="C325" s="1" t="n">
        <v>45984</v>
      </c>
      <c r="D325" t="inlineStr">
        <is>
          <t>DALARNAS LÄN</t>
        </is>
      </c>
      <c r="E325" t="inlineStr">
        <is>
          <t>LEKSAND</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32653-2025</t>
        </is>
      </c>
      <c r="B326" s="1" t="n">
        <v>45838</v>
      </c>
      <c r="C326" s="1" t="n">
        <v>45984</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54289-2023</t>
        </is>
      </c>
      <c r="B327" s="1" t="n">
        <v>45232.71193287037</v>
      </c>
      <c r="C327" s="1" t="n">
        <v>45984</v>
      </c>
      <c r="D327" t="inlineStr">
        <is>
          <t>DALARNAS LÄN</t>
        </is>
      </c>
      <c r="E327" t="inlineStr">
        <is>
          <t>LEKSAND</t>
        </is>
      </c>
      <c r="G327" t="n">
        <v>2</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45984</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53438-2025</t>
        </is>
      </c>
      <c r="B329" s="1" t="n">
        <v>45959.63711805556</v>
      </c>
      <c r="C329" s="1" t="n">
        <v>45984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32726-2025</t>
        </is>
      </c>
      <c r="B330" s="1" t="n">
        <v>45839.3969212963</v>
      </c>
      <c r="C330" s="1" t="n">
        <v>45984</v>
      </c>
      <c r="D330" t="inlineStr">
        <is>
          <t>DALARNAS LÄN</t>
        </is>
      </c>
      <c r="E330" t="inlineStr">
        <is>
          <t>LEKSAND</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44672-2025</t>
        </is>
      </c>
      <c r="B331" s="1" t="n">
        <v>45917.56780092593</v>
      </c>
      <c r="C331" s="1" t="n">
        <v>45984</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53619-2025</t>
        </is>
      </c>
      <c r="B332" s="1" t="n">
        <v>45960</v>
      </c>
      <c r="C332" s="1" t="n">
        <v>45984</v>
      </c>
      <c r="D332" t="inlineStr">
        <is>
          <t>DALARNAS LÄN</t>
        </is>
      </c>
      <c r="E332" t="inlineStr">
        <is>
          <t>LEKSAND</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29157-2022</t>
        </is>
      </c>
      <c r="B333" s="1" t="n">
        <v>44750.48355324074</v>
      </c>
      <c r="C333" s="1" t="n">
        <v>45984</v>
      </c>
      <c r="D333" t="inlineStr">
        <is>
          <t>DALARNAS LÄN</t>
        </is>
      </c>
      <c r="E333" t="inlineStr">
        <is>
          <t>LEKSAND</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33160-2025</t>
        </is>
      </c>
      <c r="B334" s="1" t="n">
        <v>45840</v>
      </c>
      <c r="C334" s="1" t="n">
        <v>45984</v>
      </c>
      <c r="D334" t="inlineStr">
        <is>
          <t>DALARNAS LÄN</t>
        </is>
      </c>
      <c r="E334" t="inlineStr">
        <is>
          <t>LEKSAND</t>
        </is>
      </c>
      <c r="G334" t="n">
        <v>2.3</v>
      </c>
      <c r="H334" t="n">
        <v>0</v>
      </c>
      <c r="I334" t="n">
        <v>0</v>
      </c>
      <c r="J334" t="n">
        <v>0</v>
      </c>
      <c r="K334" t="n">
        <v>0</v>
      </c>
      <c r="L334" t="n">
        <v>0</v>
      </c>
      <c r="M334" t="n">
        <v>0</v>
      </c>
      <c r="N334" t="n">
        <v>0</v>
      </c>
      <c r="O334" t="n">
        <v>0</v>
      </c>
      <c r="P334" t="n">
        <v>0</v>
      </c>
      <c r="Q334" t="n">
        <v>0</v>
      </c>
      <c r="R334" s="2" t="inlineStr"/>
    </row>
    <row r="335" ht="15" customHeight="1">
      <c r="A335" t="inlineStr">
        <is>
          <t>A 45101-2025</t>
        </is>
      </c>
      <c r="B335" s="1" t="n">
        <v>45919.39679398148</v>
      </c>
      <c r="C335" s="1" t="n">
        <v>45984</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53838-2025</t>
        </is>
      </c>
      <c r="B336" s="1" t="n">
        <v>45961.34895833334</v>
      </c>
      <c r="C336" s="1" t="n">
        <v>45984</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32855-2025</t>
        </is>
      </c>
      <c r="B337" s="1" t="n">
        <v>45839.57643518518</v>
      </c>
      <c r="C337" s="1" t="n">
        <v>45984</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54120-2025</t>
        </is>
      </c>
      <c r="B338" s="1" t="n">
        <v>45964.45040509259</v>
      </c>
      <c r="C338" s="1" t="n">
        <v>45984</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54125-2025</t>
        </is>
      </c>
      <c r="B339" s="1" t="n">
        <v>45964.45671296296</v>
      </c>
      <c r="C339" s="1" t="n">
        <v>45984</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54015-2025</t>
        </is>
      </c>
      <c r="B340" s="1" t="n">
        <v>45961.64158564815</v>
      </c>
      <c r="C340" s="1" t="n">
        <v>45984</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12356-2023</t>
        </is>
      </c>
      <c r="B341" s="1" t="n">
        <v>44998</v>
      </c>
      <c r="C341" s="1" t="n">
        <v>45984</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45300-2025</t>
        </is>
      </c>
      <c r="B342" s="1" t="n">
        <v>45921.30490740741</v>
      </c>
      <c r="C342" s="1" t="n">
        <v>45984</v>
      </c>
      <c r="D342" t="inlineStr">
        <is>
          <t>DALARNAS LÄN</t>
        </is>
      </c>
      <c r="E342" t="inlineStr">
        <is>
          <t>LEKSAND</t>
        </is>
      </c>
      <c r="G342" t="n">
        <v>2.3</v>
      </c>
      <c r="H342" t="n">
        <v>0</v>
      </c>
      <c r="I342" t="n">
        <v>0</v>
      </c>
      <c r="J342" t="n">
        <v>0</v>
      </c>
      <c r="K342" t="n">
        <v>0</v>
      </c>
      <c r="L342" t="n">
        <v>0</v>
      </c>
      <c r="M342" t="n">
        <v>0</v>
      </c>
      <c r="N342" t="n">
        <v>0</v>
      </c>
      <c r="O342" t="n">
        <v>0</v>
      </c>
      <c r="P342" t="n">
        <v>0</v>
      </c>
      <c r="Q342" t="n">
        <v>0</v>
      </c>
      <c r="R342" s="2" t="inlineStr"/>
    </row>
    <row r="343" ht="15" customHeight="1">
      <c r="A343" t="inlineStr">
        <is>
          <t>A 53804-2025</t>
        </is>
      </c>
      <c r="B343" s="1" t="n">
        <v>45960.83247685185</v>
      </c>
      <c r="C343" s="1" t="n">
        <v>45984</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41046-2024</t>
        </is>
      </c>
      <c r="B344" s="1" t="n">
        <v>45559.36677083333</v>
      </c>
      <c r="C344" s="1" t="n">
        <v>45984</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56016-2024</t>
        </is>
      </c>
      <c r="B345" s="1" t="n">
        <v>45623.87737268519</v>
      </c>
      <c r="C345" s="1" t="n">
        <v>45984</v>
      </c>
      <c r="D345" t="inlineStr">
        <is>
          <t>DALARNAS LÄN</t>
        </is>
      </c>
      <c r="E345" t="inlineStr">
        <is>
          <t>LEKSAND</t>
        </is>
      </c>
      <c r="G345" t="n">
        <v>6.1</v>
      </c>
      <c r="H345" t="n">
        <v>0</v>
      </c>
      <c r="I345" t="n">
        <v>0</v>
      </c>
      <c r="J345" t="n">
        <v>0</v>
      </c>
      <c r="K345" t="n">
        <v>0</v>
      </c>
      <c r="L345" t="n">
        <v>0</v>
      </c>
      <c r="M345" t="n">
        <v>0</v>
      </c>
      <c r="N345" t="n">
        <v>0</v>
      </c>
      <c r="O345" t="n">
        <v>0</v>
      </c>
      <c r="P345" t="n">
        <v>0</v>
      </c>
      <c r="Q345" t="n">
        <v>0</v>
      </c>
      <c r="R345" s="2" t="inlineStr"/>
    </row>
    <row r="346" ht="15" customHeight="1">
      <c r="A346" t="inlineStr">
        <is>
          <t>A 45381-2025</t>
        </is>
      </c>
      <c r="B346" s="1" t="n">
        <v>45922.39989583333</v>
      </c>
      <c r="C346" s="1" t="n">
        <v>45984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33804-2025</t>
        </is>
      </c>
      <c r="B347" s="1" t="n">
        <v>45842</v>
      </c>
      <c r="C347" s="1" t="n">
        <v>45984</v>
      </c>
      <c r="D347" t="inlineStr">
        <is>
          <t>DALARNAS LÄN</t>
        </is>
      </c>
      <c r="E347" t="inlineStr">
        <is>
          <t>LEKSAND</t>
        </is>
      </c>
      <c r="G347" t="n">
        <v>1.2</v>
      </c>
      <c r="H347" t="n">
        <v>0</v>
      </c>
      <c r="I347" t="n">
        <v>0</v>
      </c>
      <c r="J347" t="n">
        <v>0</v>
      </c>
      <c r="K347" t="n">
        <v>0</v>
      </c>
      <c r="L347" t="n">
        <v>0</v>
      </c>
      <c r="M347" t="n">
        <v>0</v>
      </c>
      <c r="N347" t="n">
        <v>0</v>
      </c>
      <c r="O347" t="n">
        <v>0</v>
      </c>
      <c r="P347" t="n">
        <v>0</v>
      </c>
      <c r="Q347" t="n">
        <v>0</v>
      </c>
      <c r="R347" s="2" t="inlineStr"/>
    </row>
    <row r="348" ht="15" customHeight="1">
      <c r="A348" t="inlineStr">
        <is>
          <t>A 53836-2025</t>
        </is>
      </c>
      <c r="B348" s="1" t="n">
        <v>45961.3475462963</v>
      </c>
      <c r="C348" s="1" t="n">
        <v>45984</v>
      </c>
      <c r="D348" t="inlineStr">
        <is>
          <t>DALARNAS LÄN</t>
        </is>
      </c>
      <c r="E348" t="inlineStr">
        <is>
          <t>LEKSAND</t>
        </is>
      </c>
      <c r="G348" t="n">
        <v>3.5</v>
      </c>
      <c r="H348" t="n">
        <v>0</v>
      </c>
      <c r="I348" t="n">
        <v>0</v>
      </c>
      <c r="J348" t="n">
        <v>0</v>
      </c>
      <c r="K348" t="n">
        <v>0</v>
      </c>
      <c r="L348" t="n">
        <v>0</v>
      </c>
      <c r="M348" t="n">
        <v>0</v>
      </c>
      <c r="N348" t="n">
        <v>0</v>
      </c>
      <c r="O348" t="n">
        <v>0</v>
      </c>
      <c r="P348" t="n">
        <v>0</v>
      </c>
      <c r="Q348" t="n">
        <v>0</v>
      </c>
      <c r="R348" s="2" t="inlineStr"/>
    </row>
    <row r="349" ht="15" customHeight="1">
      <c r="A349" t="inlineStr">
        <is>
          <t>A 45318-2025</t>
        </is>
      </c>
      <c r="B349" s="1" t="n">
        <v>45921.85230324074</v>
      </c>
      <c r="C349" s="1" t="n">
        <v>45984</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55926-2024</t>
        </is>
      </c>
      <c r="B350" s="1" t="n">
        <v>45623.601875</v>
      </c>
      <c r="C350" s="1" t="n">
        <v>45984</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16293-2025</t>
        </is>
      </c>
      <c r="B351" s="1" t="n">
        <v>45751.33447916667</v>
      </c>
      <c r="C351" s="1" t="n">
        <v>45984</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54779-2025</t>
        </is>
      </c>
      <c r="B352" s="1" t="n">
        <v>45966.61672453704</v>
      </c>
      <c r="C352" s="1" t="n">
        <v>45984</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54815-2025</t>
        </is>
      </c>
      <c r="B353" s="1" t="n">
        <v>45966.65237268519</v>
      </c>
      <c r="C353" s="1" t="n">
        <v>45984</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51860-2024</t>
        </is>
      </c>
      <c r="B354" s="1" t="n">
        <v>45607.54511574074</v>
      </c>
      <c r="C354" s="1" t="n">
        <v>45984</v>
      </c>
      <c r="D354" t="inlineStr">
        <is>
          <t>DALARNAS LÄN</t>
        </is>
      </c>
      <c r="E354" t="inlineStr">
        <is>
          <t>LEKSAND</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12363-2023</t>
        </is>
      </c>
      <c r="B355" s="1" t="n">
        <v>44998</v>
      </c>
      <c r="C355" s="1" t="n">
        <v>45984</v>
      </c>
      <c r="D355" t="inlineStr">
        <is>
          <t>DALARNAS LÄN</t>
        </is>
      </c>
      <c r="E355" t="inlineStr">
        <is>
          <t>LEKSAND</t>
        </is>
      </c>
      <c r="G355" t="n">
        <v>10</v>
      </c>
      <c r="H355" t="n">
        <v>0</v>
      </c>
      <c r="I355" t="n">
        <v>0</v>
      </c>
      <c r="J355" t="n">
        <v>0</v>
      </c>
      <c r="K355" t="n">
        <v>0</v>
      </c>
      <c r="L355" t="n">
        <v>0</v>
      </c>
      <c r="M355" t="n">
        <v>0</v>
      </c>
      <c r="N355" t="n">
        <v>0</v>
      </c>
      <c r="O355" t="n">
        <v>0</v>
      </c>
      <c r="P355" t="n">
        <v>0</v>
      </c>
      <c r="Q355" t="n">
        <v>0</v>
      </c>
      <c r="R355" s="2" t="inlineStr"/>
    </row>
    <row r="356" ht="15" customHeight="1">
      <c r="A356" t="inlineStr">
        <is>
          <t>A 54767-2025</t>
        </is>
      </c>
      <c r="B356" s="1" t="n">
        <v>45966.60414351852</v>
      </c>
      <c r="C356" s="1" t="n">
        <v>45984</v>
      </c>
      <c r="D356" t="inlineStr">
        <is>
          <t>DALARNAS LÄN</t>
        </is>
      </c>
      <c r="E356" t="inlineStr">
        <is>
          <t>LEKSAND</t>
        </is>
      </c>
      <c r="G356" t="n">
        <v>2.4</v>
      </c>
      <c r="H356" t="n">
        <v>0</v>
      </c>
      <c r="I356" t="n">
        <v>0</v>
      </c>
      <c r="J356" t="n">
        <v>0</v>
      </c>
      <c r="K356" t="n">
        <v>0</v>
      </c>
      <c r="L356" t="n">
        <v>0</v>
      </c>
      <c r="M356" t="n">
        <v>0</v>
      </c>
      <c r="N356" t="n">
        <v>0</v>
      </c>
      <c r="O356" t="n">
        <v>0</v>
      </c>
      <c r="P356" t="n">
        <v>0</v>
      </c>
      <c r="Q356" t="n">
        <v>0</v>
      </c>
      <c r="R356" s="2" t="inlineStr"/>
    </row>
    <row r="357" ht="15" customHeight="1">
      <c r="A357" t="inlineStr">
        <is>
          <t>A 54785-2025</t>
        </is>
      </c>
      <c r="B357" s="1" t="n">
        <v>45966.62619212963</v>
      </c>
      <c r="C357" s="1" t="n">
        <v>45984</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54805-2025</t>
        </is>
      </c>
      <c r="B358" s="1" t="n">
        <v>45966.64165509259</v>
      </c>
      <c r="C358" s="1" t="n">
        <v>45984</v>
      </c>
      <c r="D358" t="inlineStr">
        <is>
          <t>DALARNAS LÄN</t>
        </is>
      </c>
      <c r="E358" t="inlineStr">
        <is>
          <t>LEKSAND</t>
        </is>
      </c>
      <c r="G358" t="n">
        <v>1.8</v>
      </c>
      <c r="H358" t="n">
        <v>0</v>
      </c>
      <c r="I358" t="n">
        <v>0</v>
      </c>
      <c r="J358" t="n">
        <v>0</v>
      </c>
      <c r="K358" t="n">
        <v>0</v>
      </c>
      <c r="L358" t="n">
        <v>0</v>
      </c>
      <c r="M358" t="n">
        <v>0</v>
      </c>
      <c r="N358" t="n">
        <v>0</v>
      </c>
      <c r="O358" t="n">
        <v>0</v>
      </c>
      <c r="P358" t="n">
        <v>0</v>
      </c>
      <c r="Q358" t="n">
        <v>0</v>
      </c>
      <c r="R358" s="2" t="inlineStr"/>
    </row>
    <row r="359" ht="15" customHeight="1">
      <c r="A359" t="inlineStr">
        <is>
          <t>A 34789-2025</t>
        </is>
      </c>
      <c r="B359" s="1" t="n">
        <v>45848</v>
      </c>
      <c r="C359" s="1" t="n">
        <v>45984</v>
      </c>
      <c r="D359" t="inlineStr">
        <is>
          <t>DALARNAS LÄN</t>
        </is>
      </c>
      <c r="E359" t="inlineStr">
        <is>
          <t>LEKSAND</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41896-2024</t>
        </is>
      </c>
      <c r="B360" s="1" t="n">
        <v>45561.51310185185</v>
      </c>
      <c r="C360" s="1" t="n">
        <v>45984</v>
      </c>
      <c r="D360" t="inlineStr">
        <is>
          <t>DALARNAS LÄN</t>
        </is>
      </c>
      <c r="E360" t="inlineStr">
        <is>
          <t>LEKSAND</t>
        </is>
      </c>
      <c r="F360" t="inlineStr">
        <is>
          <t>Bergvik skog väst AB</t>
        </is>
      </c>
      <c r="G360" t="n">
        <v>2.8</v>
      </c>
      <c r="H360" t="n">
        <v>0</v>
      </c>
      <c r="I360" t="n">
        <v>0</v>
      </c>
      <c r="J360" t="n">
        <v>0</v>
      </c>
      <c r="K360" t="n">
        <v>0</v>
      </c>
      <c r="L360" t="n">
        <v>0</v>
      </c>
      <c r="M360" t="n">
        <v>0</v>
      </c>
      <c r="N360" t="n">
        <v>0</v>
      </c>
      <c r="O360" t="n">
        <v>0</v>
      </c>
      <c r="P360" t="n">
        <v>0</v>
      </c>
      <c r="Q360" t="n">
        <v>0</v>
      </c>
      <c r="R360" s="2" t="inlineStr"/>
    </row>
    <row r="361" ht="15" customHeight="1">
      <c r="A361" t="inlineStr">
        <is>
          <t>A 54494-2025</t>
        </is>
      </c>
      <c r="B361" s="1" t="n">
        <v>45965.59965277778</v>
      </c>
      <c r="C361" s="1" t="n">
        <v>45984</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34537-2025</t>
        </is>
      </c>
      <c r="B362" s="1" t="n">
        <v>45847</v>
      </c>
      <c r="C362" s="1" t="n">
        <v>45984</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15020-2023</t>
        </is>
      </c>
      <c r="B363" s="1" t="n">
        <v>45015.6196412037</v>
      </c>
      <c r="C363" s="1" t="n">
        <v>45984</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46176-2025</t>
        </is>
      </c>
      <c r="B364" s="1" t="n">
        <v>45924.65101851852</v>
      </c>
      <c r="C364" s="1" t="n">
        <v>45984</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54440-2025</t>
        </is>
      </c>
      <c r="B365" s="1" t="n">
        <v>45965.50385416667</v>
      </c>
      <c r="C365" s="1" t="n">
        <v>45984</v>
      </c>
      <c r="D365" t="inlineStr">
        <is>
          <t>DALARNAS LÄN</t>
        </is>
      </c>
      <c r="E365" t="inlineStr">
        <is>
          <t>LEKSAND</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54293-2025</t>
        </is>
      </c>
      <c r="B366" s="1" t="n">
        <v>45964.86651620371</v>
      </c>
      <c r="C366" s="1" t="n">
        <v>45984</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54295-2025</t>
        </is>
      </c>
      <c r="B367" s="1" t="n">
        <v>45964.87122685185</v>
      </c>
      <c r="C367" s="1" t="n">
        <v>45984</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23323-2023</t>
        </is>
      </c>
      <c r="B368" s="1" t="n">
        <v>45076</v>
      </c>
      <c r="C368" s="1" t="n">
        <v>45984</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54752-2025</t>
        </is>
      </c>
      <c r="B369" s="1" t="n">
        <v>45966.5916087963</v>
      </c>
      <c r="C369" s="1" t="n">
        <v>45984</v>
      </c>
      <c r="D369" t="inlineStr">
        <is>
          <t>DALARNAS LÄN</t>
        </is>
      </c>
      <c r="E369" t="inlineStr">
        <is>
          <t>LEKSAND</t>
        </is>
      </c>
      <c r="G369" t="n">
        <v>0.3</v>
      </c>
      <c r="H369" t="n">
        <v>0</v>
      </c>
      <c r="I369" t="n">
        <v>0</v>
      </c>
      <c r="J369" t="n">
        <v>0</v>
      </c>
      <c r="K369" t="n">
        <v>0</v>
      </c>
      <c r="L369" t="n">
        <v>0</v>
      </c>
      <c r="M369" t="n">
        <v>0</v>
      </c>
      <c r="N369" t="n">
        <v>0</v>
      </c>
      <c r="O369" t="n">
        <v>0</v>
      </c>
      <c r="P369" t="n">
        <v>0</v>
      </c>
      <c r="Q369" t="n">
        <v>0</v>
      </c>
      <c r="R369" s="2" t="inlineStr"/>
    </row>
    <row r="370" ht="15" customHeight="1">
      <c r="A370" t="inlineStr">
        <is>
          <t>A 10299-2024</t>
        </is>
      </c>
      <c r="B370" s="1" t="n">
        <v>45365.50425925926</v>
      </c>
      <c r="C370" s="1" t="n">
        <v>45984</v>
      </c>
      <c r="D370" t="inlineStr">
        <is>
          <t>DALARNAS LÄN</t>
        </is>
      </c>
      <c r="E370" t="inlineStr">
        <is>
          <t>LEKSAND</t>
        </is>
      </c>
      <c r="G370" t="n">
        <v>3.6</v>
      </c>
      <c r="H370" t="n">
        <v>0</v>
      </c>
      <c r="I370" t="n">
        <v>0</v>
      </c>
      <c r="J370" t="n">
        <v>0</v>
      </c>
      <c r="K370" t="n">
        <v>0</v>
      </c>
      <c r="L370" t="n">
        <v>0</v>
      </c>
      <c r="M370" t="n">
        <v>0</v>
      </c>
      <c r="N370" t="n">
        <v>0</v>
      </c>
      <c r="O370" t="n">
        <v>0</v>
      </c>
      <c r="P370" t="n">
        <v>0</v>
      </c>
      <c r="Q370" t="n">
        <v>0</v>
      </c>
      <c r="R370" s="2" t="inlineStr"/>
    </row>
    <row r="371" ht="15" customHeight="1">
      <c r="A371" t="inlineStr">
        <is>
          <t>A 35094-2025</t>
        </is>
      </c>
      <c r="B371" s="1" t="n">
        <v>45852</v>
      </c>
      <c r="C371" s="1" t="n">
        <v>45984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55643-2024</t>
        </is>
      </c>
      <c r="B372" s="1" t="n">
        <v>45621</v>
      </c>
      <c r="C372" s="1" t="n">
        <v>45984</v>
      </c>
      <c r="D372" t="inlineStr">
        <is>
          <t>DALARNAS LÄN</t>
        </is>
      </c>
      <c r="E372" t="inlineStr">
        <is>
          <t>LEKSAND</t>
        </is>
      </c>
      <c r="G372" t="n">
        <v>1.7</v>
      </c>
      <c r="H372" t="n">
        <v>0</v>
      </c>
      <c r="I372" t="n">
        <v>0</v>
      </c>
      <c r="J372" t="n">
        <v>0</v>
      </c>
      <c r="K372" t="n">
        <v>0</v>
      </c>
      <c r="L372" t="n">
        <v>0</v>
      </c>
      <c r="M372" t="n">
        <v>0</v>
      </c>
      <c r="N372" t="n">
        <v>0</v>
      </c>
      <c r="O372" t="n">
        <v>0</v>
      </c>
      <c r="P372" t="n">
        <v>0</v>
      </c>
      <c r="Q372" t="n">
        <v>0</v>
      </c>
      <c r="R372" s="2" t="inlineStr"/>
    </row>
    <row r="373" ht="15" customHeight="1">
      <c r="A373" t="inlineStr">
        <is>
          <t>A 34965-2025</t>
        </is>
      </c>
      <c r="B373" s="1" t="n">
        <v>45849</v>
      </c>
      <c r="C373" s="1" t="n">
        <v>45984</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34966-2025</t>
        </is>
      </c>
      <c r="B374" s="1" t="n">
        <v>45849</v>
      </c>
      <c r="C374" s="1" t="n">
        <v>45984</v>
      </c>
      <c r="D374" t="inlineStr">
        <is>
          <t>DALARNAS LÄN</t>
        </is>
      </c>
      <c r="E374" t="inlineStr">
        <is>
          <t>LEKSAND</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60129-2023</t>
        </is>
      </c>
      <c r="B375" s="1" t="n">
        <v>45258.49056712963</v>
      </c>
      <c r="C375" s="1" t="n">
        <v>45984</v>
      </c>
      <c r="D375" t="inlineStr">
        <is>
          <t>DALARNAS LÄN</t>
        </is>
      </c>
      <c r="E375" t="inlineStr">
        <is>
          <t>LEKSAND</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45984</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56283-2024</t>
        </is>
      </c>
      <c r="B377" s="1" t="n">
        <v>45624.67864583333</v>
      </c>
      <c r="C377" s="1" t="n">
        <v>45984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56299-2024</t>
        </is>
      </c>
      <c r="B378" s="1" t="n">
        <v>45624.68607638889</v>
      </c>
      <c r="C378" s="1" t="n">
        <v>45984</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43077-2024</t>
        </is>
      </c>
      <c r="B379" s="1" t="n">
        <v>45567.50030092592</v>
      </c>
      <c r="C379" s="1" t="n">
        <v>45984</v>
      </c>
      <c r="D379" t="inlineStr">
        <is>
          <t>DALARNAS LÄN</t>
        </is>
      </c>
      <c r="E379" t="inlineStr">
        <is>
          <t>LEKSAND</t>
        </is>
      </c>
      <c r="G379" t="n">
        <v>1.6</v>
      </c>
      <c r="H379" t="n">
        <v>0</v>
      </c>
      <c r="I379" t="n">
        <v>0</v>
      </c>
      <c r="J379" t="n">
        <v>0</v>
      </c>
      <c r="K379" t="n">
        <v>0</v>
      </c>
      <c r="L379" t="n">
        <v>0</v>
      </c>
      <c r="M379" t="n">
        <v>0</v>
      </c>
      <c r="N379" t="n">
        <v>0</v>
      </c>
      <c r="O379" t="n">
        <v>0</v>
      </c>
      <c r="P379" t="n">
        <v>0</v>
      </c>
      <c r="Q379" t="n">
        <v>0</v>
      </c>
      <c r="R379" s="2" t="inlineStr"/>
    </row>
    <row r="380" ht="15" customHeight="1">
      <c r="A380" t="inlineStr">
        <is>
          <t>A 46405-2025</t>
        </is>
      </c>
      <c r="B380" s="1" t="n">
        <v>45925.56306712963</v>
      </c>
      <c r="C380" s="1" t="n">
        <v>45984</v>
      </c>
      <c r="D380" t="inlineStr">
        <is>
          <t>DALARNAS LÄN</t>
        </is>
      </c>
      <c r="E380" t="inlineStr">
        <is>
          <t>LEKSAND</t>
        </is>
      </c>
      <c r="G380" t="n">
        <v>5.7</v>
      </c>
      <c r="H380" t="n">
        <v>0</v>
      </c>
      <c r="I380" t="n">
        <v>0</v>
      </c>
      <c r="J380" t="n">
        <v>0</v>
      </c>
      <c r="K380" t="n">
        <v>0</v>
      </c>
      <c r="L380" t="n">
        <v>0</v>
      </c>
      <c r="M380" t="n">
        <v>0</v>
      </c>
      <c r="N380" t="n">
        <v>0</v>
      </c>
      <c r="O380" t="n">
        <v>0</v>
      </c>
      <c r="P380" t="n">
        <v>0</v>
      </c>
      <c r="Q380" t="n">
        <v>0</v>
      </c>
      <c r="R380" s="2" t="inlineStr"/>
    </row>
    <row r="381" ht="15" customHeight="1">
      <c r="A381" t="inlineStr">
        <is>
          <t>A 13705-2021</t>
        </is>
      </c>
      <c r="B381" s="1" t="n">
        <v>44274</v>
      </c>
      <c r="C381" s="1" t="n">
        <v>45984</v>
      </c>
      <c r="D381" t="inlineStr">
        <is>
          <t>DALARNAS LÄN</t>
        </is>
      </c>
      <c r="E381" t="inlineStr">
        <is>
          <t>LEKSAND</t>
        </is>
      </c>
      <c r="G381" t="n">
        <v>3.8</v>
      </c>
      <c r="H381" t="n">
        <v>0</v>
      </c>
      <c r="I381" t="n">
        <v>0</v>
      </c>
      <c r="J381" t="n">
        <v>0</v>
      </c>
      <c r="K381" t="n">
        <v>0</v>
      </c>
      <c r="L381" t="n">
        <v>0</v>
      </c>
      <c r="M381" t="n">
        <v>0</v>
      </c>
      <c r="N381" t="n">
        <v>0</v>
      </c>
      <c r="O381" t="n">
        <v>0</v>
      </c>
      <c r="P381" t="n">
        <v>0</v>
      </c>
      <c r="Q381" t="n">
        <v>0</v>
      </c>
      <c r="R381" s="2" t="inlineStr"/>
    </row>
    <row r="382" ht="15" customHeight="1">
      <c r="A382" t="inlineStr">
        <is>
          <t>A 46483-2025</t>
        </is>
      </c>
      <c r="B382" s="1" t="n">
        <v>45925.70248842592</v>
      </c>
      <c r="C382" s="1" t="n">
        <v>45984</v>
      </c>
      <c r="D382" t="inlineStr">
        <is>
          <t>DALARNAS LÄN</t>
        </is>
      </c>
      <c r="E382" t="inlineStr">
        <is>
          <t>LEKSAND</t>
        </is>
      </c>
      <c r="G382" t="n">
        <v>3.6</v>
      </c>
      <c r="H382" t="n">
        <v>0</v>
      </c>
      <c r="I382" t="n">
        <v>0</v>
      </c>
      <c r="J382" t="n">
        <v>0</v>
      </c>
      <c r="K382" t="n">
        <v>0</v>
      </c>
      <c r="L382" t="n">
        <v>0</v>
      </c>
      <c r="M382" t="n">
        <v>0</v>
      </c>
      <c r="N382" t="n">
        <v>0</v>
      </c>
      <c r="O382" t="n">
        <v>0</v>
      </c>
      <c r="P382" t="n">
        <v>0</v>
      </c>
      <c r="Q382" t="n">
        <v>0</v>
      </c>
      <c r="R382" s="2" t="inlineStr"/>
    </row>
    <row r="383" ht="15" customHeight="1">
      <c r="A383" t="inlineStr">
        <is>
          <t>A 35746-2025</t>
        </is>
      </c>
      <c r="B383" s="1" t="n">
        <v>45860</v>
      </c>
      <c r="C383" s="1" t="n">
        <v>45984</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35866-2025</t>
        </is>
      </c>
      <c r="B384" s="1" t="n">
        <v>45861</v>
      </c>
      <c r="C384" s="1" t="n">
        <v>45984</v>
      </c>
      <c r="D384" t="inlineStr">
        <is>
          <t>DALARNAS LÄN</t>
        </is>
      </c>
      <c r="E384" t="inlineStr">
        <is>
          <t>LEKSAND</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24005-2024</t>
        </is>
      </c>
      <c r="B385" s="1" t="n">
        <v>45456.39239583333</v>
      </c>
      <c r="C385" s="1" t="n">
        <v>45984</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41934-2025</t>
        </is>
      </c>
      <c r="B386" s="1" t="n">
        <v>45903.43556712963</v>
      </c>
      <c r="C386" s="1" t="n">
        <v>45984</v>
      </c>
      <c r="D386" t="inlineStr">
        <is>
          <t>DALARNAS LÄN</t>
        </is>
      </c>
      <c r="E386" t="inlineStr">
        <is>
          <t>LEKSAND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1984-2025</t>
        </is>
      </c>
      <c r="B387" s="1" t="n">
        <v>45670</v>
      </c>
      <c r="C387" s="1" t="n">
        <v>45984</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45984</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54677-2025</t>
        </is>
      </c>
      <c r="B389" s="1" t="n">
        <v>45966</v>
      </c>
      <c r="C389" s="1" t="n">
        <v>45984</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35998-2025</t>
        </is>
      </c>
      <c r="B390" s="1" t="n">
        <v>45863.51550925926</v>
      </c>
      <c r="C390" s="1" t="n">
        <v>45984</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36021-2025</t>
        </is>
      </c>
      <c r="B391" s="1" t="n">
        <v>45863.72346064815</v>
      </c>
      <c r="C391" s="1" t="n">
        <v>45984</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36020-2025</t>
        </is>
      </c>
      <c r="B392" s="1" t="n">
        <v>45863</v>
      </c>
      <c r="C392" s="1" t="n">
        <v>45984</v>
      </c>
      <c r="D392" t="inlineStr">
        <is>
          <t>DALARNAS LÄN</t>
        </is>
      </c>
      <c r="E392" t="inlineStr">
        <is>
          <t>LEKSAND</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33310-2023</t>
        </is>
      </c>
      <c r="B393" s="1" t="n">
        <v>45127.82231481482</v>
      </c>
      <c r="C393" s="1" t="n">
        <v>45984</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57899-2024</t>
        </is>
      </c>
      <c r="B394" s="1" t="n">
        <v>45630</v>
      </c>
      <c r="C394" s="1" t="n">
        <v>45984</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36017-2025</t>
        </is>
      </c>
      <c r="B395" s="1" t="n">
        <v>45863</v>
      </c>
      <c r="C395" s="1" t="n">
        <v>45984</v>
      </c>
      <c r="D395" t="inlineStr">
        <is>
          <t>DALARNAS LÄN</t>
        </is>
      </c>
      <c r="E395" t="inlineStr">
        <is>
          <t>LEKSAND</t>
        </is>
      </c>
      <c r="F395" t="inlineStr">
        <is>
          <t>Bergvik skog väst AB</t>
        </is>
      </c>
      <c r="G395" t="n">
        <v>17.9</v>
      </c>
      <c r="H395" t="n">
        <v>0</v>
      </c>
      <c r="I395" t="n">
        <v>0</v>
      </c>
      <c r="J395" t="n">
        <v>0</v>
      </c>
      <c r="K395" t="n">
        <v>0</v>
      </c>
      <c r="L395" t="n">
        <v>0</v>
      </c>
      <c r="M395" t="n">
        <v>0</v>
      </c>
      <c r="N395" t="n">
        <v>0</v>
      </c>
      <c r="O395" t="n">
        <v>0</v>
      </c>
      <c r="P395" t="n">
        <v>0</v>
      </c>
      <c r="Q395" t="n">
        <v>0</v>
      </c>
      <c r="R395" s="2" t="inlineStr"/>
    </row>
    <row r="396" ht="15" customHeight="1">
      <c r="A396" t="inlineStr">
        <is>
          <t>A 11110-2023</t>
        </is>
      </c>
      <c r="B396" s="1" t="n">
        <v>44992</v>
      </c>
      <c r="C396" s="1" t="n">
        <v>45984</v>
      </c>
      <c r="D396" t="inlineStr">
        <is>
          <t>DALARNAS LÄN</t>
        </is>
      </c>
      <c r="E396" t="inlineStr">
        <is>
          <t>LEKSAND</t>
        </is>
      </c>
      <c r="G396" t="n">
        <v>11.2</v>
      </c>
      <c r="H396" t="n">
        <v>0</v>
      </c>
      <c r="I396" t="n">
        <v>0</v>
      </c>
      <c r="J396" t="n">
        <v>0</v>
      </c>
      <c r="K396" t="n">
        <v>0</v>
      </c>
      <c r="L396" t="n">
        <v>0</v>
      </c>
      <c r="M396" t="n">
        <v>0</v>
      </c>
      <c r="N396" t="n">
        <v>0</v>
      </c>
      <c r="O396" t="n">
        <v>0</v>
      </c>
      <c r="P396" t="n">
        <v>0</v>
      </c>
      <c r="Q396" t="n">
        <v>0</v>
      </c>
      <c r="R396" s="2" t="inlineStr"/>
    </row>
    <row r="397" ht="15" customHeight="1">
      <c r="A397" t="inlineStr">
        <is>
          <t>A 56753-2023</t>
        </is>
      </c>
      <c r="B397" s="1" t="n">
        <v>45244.37094907407</v>
      </c>
      <c r="C397" s="1" t="n">
        <v>45984</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46978-2025</t>
        </is>
      </c>
      <c r="B398" s="1" t="n">
        <v>45929.51811342593</v>
      </c>
      <c r="C398" s="1" t="n">
        <v>45984</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36190-2025</t>
        </is>
      </c>
      <c r="B399" s="1" t="n">
        <v>45867</v>
      </c>
      <c r="C399" s="1" t="n">
        <v>45984</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55784-2025</t>
        </is>
      </c>
      <c r="B400" s="1" t="n">
        <v>45972.63765046297</v>
      </c>
      <c r="C400" s="1" t="n">
        <v>45984</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57933-2024</t>
        </is>
      </c>
      <c r="B401" s="1" t="n">
        <v>45630</v>
      </c>
      <c r="C401" s="1" t="n">
        <v>45984</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11403-2023</t>
        </is>
      </c>
      <c r="B402" s="1" t="n">
        <v>44993</v>
      </c>
      <c r="C402" s="1" t="n">
        <v>45984</v>
      </c>
      <c r="D402" t="inlineStr">
        <is>
          <t>DALARNAS LÄN</t>
        </is>
      </c>
      <c r="E402" t="inlineStr">
        <is>
          <t>LEKSAND</t>
        </is>
      </c>
      <c r="G402" t="n">
        <v>0.1</v>
      </c>
      <c r="H402" t="n">
        <v>0</v>
      </c>
      <c r="I402" t="n">
        <v>0</v>
      </c>
      <c r="J402" t="n">
        <v>0</v>
      </c>
      <c r="K402" t="n">
        <v>0</v>
      </c>
      <c r="L402" t="n">
        <v>0</v>
      </c>
      <c r="M402" t="n">
        <v>0</v>
      </c>
      <c r="N402" t="n">
        <v>0</v>
      </c>
      <c r="O402" t="n">
        <v>0</v>
      </c>
      <c r="P402" t="n">
        <v>0</v>
      </c>
      <c r="Q402" t="n">
        <v>0</v>
      </c>
      <c r="R402" s="2" t="inlineStr"/>
    </row>
    <row r="403" ht="15" customHeight="1">
      <c r="A403" t="inlineStr">
        <is>
          <t>A 22683-2022</t>
        </is>
      </c>
      <c r="B403" s="1" t="n">
        <v>44714</v>
      </c>
      <c r="C403" s="1" t="n">
        <v>45984</v>
      </c>
      <c r="D403" t="inlineStr">
        <is>
          <t>DALARNAS LÄN</t>
        </is>
      </c>
      <c r="E403" t="inlineStr">
        <is>
          <t>LEKSAND</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52755-2024</t>
        </is>
      </c>
      <c r="B404" s="1" t="n">
        <v>45610.50217592593</v>
      </c>
      <c r="C404" s="1" t="n">
        <v>45984</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55493-2025</t>
        </is>
      </c>
      <c r="B405" s="1" t="n">
        <v>45971.57913194445</v>
      </c>
      <c r="C405" s="1" t="n">
        <v>45984</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36540-2025</t>
        </is>
      </c>
      <c r="B406" s="1" t="n">
        <v>45869.63885416667</v>
      </c>
      <c r="C406" s="1" t="n">
        <v>45984</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6846-2023</t>
        </is>
      </c>
      <c r="B407" s="1" t="n">
        <v>44967.43953703704</v>
      </c>
      <c r="C407" s="1" t="n">
        <v>45984</v>
      </c>
      <c r="D407" t="inlineStr">
        <is>
          <t>DALARNAS LÄN</t>
        </is>
      </c>
      <c r="E407" t="inlineStr">
        <is>
          <t>LEKSAND</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47068-2025</t>
        </is>
      </c>
      <c r="B408" s="1" t="n">
        <v>45929.63511574074</v>
      </c>
      <c r="C408" s="1" t="n">
        <v>45984</v>
      </c>
      <c r="D408" t="inlineStr">
        <is>
          <t>DALARNAS LÄN</t>
        </is>
      </c>
      <c r="E408" t="inlineStr">
        <is>
          <t>LEKSAND</t>
        </is>
      </c>
      <c r="G408" t="n">
        <v>3.4</v>
      </c>
      <c r="H408" t="n">
        <v>0</v>
      </c>
      <c r="I408" t="n">
        <v>0</v>
      </c>
      <c r="J408" t="n">
        <v>0</v>
      </c>
      <c r="K408" t="n">
        <v>0</v>
      </c>
      <c r="L408" t="n">
        <v>0</v>
      </c>
      <c r="M408" t="n">
        <v>0</v>
      </c>
      <c r="N408" t="n">
        <v>0</v>
      </c>
      <c r="O408" t="n">
        <v>0</v>
      </c>
      <c r="P408" t="n">
        <v>0</v>
      </c>
      <c r="Q408" t="n">
        <v>0</v>
      </c>
      <c r="R408" s="2" t="inlineStr"/>
    </row>
    <row r="409" ht="15" customHeight="1">
      <c r="A409" t="inlineStr">
        <is>
          <t>A 164-2023</t>
        </is>
      </c>
      <c r="B409" s="1" t="n">
        <v>44918</v>
      </c>
      <c r="C409" s="1" t="n">
        <v>45984</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46949-2025</t>
        </is>
      </c>
      <c r="B410" s="1" t="n">
        <v>45929.46811342592</v>
      </c>
      <c r="C410" s="1" t="n">
        <v>45984</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51677-2024</t>
        </is>
      </c>
      <c r="B411" s="1" t="n">
        <v>45607.30265046296</v>
      </c>
      <c r="C411" s="1" t="n">
        <v>45984</v>
      </c>
      <c r="D411" t="inlineStr">
        <is>
          <t>DALARNAS LÄN</t>
        </is>
      </c>
      <c r="E411" t="inlineStr">
        <is>
          <t>LEKSAND</t>
        </is>
      </c>
      <c r="G411" t="n">
        <v>3.4</v>
      </c>
      <c r="H411" t="n">
        <v>0</v>
      </c>
      <c r="I411" t="n">
        <v>0</v>
      </c>
      <c r="J411" t="n">
        <v>0</v>
      </c>
      <c r="K411" t="n">
        <v>0</v>
      </c>
      <c r="L411" t="n">
        <v>0</v>
      </c>
      <c r="M411" t="n">
        <v>0</v>
      </c>
      <c r="N411" t="n">
        <v>0</v>
      </c>
      <c r="O411" t="n">
        <v>0</v>
      </c>
      <c r="P411" t="n">
        <v>0</v>
      </c>
      <c r="Q411" t="n">
        <v>0</v>
      </c>
      <c r="R411" s="2" t="inlineStr"/>
    </row>
    <row r="412" ht="15" customHeight="1">
      <c r="A412" t="inlineStr">
        <is>
          <t>A 6030-2025</t>
        </is>
      </c>
      <c r="B412" s="1" t="n">
        <v>45695</v>
      </c>
      <c r="C412" s="1" t="n">
        <v>45984</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47976-2025</t>
        </is>
      </c>
      <c r="B413" s="1" t="n">
        <v>45932.60846064815</v>
      </c>
      <c r="C413" s="1" t="n">
        <v>45984</v>
      </c>
      <c r="D413" t="inlineStr">
        <is>
          <t>DALARNAS LÄN</t>
        </is>
      </c>
      <c r="E413" t="inlineStr">
        <is>
          <t>LEKSAND</t>
        </is>
      </c>
      <c r="F413" t="inlineStr">
        <is>
          <t>Bergvik skog väst AB</t>
        </is>
      </c>
      <c r="G413" t="n">
        <v>0.3</v>
      </c>
      <c r="H413" t="n">
        <v>0</v>
      </c>
      <c r="I413" t="n">
        <v>0</v>
      </c>
      <c r="J413" t="n">
        <v>0</v>
      </c>
      <c r="K413" t="n">
        <v>0</v>
      </c>
      <c r="L413" t="n">
        <v>0</v>
      </c>
      <c r="M413" t="n">
        <v>0</v>
      </c>
      <c r="N413" t="n">
        <v>0</v>
      </c>
      <c r="O413" t="n">
        <v>0</v>
      </c>
      <c r="P413" t="n">
        <v>0</v>
      </c>
      <c r="Q413" t="n">
        <v>0</v>
      </c>
      <c r="R413" s="2" t="inlineStr"/>
    </row>
    <row r="414" ht="15" customHeight="1">
      <c r="A414" t="inlineStr">
        <is>
          <t>A 47977-2025</t>
        </is>
      </c>
      <c r="B414" s="1" t="n">
        <v>45932.60920138889</v>
      </c>
      <c r="C414" s="1" t="n">
        <v>45984</v>
      </c>
      <c r="D414" t="inlineStr">
        <is>
          <t>DALARNAS LÄN</t>
        </is>
      </c>
      <c r="E414" t="inlineStr">
        <is>
          <t>LEKSAND</t>
        </is>
      </c>
      <c r="F414" t="inlineStr">
        <is>
          <t>Bergvik skog väst AB</t>
        </is>
      </c>
      <c r="G414" t="n">
        <v>0.2</v>
      </c>
      <c r="H414" t="n">
        <v>0</v>
      </c>
      <c r="I414" t="n">
        <v>0</v>
      </c>
      <c r="J414" t="n">
        <v>0</v>
      </c>
      <c r="K414" t="n">
        <v>0</v>
      </c>
      <c r="L414" t="n">
        <v>0</v>
      </c>
      <c r="M414" t="n">
        <v>0</v>
      </c>
      <c r="N414" t="n">
        <v>0</v>
      </c>
      <c r="O414" t="n">
        <v>0</v>
      </c>
      <c r="P414" t="n">
        <v>0</v>
      </c>
      <c r="Q414" t="n">
        <v>0</v>
      </c>
      <c r="R414" s="2" t="inlineStr"/>
    </row>
    <row r="415" ht="15" customHeight="1">
      <c r="A415" t="inlineStr">
        <is>
          <t>A 53981-2024</t>
        </is>
      </c>
      <c r="B415" s="1" t="n">
        <v>45615</v>
      </c>
      <c r="C415" s="1" t="n">
        <v>45984</v>
      </c>
      <c r="D415" t="inlineStr">
        <is>
          <t>DALARNAS LÄN</t>
        </is>
      </c>
      <c r="E415" t="inlineStr">
        <is>
          <t>LEKSAND</t>
        </is>
      </c>
      <c r="G415" t="n">
        <v>5.4</v>
      </c>
      <c r="H415" t="n">
        <v>0</v>
      </c>
      <c r="I415" t="n">
        <v>0</v>
      </c>
      <c r="J415" t="n">
        <v>0</v>
      </c>
      <c r="K415" t="n">
        <v>0</v>
      </c>
      <c r="L415" t="n">
        <v>0</v>
      </c>
      <c r="M415" t="n">
        <v>0</v>
      </c>
      <c r="N415" t="n">
        <v>0</v>
      </c>
      <c r="O415" t="n">
        <v>0</v>
      </c>
      <c r="P415" t="n">
        <v>0</v>
      </c>
      <c r="Q415" t="n">
        <v>0</v>
      </c>
      <c r="R415" s="2" t="inlineStr"/>
    </row>
    <row r="416" ht="15" customHeight="1">
      <c r="A416" t="inlineStr">
        <is>
          <t>A 17589-2025</t>
        </is>
      </c>
      <c r="B416" s="1" t="n">
        <v>45757.67844907408</v>
      </c>
      <c r="C416" s="1" t="n">
        <v>45984</v>
      </c>
      <c r="D416" t="inlineStr">
        <is>
          <t>DALARNAS LÄN</t>
        </is>
      </c>
      <c r="E416" t="inlineStr">
        <is>
          <t>LEKSAND</t>
        </is>
      </c>
      <c r="G416" t="n">
        <v>5.8</v>
      </c>
      <c r="H416" t="n">
        <v>0</v>
      </c>
      <c r="I416" t="n">
        <v>0</v>
      </c>
      <c r="J416" t="n">
        <v>0</v>
      </c>
      <c r="K416" t="n">
        <v>0</v>
      </c>
      <c r="L416" t="n">
        <v>0</v>
      </c>
      <c r="M416" t="n">
        <v>0</v>
      </c>
      <c r="N416" t="n">
        <v>0</v>
      </c>
      <c r="O416" t="n">
        <v>0</v>
      </c>
      <c r="P416" t="n">
        <v>0</v>
      </c>
      <c r="Q416" t="n">
        <v>0</v>
      </c>
      <c r="R416" s="2" t="inlineStr"/>
    </row>
    <row r="417" ht="15" customHeight="1">
      <c r="A417" t="inlineStr">
        <is>
          <t>A 56331-2025</t>
        </is>
      </c>
      <c r="B417" s="1" t="n">
        <v>45974.64157407408</v>
      </c>
      <c r="C417" s="1" t="n">
        <v>45984</v>
      </c>
      <c r="D417" t="inlineStr">
        <is>
          <t>DALARNAS LÄN</t>
        </is>
      </c>
      <c r="E417" t="inlineStr">
        <is>
          <t>LEKSAND</t>
        </is>
      </c>
      <c r="G417" t="n">
        <v>1.1</v>
      </c>
      <c r="H417" t="n">
        <v>0</v>
      </c>
      <c r="I417" t="n">
        <v>0</v>
      </c>
      <c r="J417" t="n">
        <v>0</v>
      </c>
      <c r="K417" t="n">
        <v>0</v>
      </c>
      <c r="L417" t="n">
        <v>0</v>
      </c>
      <c r="M417" t="n">
        <v>0</v>
      </c>
      <c r="N417" t="n">
        <v>0</v>
      </c>
      <c r="O417" t="n">
        <v>0</v>
      </c>
      <c r="P417" t="n">
        <v>0</v>
      </c>
      <c r="Q417" t="n">
        <v>0</v>
      </c>
      <c r="R417" s="2" t="inlineStr"/>
    </row>
    <row r="418" ht="15" customHeight="1">
      <c r="A418" t="inlineStr">
        <is>
          <t>A 11740-2025</t>
        </is>
      </c>
      <c r="B418" s="1" t="n">
        <v>45727.62582175926</v>
      </c>
      <c r="C418" s="1" t="n">
        <v>45984</v>
      </c>
      <c r="D418" t="inlineStr">
        <is>
          <t>DALARNAS LÄN</t>
        </is>
      </c>
      <c r="E418" t="inlineStr">
        <is>
          <t>LEKSAND</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54789-2025</t>
        </is>
      </c>
      <c r="B419" s="1" t="n">
        <v>45966</v>
      </c>
      <c r="C419" s="1" t="n">
        <v>45984</v>
      </c>
      <c r="D419" t="inlineStr">
        <is>
          <t>DALARNAS LÄN</t>
        </is>
      </c>
      <c r="E419" t="inlineStr">
        <is>
          <t>LEKSAND</t>
        </is>
      </c>
      <c r="F419" t="inlineStr">
        <is>
          <t>Bergvik skog väst AB</t>
        </is>
      </c>
      <c r="G419" t="n">
        <v>1.6</v>
      </c>
      <c r="H419" t="n">
        <v>0</v>
      </c>
      <c r="I419" t="n">
        <v>0</v>
      </c>
      <c r="J419" t="n">
        <v>0</v>
      </c>
      <c r="K419" t="n">
        <v>0</v>
      </c>
      <c r="L419" t="n">
        <v>0</v>
      </c>
      <c r="M419" t="n">
        <v>0</v>
      </c>
      <c r="N419" t="n">
        <v>0</v>
      </c>
      <c r="O419" t="n">
        <v>0</v>
      </c>
      <c r="P419" t="n">
        <v>0</v>
      </c>
      <c r="Q419" t="n">
        <v>0</v>
      </c>
      <c r="R419" s="2" t="inlineStr"/>
    </row>
    <row r="420" ht="15" customHeight="1">
      <c r="A420" t="inlineStr">
        <is>
          <t>A 37508-2025</t>
        </is>
      </c>
      <c r="B420" s="1" t="n">
        <v>45877.66282407408</v>
      </c>
      <c r="C420" s="1" t="n">
        <v>45984</v>
      </c>
      <c r="D420" t="inlineStr">
        <is>
          <t>DALARNAS LÄN</t>
        </is>
      </c>
      <c r="E420" t="inlineStr">
        <is>
          <t>LEKSAND</t>
        </is>
      </c>
      <c r="G420" t="n">
        <v>1.3</v>
      </c>
      <c r="H420" t="n">
        <v>0</v>
      </c>
      <c r="I420" t="n">
        <v>0</v>
      </c>
      <c r="J420" t="n">
        <v>0</v>
      </c>
      <c r="K420" t="n">
        <v>0</v>
      </c>
      <c r="L420" t="n">
        <v>0</v>
      </c>
      <c r="M420" t="n">
        <v>0</v>
      </c>
      <c r="N420" t="n">
        <v>0</v>
      </c>
      <c r="O420" t="n">
        <v>0</v>
      </c>
      <c r="P420" t="n">
        <v>0</v>
      </c>
      <c r="Q420" t="n">
        <v>0</v>
      </c>
      <c r="R420" s="2" t="inlineStr"/>
    </row>
    <row r="421" ht="15" customHeight="1">
      <c r="A421" t="inlineStr">
        <is>
          <t>A 56161-2025</t>
        </is>
      </c>
      <c r="B421" s="1" t="n">
        <v>45974.37554398148</v>
      </c>
      <c r="C421" s="1" t="n">
        <v>45984</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45984</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37996-2025</t>
        </is>
      </c>
      <c r="B423" s="1" t="n">
        <v>45881.8299537037</v>
      </c>
      <c r="C423" s="1" t="n">
        <v>45984</v>
      </c>
      <c r="D423" t="inlineStr">
        <is>
          <t>DALARNAS LÄN</t>
        </is>
      </c>
      <c r="E423" t="inlineStr">
        <is>
          <t>LEKSAND</t>
        </is>
      </c>
      <c r="G423" t="n">
        <v>4.2</v>
      </c>
      <c r="H423" t="n">
        <v>0</v>
      </c>
      <c r="I423" t="n">
        <v>0</v>
      </c>
      <c r="J423" t="n">
        <v>0</v>
      </c>
      <c r="K423" t="n">
        <v>0</v>
      </c>
      <c r="L423" t="n">
        <v>0</v>
      </c>
      <c r="M423" t="n">
        <v>0</v>
      </c>
      <c r="N423" t="n">
        <v>0</v>
      </c>
      <c r="O423" t="n">
        <v>0</v>
      </c>
      <c r="P423" t="n">
        <v>0</v>
      </c>
      <c r="Q423" t="n">
        <v>0</v>
      </c>
      <c r="R423" s="2" t="inlineStr"/>
    </row>
    <row r="424" ht="15" customHeight="1">
      <c r="A424" t="inlineStr">
        <is>
          <t>A 48421-2025</t>
        </is>
      </c>
      <c r="B424" s="1" t="n">
        <v>45934.67564814815</v>
      </c>
      <c r="C424" s="1" t="n">
        <v>45984</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56960-2025</t>
        </is>
      </c>
      <c r="B425" s="1" t="n">
        <v>45978.65903935185</v>
      </c>
      <c r="C425" s="1" t="n">
        <v>45984</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44491-2023</t>
        </is>
      </c>
      <c r="B426" s="1" t="n">
        <v>45183</v>
      </c>
      <c r="C426" s="1" t="n">
        <v>45984</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33001-2023</t>
        </is>
      </c>
      <c r="B427" s="1" t="n">
        <v>45125</v>
      </c>
      <c r="C427" s="1" t="n">
        <v>45984</v>
      </c>
      <c r="D427" t="inlineStr">
        <is>
          <t>DALARNAS LÄN</t>
        </is>
      </c>
      <c r="E427" t="inlineStr">
        <is>
          <t>LEKSAND</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38090-2025</t>
        </is>
      </c>
      <c r="B428" s="1" t="n">
        <v>45882.48440972222</v>
      </c>
      <c r="C428" s="1" t="n">
        <v>45984</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56517-2025</t>
        </is>
      </c>
      <c r="B429" s="1" t="n">
        <v>45975.45777777778</v>
      </c>
      <c r="C429" s="1" t="n">
        <v>45984</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33674-2023</t>
        </is>
      </c>
      <c r="B430" s="1" t="n">
        <v>45132</v>
      </c>
      <c r="C430" s="1" t="n">
        <v>45984</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57927-2024</t>
        </is>
      </c>
      <c r="B431" s="1" t="n">
        <v>45630</v>
      </c>
      <c r="C431" s="1" t="n">
        <v>45984</v>
      </c>
      <c r="D431" t="inlineStr">
        <is>
          <t>DALARNAS LÄN</t>
        </is>
      </c>
      <c r="E431" t="inlineStr">
        <is>
          <t>LEKSAND</t>
        </is>
      </c>
      <c r="G431" t="n">
        <v>0.2</v>
      </c>
      <c r="H431" t="n">
        <v>0</v>
      </c>
      <c r="I431" t="n">
        <v>0</v>
      </c>
      <c r="J431" t="n">
        <v>0</v>
      </c>
      <c r="K431" t="n">
        <v>0</v>
      </c>
      <c r="L431" t="n">
        <v>0</v>
      </c>
      <c r="M431" t="n">
        <v>0</v>
      </c>
      <c r="N431" t="n">
        <v>0</v>
      </c>
      <c r="O431" t="n">
        <v>0</v>
      </c>
      <c r="P431" t="n">
        <v>0</v>
      </c>
      <c r="Q431" t="n">
        <v>0</v>
      </c>
      <c r="R431" s="2" t="inlineStr"/>
    </row>
    <row r="432" ht="15" customHeight="1">
      <c r="A432" t="inlineStr">
        <is>
          <t>A 57930-2024</t>
        </is>
      </c>
      <c r="B432" s="1" t="n">
        <v>45630</v>
      </c>
      <c r="C432" s="1" t="n">
        <v>45984</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48829-2025</t>
        </is>
      </c>
      <c r="B433" s="1" t="n">
        <v>45936</v>
      </c>
      <c r="C433" s="1" t="n">
        <v>45984</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16135-2023</t>
        </is>
      </c>
      <c r="B434" s="1" t="n">
        <v>45027.63717592593</v>
      </c>
      <c r="C434" s="1" t="n">
        <v>45984</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30198-2024</t>
        </is>
      </c>
      <c r="B435" s="1" t="n">
        <v>45490.34765046297</v>
      </c>
      <c r="C435" s="1" t="n">
        <v>45984</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10373-2023</t>
        </is>
      </c>
      <c r="B436" s="1" t="n">
        <v>44987</v>
      </c>
      <c r="C436" s="1" t="n">
        <v>45984</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56514-2025</t>
        </is>
      </c>
      <c r="B437" s="1" t="n">
        <v>45975.45502314815</v>
      </c>
      <c r="C437" s="1" t="n">
        <v>45984</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48824-2025</t>
        </is>
      </c>
      <c r="B438" s="1" t="n">
        <v>45937.37949074074</v>
      </c>
      <c r="C438" s="1" t="n">
        <v>45984</v>
      </c>
      <c r="D438" t="inlineStr">
        <is>
          <t>DALARNAS LÄN</t>
        </is>
      </c>
      <c r="E438" t="inlineStr">
        <is>
          <t>LEKSAND</t>
        </is>
      </c>
      <c r="G438" t="n">
        <v>6.3</v>
      </c>
      <c r="H438" t="n">
        <v>0</v>
      </c>
      <c r="I438" t="n">
        <v>0</v>
      </c>
      <c r="J438" t="n">
        <v>0</v>
      </c>
      <c r="K438" t="n">
        <v>0</v>
      </c>
      <c r="L438" t="n">
        <v>0</v>
      </c>
      <c r="M438" t="n">
        <v>0</v>
      </c>
      <c r="N438" t="n">
        <v>0</v>
      </c>
      <c r="O438" t="n">
        <v>0</v>
      </c>
      <c r="P438" t="n">
        <v>0</v>
      </c>
      <c r="Q438" t="n">
        <v>0</v>
      </c>
      <c r="R438" s="2" t="inlineStr"/>
    </row>
    <row r="439" ht="15" customHeight="1">
      <c r="A439" t="inlineStr">
        <is>
          <t>A 49209-2025</t>
        </is>
      </c>
      <c r="B439" s="1" t="n">
        <v>45938.43589120371</v>
      </c>
      <c r="C439" s="1" t="n">
        <v>45984</v>
      </c>
      <c r="D439" t="inlineStr">
        <is>
          <t>DALARNAS LÄN</t>
        </is>
      </c>
      <c r="E439" t="inlineStr">
        <is>
          <t>LEKSAND</t>
        </is>
      </c>
      <c r="G439" t="n">
        <v>4.8</v>
      </c>
      <c r="H439" t="n">
        <v>0</v>
      </c>
      <c r="I439" t="n">
        <v>0</v>
      </c>
      <c r="J439" t="n">
        <v>0</v>
      </c>
      <c r="K439" t="n">
        <v>0</v>
      </c>
      <c r="L439" t="n">
        <v>0</v>
      </c>
      <c r="M439" t="n">
        <v>0</v>
      </c>
      <c r="N439" t="n">
        <v>0</v>
      </c>
      <c r="O439" t="n">
        <v>0</v>
      </c>
      <c r="P439" t="n">
        <v>0</v>
      </c>
      <c r="Q439" t="n">
        <v>0</v>
      </c>
      <c r="R439" s="2" t="inlineStr"/>
    </row>
    <row r="440" ht="15" customHeight="1">
      <c r="A440" t="inlineStr">
        <is>
          <t>A 33566-2023</t>
        </is>
      </c>
      <c r="B440" s="1" t="n">
        <v>45131.64390046296</v>
      </c>
      <c r="C440" s="1" t="n">
        <v>45984</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48922-2025</t>
        </is>
      </c>
      <c r="B441" s="1" t="n">
        <v>45937.50077546296</v>
      </c>
      <c r="C441" s="1" t="n">
        <v>45984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57231-2025</t>
        </is>
      </c>
      <c r="B442" s="1" t="n">
        <v>45979.62025462963</v>
      </c>
      <c r="C442" s="1" t="n">
        <v>45984</v>
      </c>
      <c r="D442" t="inlineStr">
        <is>
          <t>DALARNAS LÄN</t>
        </is>
      </c>
      <c r="E442" t="inlineStr">
        <is>
          <t>LEKSAND</t>
        </is>
      </c>
      <c r="G442" t="n">
        <v>1.8</v>
      </c>
      <c r="H442" t="n">
        <v>0</v>
      </c>
      <c r="I442" t="n">
        <v>0</v>
      </c>
      <c r="J442" t="n">
        <v>0</v>
      </c>
      <c r="K442" t="n">
        <v>0</v>
      </c>
      <c r="L442" t="n">
        <v>0</v>
      </c>
      <c r="M442" t="n">
        <v>0</v>
      </c>
      <c r="N442" t="n">
        <v>0</v>
      </c>
      <c r="O442" t="n">
        <v>0</v>
      </c>
      <c r="P442" t="n">
        <v>0</v>
      </c>
      <c r="Q442" t="n">
        <v>0</v>
      </c>
      <c r="R442" s="2" t="inlineStr"/>
    </row>
    <row r="443" ht="15" customHeight="1">
      <c r="A443" t="inlineStr">
        <is>
          <t>A 16592-2023</t>
        </is>
      </c>
      <c r="B443" s="1" t="n">
        <v>45030</v>
      </c>
      <c r="C443" s="1" t="n">
        <v>45984</v>
      </c>
      <c r="D443" t="inlineStr">
        <is>
          <t>DALARNAS LÄN</t>
        </is>
      </c>
      <c r="E443" t="inlineStr">
        <is>
          <t>LEKSAND</t>
        </is>
      </c>
      <c r="G443" t="n">
        <v>11.5</v>
      </c>
      <c r="H443" t="n">
        <v>0</v>
      </c>
      <c r="I443" t="n">
        <v>0</v>
      </c>
      <c r="J443" t="n">
        <v>0</v>
      </c>
      <c r="K443" t="n">
        <v>0</v>
      </c>
      <c r="L443" t="n">
        <v>0</v>
      </c>
      <c r="M443" t="n">
        <v>0</v>
      </c>
      <c r="N443" t="n">
        <v>0</v>
      </c>
      <c r="O443" t="n">
        <v>0</v>
      </c>
      <c r="P443" t="n">
        <v>0</v>
      </c>
      <c r="Q443" t="n">
        <v>0</v>
      </c>
      <c r="R443" s="2" t="inlineStr"/>
    </row>
    <row r="444" ht="15" customHeight="1">
      <c r="A444" t="inlineStr">
        <is>
          <t>A 19296-2024</t>
        </is>
      </c>
      <c r="B444" s="1" t="n">
        <v>45428.69438657408</v>
      </c>
      <c r="C444" s="1" t="n">
        <v>45984</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49076-2025</t>
        </is>
      </c>
      <c r="B445" s="1" t="n">
        <v>45937.65601851852</v>
      </c>
      <c r="C445" s="1" t="n">
        <v>45984</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57223-2025</t>
        </is>
      </c>
      <c r="B446" s="1" t="n">
        <v>45979.61486111111</v>
      </c>
      <c r="C446" s="1" t="n">
        <v>45984</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49212-2025</t>
        </is>
      </c>
      <c r="B447" s="1" t="n">
        <v>45938.43855324074</v>
      </c>
      <c r="C447" s="1" t="n">
        <v>45984</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7395-2025</t>
        </is>
      </c>
      <c r="B448" s="1" t="n">
        <v>45705.34516203704</v>
      </c>
      <c r="C448" s="1" t="n">
        <v>45984</v>
      </c>
      <c r="D448" t="inlineStr">
        <is>
          <t>DALARNAS LÄN</t>
        </is>
      </c>
      <c r="E448" t="inlineStr">
        <is>
          <t>LEKSAND</t>
        </is>
      </c>
      <c r="G448" t="n">
        <v>1.8</v>
      </c>
      <c r="H448" t="n">
        <v>0</v>
      </c>
      <c r="I448" t="n">
        <v>0</v>
      </c>
      <c r="J448" t="n">
        <v>0</v>
      </c>
      <c r="K448" t="n">
        <v>0</v>
      </c>
      <c r="L448" t="n">
        <v>0</v>
      </c>
      <c r="M448" t="n">
        <v>0</v>
      </c>
      <c r="N448" t="n">
        <v>0</v>
      </c>
      <c r="O448" t="n">
        <v>0</v>
      </c>
      <c r="P448" t="n">
        <v>0</v>
      </c>
      <c r="Q448" t="n">
        <v>0</v>
      </c>
      <c r="R448" s="2" t="inlineStr"/>
    </row>
    <row r="449" ht="15" customHeight="1">
      <c r="A449" t="inlineStr">
        <is>
          <t>A 31971-2024</t>
        </is>
      </c>
      <c r="B449" s="1" t="n">
        <v>45510.55171296297</v>
      </c>
      <c r="C449" s="1" t="n">
        <v>45984</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61546-2021</t>
        </is>
      </c>
      <c r="B450" s="1" t="n">
        <v>44501</v>
      </c>
      <c r="C450" s="1" t="n">
        <v>45984</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7653-2025</t>
        </is>
      </c>
      <c r="B451" s="1" t="n">
        <v>45705.95238425926</v>
      </c>
      <c r="C451" s="1" t="n">
        <v>45984</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41853-2023</t>
        </is>
      </c>
      <c r="B452" s="1" t="n">
        <v>45176.62483796296</v>
      </c>
      <c r="C452" s="1" t="n">
        <v>45984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62116-2024</t>
        </is>
      </c>
      <c r="B453" s="1" t="n">
        <v>45646</v>
      </c>
      <c r="C453" s="1" t="n">
        <v>45984</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57536-2025</t>
        </is>
      </c>
      <c r="B454" s="1" t="n">
        <v>45980.64287037037</v>
      </c>
      <c r="C454" s="1" t="n">
        <v>45984</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57267-2025</t>
        </is>
      </c>
      <c r="B455" s="1" t="n">
        <v>45979.67476851852</v>
      </c>
      <c r="C455" s="1" t="n">
        <v>45984</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15986-2025</t>
        </is>
      </c>
      <c r="B456" s="1" t="n">
        <v>45749.57331018519</v>
      </c>
      <c r="C456" s="1" t="n">
        <v>45984</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62295-2023</t>
        </is>
      </c>
      <c r="B457" s="1" t="n">
        <v>45267</v>
      </c>
      <c r="C457" s="1" t="n">
        <v>45984</v>
      </c>
      <c r="D457" t="inlineStr">
        <is>
          <t>DALARNAS LÄN</t>
        </is>
      </c>
      <c r="E457" t="inlineStr">
        <is>
          <t>LEKSAND</t>
        </is>
      </c>
      <c r="G457" t="n">
        <v>2.5</v>
      </c>
      <c r="H457" t="n">
        <v>0</v>
      </c>
      <c r="I457" t="n">
        <v>0</v>
      </c>
      <c r="J457" t="n">
        <v>0</v>
      </c>
      <c r="K457" t="n">
        <v>0</v>
      </c>
      <c r="L457" t="n">
        <v>0</v>
      </c>
      <c r="M457" t="n">
        <v>0</v>
      </c>
      <c r="N457" t="n">
        <v>0</v>
      </c>
      <c r="O457" t="n">
        <v>0</v>
      </c>
      <c r="P457" t="n">
        <v>0</v>
      </c>
      <c r="Q457" t="n">
        <v>0</v>
      </c>
      <c r="R457" s="2" t="inlineStr"/>
    </row>
    <row r="458" ht="15" customHeight="1">
      <c r="A458" t="inlineStr">
        <is>
          <t>A 10771-2024</t>
        </is>
      </c>
      <c r="B458" s="1" t="n">
        <v>45369.57342592593</v>
      </c>
      <c r="C458" s="1" t="n">
        <v>45984</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57760-2025</t>
        </is>
      </c>
      <c r="B459" s="1" t="n">
        <v>45981</v>
      </c>
      <c r="C459" s="1" t="n">
        <v>45984</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57962-2025</t>
        </is>
      </c>
      <c r="B460" s="1" t="n">
        <v>45982.37767361111</v>
      </c>
      <c r="C460" s="1" t="n">
        <v>45984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46834-2023</t>
        </is>
      </c>
      <c r="B461" s="1" t="n">
        <v>45199.35668981481</v>
      </c>
      <c r="C461" s="1" t="n">
        <v>45984</v>
      </c>
      <c r="D461" t="inlineStr">
        <is>
          <t>DALARNAS LÄN</t>
        </is>
      </c>
      <c r="E461" t="inlineStr">
        <is>
          <t>LEKSAND</t>
        </is>
      </c>
      <c r="G461" t="n">
        <v>16.3</v>
      </c>
      <c r="H461" t="n">
        <v>0</v>
      </c>
      <c r="I461" t="n">
        <v>0</v>
      </c>
      <c r="J461" t="n">
        <v>0</v>
      </c>
      <c r="K461" t="n">
        <v>0</v>
      </c>
      <c r="L461" t="n">
        <v>0</v>
      </c>
      <c r="M461" t="n">
        <v>0</v>
      </c>
      <c r="N461" t="n">
        <v>0</v>
      </c>
      <c r="O461" t="n">
        <v>0</v>
      </c>
      <c r="P461" t="n">
        <v>0</v>
      </c>
      <c r="Q461" t="n">
        <v>0</v>
      </c>
      <c r="R461" s="2" t="inlineStr"/>
    </row>
    <row r="462" ht="15" customHeight="1">
      <c r="A462" t="inlineStr">
        <is>
          <t>A 57688-2025</t>
        </is>
      </c>
      <c r="B462" s="1" t="n">
        <v>45981.44429398148</v>
      </c>
      <c r="C462" s="1" t="n">
        <v>45984</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1983-2025</t>
        </is>
      </c>
      <c r="B463" s="1" t="n">
        <v>45670</v>
      </c>
      <c r="C463" s="1" t="n">
        <v>45984</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57869-2025</t>
        </is>
      </c>
      <c r="B464" s="1" t="n">
        <v>45981.65211805556</v>
      </c>
      <c r="C464" s="1" t="n">
        <v>45984</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21402-2023</t>
        </is>
      </c>
      <c r="B465" s="1" t="n">
        <v>45061</v>
      </c>
      <c r="C465" s="1" t="n">
        <v>45984</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45939.37564814815</v>
      </c>
      <c r="C466" s="1" t="n">
        <v>45984</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43142-2024</t>
        </is>
      </c>
      <c r="B467" s="1" t="n">
        <v>45567.62144675926</v>
      </c>
      <c r="C467" s="1" t="n">
        <v>45984</v>
      </c>
      <c r="D467" t="inlineStr">
        <is>
          <t>DALARNAS LÄN</t>
        </is>
      </c>
      <c r="E467" t="inlineStr">
        <is>
          <t>LEKSAND</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58114-2025</t>
        </is>
      </c>
      <c r="B468" s="1" t="n">
        <v>45982.60335648148</v>
      </c>
      <c r="C468" s="1" t="n">
        <v>45984</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47673-2023</t>
        </is>
      </c>
      <c r="B469" s="1" t="n">
        <v>45203</v>
      </c>
      <c r="C469" s="1" t="n">
        <v>45984</v>
      </c>
      <c r="D469" t="inlineStr">
        <is>
          <t>DALARNAS LÄN</t>
        </is>
      </c>
      <c r="E469" t="inlineStr">
        <is>
          <t>LEKSAND</t>
        </is>
      </c>
      <c r="G469" t="n">
        <v>2</v>
      </c>
      <c r="H469" t="n">
        <v>0</v>
      </c>
      <c r="I469" t="n">
        <v>0</v>
      </c>
      <c r="J469" t="n">
        <v>0</v>
      </c>
      <c r="K469" t="n">
        <v>0</v>
      </c>
      <c r="L469" t="n">
        <v>0</v>
      </c>
      <c r="M469" t="n">
        <v>0</v>
      </c>
      <c r="N469" t="n">
        <v>0</v>
      </c>
      <c r="O469" t="n">
        <v>0</v>
      </c>
      <c r="P469" t="n">
        <v>0</v>
      </c>
      <c r="Q469" t="n">
        <v>0</v>
      </c>
      <c r="R469" s="2" t="inlineStr"/>
    </row>
    <row r="470" ht="15" customHeight="1">
      <c r="A470" t="inlineStr">
        <is>
          <t>A 59718-2023</t>
        </is>
      </c>
      <c r="B470" s="1" t="n">
        <v>45257</v>
      </c>
      <c r="C470" s="1" t="n">
        <v>45984</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1775-2022</t>
        </is>
      </c>
      <c r="B471" s="1" t="n">
        <v>44574</v>
      </c>
      <c r="C471" s="1" t="n">
        <v>45984</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30994-2023</t>
        </is>
      </c>
      <c r="B472" s="1" t="n">
        <v>45113</v>
      </c>
      <c r="C472" s="1" t="n">
        <v>45984</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57665-2023</t>
        </is>
      </c>
      <c r="B473" s="1" t="n">
        <v>45246</v>
      </c>
      <c r="C473" s="1" t="n">
        <v>45984</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51480-2022</t>
        </is>
      </c>
      <c r="B474" s="1" t="n">
        <v>44869.57961805556</v>
      </c>
      <c r="C474" s="1" t="n">
        <v>45984</v>
      </c>
      <c r="D474" t="inlineStr">
        <is>
          <t>DALARNAS LÄN</t>
        </is>
      </c>
      <c r="E474" t="inlineStr">
        <is>
          <t>LEKSAND</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43237-2024</t>
        </is>
      </c>
      <c r="B475" s="1" t="n">
        <v>45567</v>
      </c>
      <c r="C475" s="1" t="n">
        <v>45984</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34482-2022</t>
        </is>
      </c>
      <c r="B476" s="1" t="n">
        <v>44792</v>
      </c>
      <c r="C476" s="1" t="n">
        <v>45984</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17485-2025</t>
        </is>
      </c>
      <c r="B477" s="1" t="n">
        <v>45757.49976851852</v>
      </c>
      <c r="C477" s="1" t="n">
        <v>45984</v>
      </c>
      <c r="D477" t="inlineStr">
        <is>
          <t>DALARNAS LÄN</t>
        </is>
      </c>
      <c r="E477" t="inlineStr">
        <is>
          <t>LEKSAND</t>
        </is>
      </c>
      <c r="G477" t="n">
        <v>3.7</v>
      </c>
      <c r="H477" t="n">
        <v>0</v>
      </c>
      <c r="I477" t="n">
        <v>0</v>
      </c>
      <c r="J477" t="n">
        <v>0</v>
      </c>
      <c r="K477" t="n">
        <v>0</v>
      </c>
      <c r="L477" t="n">
        <v>0</v>
      </c>
      <c r="M477" t="n">
        <v>0</v>
      </c>
      <c r="N477" t="n">
        <v>0</v>
      </c>
      <c r="O477" t="n">
        <v>0</v>
      </c>
      <c r="P477" t="n">
        <v>0</v>
      </c>
      <c r="Q477" t="n">
        <v>0</v>
      </c>
      <c r="R477" s="2" t="inlineStr"/>
    </row>
    <row r="478" ht="15" customHeight="1">
      <c r="A478" t="inlineStr">
        <is>
          <t>A 30595-2023</t>
        </is>
      </c>
      <c r="B478" s="1" t="n">
        <v>45112</v>
      </c>
      <c r="C478" s="1" t="n">
        <v>45984</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45984</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15257-2025</t>
        </is>
      </c>
      <c r="B480" s="1" t="n">
        <v>45744</v>
      </c>
      <c r="C480" s="1" t="n">
        <v>45984</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24142-2021</t>
        </is>
      </c>
      <c r="B481" s="1" t="n">
        <v>44336</v>
      </c>
      <c r="C481" s="1" t="n">
        <v>45984</v>
      </c>
      <c r="D481" t="inlineStr">
        <is>
          <t>DALARNAS LÄN</t>
        </is>
      </c>
      <c r="E481" t="inlineStr">
        <is>
          <t>LEKSAND</t>
        </is>
      </c>
      <c r="F481" t="inlineStr">
        <is>
          <t>Bergvik skog väst AB</t>
        </is>
      </c>
      <c r="G481" t="n">
        <v>18.9</v>
      </c>
      <c r="H481" t="n">
        <v>0</v>
      </c>
      <c r="I481" t="n">
        <v>0</v>
      </c>
      <c r="J481" t="n">
        <v>0</v>
      </c>
      <c r="K481" t="n">
        <v>0</v>
      </c>
      <c r="L481" t="n">
        <v>0</v>
      </c>
      <c r="M481" t="n">
        <v>0</v>
      </c>
      <c r="N481" t="n">
        <v>0</v>
      </c>
      <c r="O481" t="n">
        <v>0</v>
      </c>
      <c r="P481" t="n">
        <v>0</v>
      </c>
      <c r="Q481" t="n">
        <v>0</v>
      </c>
      <c r="R481" s="2" t="inlineStr"/>
    </row>
    <row r="482" ht="15" customHeight="1">
      <c r="A482" t="inlineStr">
        <is>
          <t>A 16815-2025</t>
        </is>
      </c>
      <c r="B482" s="1" t="n">
        <v>45754</v>
      </c>
      <c r="C482" s="1" t="n">
        <v>45984</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61208-2023</t>
        </is>
      </c>
      <c r="B483" s="1" t="n">
        <v>45260</v>
      </c>
      <c r="C483" s="1" t="n">
        <v>45984</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52977-2022</t>
        </is>
      </c>
      <c r="B484" s="1" t="n">
        <v>44875</v>
      </c>
      <c r="C484" s="1" t="n">
        <v>45984</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25921-2024</t>
        </is>
      </c>
      <c r="B485" s="1" t="n">
        <v>45467.6053587963</v>
      </c>
      <c r="C485" s="1" t="n">
        <v>45984</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28892-2022</t>
        </is>
      </c>
      <c r="B486" s="1" t="n">
        <v>44749</v>
      </c>
      <c r="C486" s="1" t="n">
        <v>45984</v>
      </c>
      <c r="D486" t="inlineStr">
        <is>
          <t>DALARNAS LÄN</t>
        </is>
      </c>
      <c r="E486" t="inlineStr">
        <is>
          <t>LEKSAND</t>
        </is>
      </c>
      <c r="F486" t="inlineStr">
        <is>
          <t>Bergvik skog väst AB</t>
        </is>
      </c>
      <c r="G486" t="n">
        <v>9.1</v>
      </c>
      <c r="H486" t="n">
        <v>0</v>
      </c>
      <c r="I486" t="n">
        <v>0</v>
      </c>
      <c r="J486" t="n">
        <v>0</v>
      </c>
      <c r="K486" t="n">
        <v>0</v>
      </c>
      <c r="L486" t="n">
        <v>0</v>
      </c>
      <c r="M486" t="n">
        <v>0</v>
      </c>
      <c r="N486" t="n">
        <v>0</v>
      </c>
      <c r="O486" t="n">
        <v>0</v>
      </c>
      <c r="P486" t="n">
        <v>0</v>
      </c>
      <c r="Q486" t="n">
        <v>0</v>
      </c>
      <c r="R486" s="2" t="inlineStr"/>
    </row>
    <row r="487" ht="15" customHeight="1">
      <c r="A487" t="inlineStr">
        <is>
          <t>A 320-2023</t>
        </is>
      </c>
      <c r="B487" s="1" t="n">
        <v>44929</v>
      </c>
      <c r="C487" s="1" t="n">
        <v>45984</v>
      </c>
      <c r="D487" t="inlineStr">
        <is>
          <t>DALARNAS LÄN</t>
        </is>
      </c>
      <c r="E487" t="inlineStr">
        <is>
          <t>LEKSAND</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12581-2025</t>
        </is>
      </c>
      <c r="B488" s="1" t="n">
        <v>45732.62201388889</v>
      </c>
      <c r="C488" s="1" t="n">
        <v>45984</v>
      </c>
      <c r="D488" t="inlineStr">
        <is>
          <t>DALARNAS LÄN</t>
        </is>
      </c>
      <c r="E488" t="inlineStr">
        <is>
          <t>LEKSAND</t>
        </is>
      </c>
      <c r="G488" t="n">
        <v>5.1</v>
      </c>
      <c r="H488" t="n">
        <v>0</v>
      </c>
      <c r="I488" t="n">
        <v>0</v>
      </c>
      <c r="J488" t="n">
        <v>0</v>
      </c>
      <c r="K488" t="n">
        <v>0</v>
      </c>
      <c r="L488" t="n">
        <v>0</v>
      </c>
      <c r="M488" t="n">
        <v>0</v>
      </c>
      <c r="N488" t="n">
        <v>0</v>
      </c>
      <c r="O488" t="n">
        <v>0</v>
      </c>
      <c r="P488" t="n">
        <v>0</v>
      </c>
      <c r="Q488" t="n">
        <v>0</v>
      </c>
      <c r="R488" s="2" t="inlineStr"/>
    </row>
    <row r="489" ht="15" customHeight="1">
      <c r="A489" t="inlineStr">
        <is>
          <t>A 12620-2025</t>
        </is>
      </c>
      <c r="B489" s="1" t="n">
        <v>45733.35498842593</v>
      </c>
      <c r="C489" s="1" t="n">
        <v>45984</v>
      </c>
      <c r="D489" t="inlineStr">
        <is>
          <t>DALARNAS LÄN</t>
        </is>
      </c>
      <c r="E489" t="inlineStr">
        <is>
          <t>LEKSAND</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12623-2025</t>
        </is>
      </c>
      <c r="B490" s="1" t="n">
        <v>45733.36079861111</v>
      </c>
      <c r="C490" s="1" t="n">
        <v>45984</v>
      </c>
      <c r="D490" t="inlineStr">
        <is>
          <t>DALARNAS LÄN</t>
        </is>
      </c>
      <c r="E490" t="inlineStr">
        <is>
          <t>LEKSAND</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32666-2023</t>
        </is>
      </c>
      <c r="B491" s="1" t="n">
        <v>45121</v>
      </c>
      <c r="C491" s="1" t="n">
        <v>45984</v>
      </c>
      <c r="D491" t="inlineStr">
        <is>
          <t>DALARNAS LÄN</t>
        </is>
      </c>
      <c r="E491" t="inlineStr">
        <is>
          <t>LEKSAND</t>
        </is>
      </c>
      <c r="G491" t="n">
        <v>9.9</v>
      </c>
      <c r="H491" t="n">
        <v>0</v>
      </c>
      <c r="I491" t="n">
        <v>0</v>
      </c>
      <c r="J491" t="n">
        <v>0</v>
      </c>
      <c r="K491" t="n">
        <v>0</v>
      </c>
      <c r="L491" t="n">
        <v>0</v>
      </c>
      <c r="M491" t="n">
        <v>0</v>
      </c>
      <c r="N491" t="n">
        <v>0</v>
      </c>
      <c r="O491" t="n">
        <v>0</v>
      </c>
      <c r="P491" t="n">
        <v>0</v>
      </c>
      <c r="Q491" t="n">
        <v>0</v>
      </c>
      <c r="R491" s="2" t="inlineStr"/>
    </row>
    <row r="492" ht="15" customHeight="1">
      <c r="A492" t="inlineStr">
        <is>
          <t>A 5231-2024</t>
        </is>
      </c>
      <c r="B492" s="1" t="n">
        <v>45330</v>
      </c>
      <c r="C492" s="1" t="n">
        <v>45984</v>
      </c>
      <c r="D492" t="inlineStr">
        <is>
          <t>DALARNAS LÄN</t>
        </is>
      </c>
      <c r="E492" t="inlineStr">
        <is>
          <t>LEKSAND</t>
        </is>
      </c>
      <c r="F492" t="inlineStr">
        <is>
          <t>Bergvik skog väst AB</t>
        </is>
      </c>
      <c r="G492" t="n">
        <v>11.2</v>
      </c>
      <c r="H492" t="n">
        <v>0</v>
      </c>
      <c r="I492" t="n">
        <v>0</v>
      </c>
      <c r="J492" t="n">
        <v>0</v>
      </c>
      <c r="K492" t="n">
        <v>0</v>
      </c>
      <c r="L492" t="n">
        <v>0</v>
      </c>
      <c r="M492" t="n">
        <v>0</v>
      </c>
      <c r="N492" t="n">
        <v>0</v>
      </c>
      <c r="O492" t="n">
        <v>0</v>
      </c>
      <c r="P492" t="n">
        <v>0</v>
      </c>
      <c r="Q492" t="n">
        <v>0</v>
      </c>
      <c r="R492" s="2" t="inlineStr"/>
    </row>
    <row r="493" ht="15" customHeight="1">
      <c r="A493" t="inlineStr">
        <is>
          <t>A 23896-2024</t>
        </is>
      </c>
      <c r="B493" s="1" t="n">
        <v>45455.6758449074</v>
      </c>
      <c r="C493" s="1" t="n">
        <v>45984</v>
      </c>
      <c r="D493" t="inlineStr">
        <is>
          <t>DALARNAS LÄN</t>
        </is>
      </c>
      <c r="E493" t="inlineStr">
        <is>
          <t>LEKSAND</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28578-2023</t>
        </is>
      </c>
      <c r="B494" s="1" t="n">
        <v>45103</v>
      </c>
      <c r="C494" s="1" t="n">
        <v>45984</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61288-2022</t>
        </is>
      </c>
      <c r="B495" s="1" t="n">
        <v>44915</v>
      </c>
      <c r="C495" s="1" t="n">
        <v>45984</v>
      </c>
      <c r="D495" t="inlineStr">
        <is>
          <t>DALARNAS LÄN</t>
        </is>
      </c>
      <c r="E495" t="inlineStr">
        <is>
          <t>LEKSAND</t>
        </is>
      </c>
      <c r="G495" t="n">
        <v>1.7</v>
      </c>
      <c r="H495" t="n">
        <v>0</v>
      </c>
      <c r="I495" t="n">
        <v>0</v>
      </c>
      <c r="J495" t="n">
        <v>0</v>
      </c>
      <c r="K495" t="n">
        <v>0</v>
      </c>
      <c r="L495" t="n">
        <v>0</v>
      </c>
      <c r="M495" t="n">
        <v>0</v>
      </c>
      <c r="N495" t="n">
        <v>0</v>
      </c>
      <c r="O495" t="n">
        <v>0</v>
      </c>
      <c r="P495" t="n">
        <v>0</v>
      </c>
      <c r="Q495" t="n">
        <v>0</v>
      </c>
      <c r="R495" s="2" t="inlineStr"/>
    </row>
    <row r="496" ht="15" customHeight="1">
      <c r="A496" t="inlineStr">
        <is>
          <t>A 20936-2023</t>
        </is>
      </c>
      <c r="B496" s="1" t="n">
        <v>45061</v>
      </c>
      <c r="C496" s="1" t="n">
        <v>45984</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17377-2025</t>
        </is>
      </c>
      <c r="B497" s="1" t="n">
        <v>45756.983125</v>
      </c>
      <c r="C497" s="1" t="n">
        <v>45984</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61269-2022</t>
        </is>
      </c>
      <c r="B498" s="1" t="n">
        <v>44909</v>
      </c>
      <c r="C498" s="1" t="n">
        <v>45984</v>
      </c>
      <c r="D498" t="inlineStr">
        <is>
          <t>DALARNAS LÄN</t>
        </is>
      </c>
      <c r="E498" t="inlineStr">
        <is>
          <t>LEKSAND</t>
        </is>
      </c>
      <c r="G498" t="n">
        <v>4.2</v>
      </c>
      <c r="H498" t="n">
        <v>0</v>
      </c>
      <c r="I498" t="n">
        <v>0</v>
      </c>
      <c r="J498" t="n">
        <v>0</v>
      </c>
      <c r="K498" t="n">
        <v>0</v>
      </c>
      <c r="L498" t="n">
        <v>0</v>
      </c>
      <c r="M498" t="n">
        <v>0</v>
      </c>
      <c r="N498" t="n">
        <v>0</v>
      </c>
      <c r="O498" t="n">
        <v>0</v>
      </c>
      <c r="P498" t="n">
        <v>0</v>
      </c>
      <c r="Q498" t="n">
        <v>0</v>
      </c>
      <c r="R498" s="2" t="inlineStr"/>
    </row>
    <row r="499" ht="15" customHeight="1">
      <c r="A499" t="inlineStr">
        <is>
          <t>A 53817-2023</t>
        </is>
      </c>
      <c r="B499" s="1" t="n">
        <v>45231.40488425926</v>
      </c>
      <c r="C499" s="1" t="n">
        <v>45984</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28633-2023</t>
        </is>
      </c>
      <c r="B500" s="1" t="n">
        <v>45103.61575231481</v>
      </c>
      <c r="C500" s="1" t="n">
        <v>45984</v>
      </c>
      <c r="D500" t="inlineStr">
        <is>
          <t>DALARNAS LÄN</t>
        </is>
      </c>
      <c r="E500" t="inlineStr">
        <is>
          <t>LEKSAND</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14943-2023</t>
        </is>
      </c>
      <c r="B501" s="1" t="n">
        <v>45015</v>
      </c>
      <c r="C501" s="1" t="n">
        <v>45984</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41840-2024</t>
        </is>
      </c>
      <c r="B502" s="1" t="n">
        <v>45561.42170138889</v>
      </c>
      <c r="C502" s="1" t="n">
        <v>45984</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33143-2024</t>
        </is>
      </c>
      <c r="B503" s="1" t="n">
        <v>45518</v>
      </c>
      <c r="C503" s="1" t="n">
        <v>45984</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45984</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11128-2023</t>
        </is>
      </c>
      <c r="B505" s="1" t="n">
        <v>44992</v>
      </c>
      <c r="C505" s="1" t="n">
        <v>45984</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60024-2023</t>
        </is>
      </c>
      <c r="B506" s="1" t="n">
        <v>45258</v>
      </c>
      <c r="C506" s="1" t="n">
        <v>45984</v>
      </c>
      <c r="D506" t="inlineStr">
        <is>
          <t>DALARNAS LÄN</t>
        </is>
      </c>
      <c r="E506" t="inlineStr">
        <is>
          <t>LEKSAND</t>
        </is>
      </c>
      <c r="G506" t="n">
        <v>4.2</v>
      </c>
      <c r="H506" t="n">
        <v>0</v>
      </c>
      <c r="I506" t="n">
        <v>0</v>
      </c>
      <c r="J506" t="n">
        <v>0</v>
      </c>
      <c r="K506" t="n">
        <v>0</v>
      </c>
      <c r="L506" t="n">
        <v>0</v>
      </c>
      <c r="M506" t="n">
        <v>0</v>
      </c>
      <c r="N506" t="n">
        <v>0</v>
      </c>
      <c r="O506" t="n">
        <v>0</v>
      </c>
      <c r="P506" t="n">
        <v>0</v>
      </c>
      <c r="Q506" t="n">
        <v>0</v>
      </c>
      <c r="R506" s="2" t="inlineStr"/>
    </row>
    <row r="507" ht="15" customHeight="1">
      <c r="A507" t="inlineStr">
        <is>
          <t>A 11859-2024</t>
        </is>
      </c>
      <c r="B507" s="1" t="n">
        <v>45376.44569444445</v>
      </c>
      <c r="C507" s="1" t="n">
        <v>45984</v>
      </c>
      <c r="D507" t="inlineStr">
        <is>
          <t>DALARNAS LÄN</t>
        </is>
      </c>
      <c r="E507" t="inlineStr">
        <is>
          <t>LEKSAND</t>
        </is>
      </c>
      <c r="G507" t="n">
        <v>2.1</v>
      </c>
      <c r="H507" t="n">
        <v>0</v>
      </c>
      <c r="I507" t="n">
        <v>0</v>
      </c>
      <c r="J507" t="n">
        <v>0</v>
      </c>
      <c r="K507" t="n">
        <v>0</v>
      </c>
      <c r="L507" t="n">
        <v>0</v>
      </c>
      <c r="M507" t="n">
        <v>0</v>
      </c>
      <c r="N507" t="n">
        <v>0</v>
      </c>
      <c r="O507" t="n">
        <v>0</v>
      </c>
      <c r="P507" t="n">
        <v>0</v>
      </c>
      <c r="Q507" t="n">
        <v>0</v>
      </c>
      <c r="R507" s="2" t="inlineStr"/>
    </row>
    <row r="508" ht="15" customHeight="1">
      <c r="A508" t="inlineStr">
        <is>
          <t>A 62133-2023</t>
        </is>
      </c>
      <c r="B508" s="1" t="n">
        <v>45267.35582175926</v>
      </c>
      <c r="C508" s="1" t="n">
        <v>45984</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58495-2023</t>
        </is>
      </c>
      <c r="B509" s="1" t="n">
        <v>45251</v>
      </c>
      <c r="C509" s="1" t="n">
        <v>45984</v>
      </c>
      <c r="D509" t="inlineStr">
        <is>
          <t>DALARNAS LÄN</t>
        </is>
      </c>
      <c r="E509" t="inlineStr">
        <is>
          <t>LEKSAND</t>
        </is>
      </c>
      <c r="G509" t="n">
        <v>1.7</v>
      </c>
      <c r="H509" t="n">
        <v>0</v>
      </c>
      <c r="I509" t="n">
        <v>0</v>
      </c>
      <c r="J509" t="n">
        <v>0</v>
      </c>
      <c r="K509" t="n">
        <v>0</v>
      </c>
      <c r="L509" t="n">
        <v>0</v>
      </c>
      <c r="M509" t="n">
        <v>0</v>
      </c>
      <c r="N509" t="n">
        <v>0</v>
      </c>
      <c r="O509" t="n">
        <v>0</v>
      </c>
      <c r="P509" t="n">
        <v>0</v>
      </c>
      <c r="Q509" t="n">
        <v>0</v>
      </c>
      <c r="R509" s="2" t="inlineStr"/>
    </row>
    <row r="510" ht="15" customHeight="1">
      <c r="A510" t="inlineStr">
        <is>
          <t>A 6039-2023</t>
        </is>
      </c>
      <c r="B510" s="1" t="n">
        <v>44959</v>
      </c>
      <c r="C510" s="1" t="n">
        <v>45984</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22517-2024</t>
        </is>
      </c>
      <c r="B511" s="1" t="n">
        <v>45447.40143518519</v>
      </c>
      <c r="C511" s="1" t="n">
        <v>45984</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52801-2023</t>
        </is>
      </c>
      <c r="B512" s="1" t="n">
        <v>45219</v>
      </c>
      <c r="C512" s="1" t="n">
        <v>45984</v>
      </c>
      <c r="D512" t="inlineStr">
        <is>
          <t>DALARNAS LÄN</t>
        </is>
      </c>
      <c r="E512" t="inlineStr">
        <is>
          <t>LEKSAND</t>
        </is>
      </c>
      <c r="G512" t="n">
        <v>4.9</v>
      </c>
      <c r="H512" t="n">
        <v>0</v>
      </c>
      <c r="I512" t="n">
        <v>0</v>
      </c>
      <c r="J512" t="n">
        <v>0</v>
      </c>
      <c r="K512" t="n">
        <v>0</v>
      </c>
      <c r="L512" t="n">
        <v>0</v>
      </c>
      <c r="M512" t="n">
        <v>0</v>
      </c>
      <c r="N512" t="n">
        <v>0</v>
      </c>
      <c r="O512" t="n">
        <v>0</v>
      </c>
      <c r="P512" t="n">
        <v>0</v>
      </c>
      <c r="Q512" t="n">
        <v>0</v>
      </c>
      <c r="R512" s="2" t="inlineStr"/>
    </row>
    <row r="513" ht="15" customHeight="1">
      <c r="A513" t="inlineStr">
        <is>
          <t>A 45768-2023</t>
        </is>
      </c>
      <c r="B513" s="1" t="n">
        <v>45195</v>
      </c>
      <c r="C513" s="1" t="n">
        <v>45984</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41306-2024</t>
        </is>
      </c>
      <c r="B514" s="1" t="n">
        <v>45559.62550925926</v>
      </c>
      <c r="C514" s="1" t="n">
        <v>45984</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36450-2023</t>
        </is>
      </c>
      <c r="B515" s="1" t="n">
        <v>45152.64842592592</v>
      </c>
      <c r="C515" s="1" t="n">
        <v>45984</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1458-2024</t>
        </is>
      </c>
      <c r="B516" s="1" t="n">
        <v>45303</v>
      </c>
      <c r="C516" s="1" t="n">
        <v>45984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1461-2024</t>
        </is>
      </c>
      <c r="B517" s="1" t="n">
        <v>45303</v>
      </c>
      <c r="C517" s="1" t="n">
        <v>45984</v>
      </c>
      <c r="D517" t="inlineStr">
        <is>
          <t>DALARNAS LÄN</t>
        </is>
      </c>
      <c r="E517" t="inlineStr">
        <is>
          <t>LEKSAND</t>
        </is>
      </c>
      <c r="G517" t="n">
        <v>2.4</v>
      </c>
      <c r="H517" t="n">
        <v>0</v>
      </c>
      <c r="I517" t="n">
        <v>0</v>
      </c>
      <c r="J517" t="n">
        <v>0</v>
      </c>
      <c r="K517" t="n">
        <v>0</v>
      </c>
      <c r="L517" t="n">
        <v>0</v>
      </c>
      <c r="M517" t="n">
        <v>0</v>
      </c>
      <c r="N517" t="n">
        <v>0</v>
      </c>
      <c r="O517" t="n">
        <v>0</v>
      </c>
      <c r="P517" t="n">
        <v>0</v>
      </c>
      <c r="Q517" t="n">
        <v>0</v>
      </c>
      <c r="R517" s="2" t="inlineStr"/>
    </row>
    <row r="518" ht="15" customHeight="1">
      <c r="A518" t="inlineStr">
        <is>
          <t>A 3737-2023</t>
        </is>
      </c>
      <c r="B518" s="1" t="n">
        <v>44951.42983796296</v>
      </c>
      <c r="C518" s="1" t="n">
        <v>45984</v>
      </c>
      <c r="D518" t="inlineStr">
        <is>
          <t>DALARNAS LÄN</t>
        </is>
      </c>
      <c r="E518" t="inlineStr">
        <is>
          <t>LEKSAND</t>
        </is>
      </c>
      <c r="G518" t="n">
        <v>3.1</v>
      </c>
      <c r="H518" t="n">
        <v>0</v>
      </c>
      <c r="I518" t="n">
        <v>0</v>
      </c>
      <c r="J518" t="n">
        <v>0</v>
      </c>
      <c r="K518" t="n">
        <v>0</v>
      </c>
      <c r="L518" t="n">
        <v>0</v>
      </c>
      <c r="M518" t="n">
        <v>0</v>
      </c>
      <c r="N518" t="n">
        <v>0</v>
      </c>
      <c r="O518" t="n">
        <v>0</v>
      </c>
      <c r="P518" t="n">
        <v>0</v>
      </c>
      <c r="Q518" t="n">
        <v>0</v>
      </c>
      <c r="R518" s="2" t="inlineStr"/>
    </row>
    <row r="519" ht="15" customHeight="1">
      <c r="A519" t="inlineStr">
        <is>
          <t>A 11678-2023</t>
        </is>
      </c>
      <c r="B519" s="1" t="n">
        <v>44994</v>
      </c>
      <c r="C519" s="1" t="n">
        <v>45984</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13288-2023</t>
        </is>
      </c>
      <c r="B520" s="1" t="n">
        <v>45004.8160300926</v>
      </c>
      <c r="C520" s="1" t="n">
        <v>45984</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11869-2024</t>
        </is>
      </c>
      <c r="B521" s="1" t="n">
        <v>45376.45800925926</v>
      </c>
      <c r="C521" s="1" t="n">
        <v>45984</v>
      </c>
      <c r="D521" t="inlineStr">
        <is>
          <t>DALARNAS LÄN</t>
        </is>
      </c>
      <c r="E521" t="inlineStr">
        <is>
          <t>LEKSAND</t>
        </is>
      </c>
      <c r="G521" t="n">
        <v>0.5</v>
      </c>
      <c r="H521" t="n">
        <v>0</v>
      </c>
      <c r="I521" t="n">
        <v>0</v>
      </c>
      <c r="J521" t="n">
        <v>0</v>
      </c>
      <c r="K521" t="n">
        <v>0</v>
      </c>
      <c r="L521" t="n">
        <v>0</v>
      </c>
      <c r="M521" t="n">
        <v>0</v>
      </c>
      <c r="N521" t="n">
        <v>0</v>
      </c>
      <c r="O521" t="n">
        <v>0</v>
      </c>
      <c r="P521" t="n">
        <v>0</v>
      </c>
      <c r="Q521" t="n">
        <v>0</v>
      </c>
      <c r="R521" s="2" t="inlineStr"/>
    </row>
    <row r="522" ht="15" customHeight="1">
      <c r="A522" t="inlineStr">
        <is>
          <t>A 27520-2023</t>
        </is>
      </c>
      <c r="B522" s="1" t="n">
        <v>45097</v>
      </c>
      <c r="C522" s="1" t="n">
        <v>45984</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30169-2023</t>
        </is>
      </c>
      <c r="B523" s="1" t="n">
        <v>45110</v>
      </c>
      <c r="C523" s="1" t="n">
        <v>45984</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37952-2024</t>
        </is>
      </c>
      <c r="B524" s="1" t="n">
        <v>45544.5200462963</v>
      </c>
      <c r="C524" s="1" t="n">
        <v>45984</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3352-2024</t>
        </is>
      </c>
      <c r="B525" s="1" t="n">
        <v>45317</v>
      </c>
      <c r="C525" s="1" t="n">
        <v>45984</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31391-2024</t>
        </is>
      </c>
      <c r="B526" s="1" t="n">
        <v>45505.46616898148</v>
      </c>
      <c r="C526" s="1" t="n">
        <v>45984</v>
      </c>
      <c r="D526" t="inlineStr">
        <is>
          <t>DALARNAS LÄN</t>
        </is>
      </c>
      <c r="E526" t="inlineStr">
        <is>
          <t>LEKSAND</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11004-2023</t>
        </is>
      </c>
      <c r="B527" s="1" t="n">
        <v>44986</v>
      </c>
      <c r="C527" s="1" t="n">
        <v>45984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27244-2023</t>
        </is>
      </c>
      <c r="B528" s="1" t="n">
        <v>45096</v>
      </c>
      <c r="C528" s="1" t="n">
        <v>45984</v>
      </c>
      <c r="D528" t="inlineStr">
        <is>
          <t>DALARNAS LÄN</t>
        </is>
      </c>
      <c r="E528" t="inlineStr">
        <is>
          <t>LEKSAND</t>
        </is>
      </c>
      <c r="G528" t="n">
        <v>5</v>
      </c>
      <c r="H528" t="n">
        <v>0</v>
      </c>
      <c r="I528" t="n">
        <v>0</v>
      </c>
      <c r="J528" t="n">
        <v>0</v>
      </c>
      <c r="K528" t="n">
        <v>0</v>
      </c>
      <c r="L528" t="n">
        <v>0</v>
      </c>
      <c r="M528" t="n">
        <v>0</v>
      </c>
      <c r="N528" t="n">
        <v>0</v>
      </c>
      <c r="O528" t="n">
        <v>0</v>
      </c>
      <c r="P528" t="n">
        <v>0</v>
      </c>
      <c r="Q528" t="n">
        <v>0</v>
      </c>
      <c r="R528" s="2" t="inlineStr"/>
    </row>
    <row r="529" ht="15" customHeight="1">
      <c r="A529" t="inlineStr">
        <is>
          <t>A 18107-2025</t>
        </is>
      </c>
      <c r="B529" s="1" t="n">
        <v>45761.55939814815</v>
      </c>
      <c r="C529" s="1" t="n">
        <v>45984</v>
      </c>
      <c r="D529" t="inlineStr">
        <is>
          <t>DALARNAS LÄN</t>
        </is>
      </c>
      <c r="E529" t="inlineStr">
        <is>
          <t>LEKSAND</t>
        </is>
      </c>
      <c r="G529" t="n">
        <v>1.2</v>
      </c>
      <c r="H529" t="n">
        <v>0</v>
      </c>
      <c r="I529" t="n">
        <v>0</v>
      </c>
      <c r="J529" t="n">
        <v>0</v>
      </c>
      <c r="K529" t="n">
        <v>0</v>
      </c>
      <c r="L529" t="n">
        <v>0</v>
      </c>
      <c r="M529" t="n">
        <v>0</v>
      </c>
      <c r="N529" t="n">
        <v>0</v>
      </c>
      <c r="O529" t="n">
        <v>0</v>
      </c>
      <c r="P529" t="n">
        <v>0</v>
      </c>
      <c r="Q529" t="n">
        <v>0</v>
      </c>
      <c r="R529" s="2" t="inlineStr"/>
    </row>
    <row r="530" ht="15" customHeight="1">
      <c r="A530" t="inlineStr">
        <is>
          <t>A 16051-2023</t>
        </is>
      </c>
      <c r="B530" s="1" t="n">
        <v>45027</v>
      </c>
      <c r="C530" s="1" t="n">
        <v>45984</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56059-2024</t>
        </is>
      </c>
      <c r="B531" s="1" t="n">
        <v>45624.36729166667</v>
      </c>
      <c r="C531" s="1" t="n">
        <v>45984</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2579-2022</t>
        </is>
      </c>
      <c r="B532" s="1" t="n">
        <v>44580</v>
      </c>
      <c r="C532" s="1" t="n">
        <v>45984</v>
      </c>
      <c r="D532" t="inlineStr">
        <is>
          <t>DALARNAS LÄN</t>
        </is>
      </c>
      <c r="E532" t="inlineStr">
        <is>
          <t>LEKSAND</t>
        </is>
      </c>
      <c r="G532" t="n">
        <v>0.3</v>
      </c>
      <c r="H532" t="n">
        <v>0</v>
      </c>
      <c r="I532" t="n">
        <v>0</v>
      </c>
      <c r="J532" t="n">
        <v>0</v>
      </c>
      <c r="K532" t="n">
        <v>0</v>
      </c>
      <c r="L532" t="n">
        <v>0</v>
      </c>
      <c r="M532" t="n">
        <v>0</v>
      </c>
      <c r="N532" t="n">
        <v>0</v>
      </c>
      <c r="O532" t="n">
        <v>0</v>
      </c>
      <c r="P532" t="n">
        <v>0</v>
      </c>
      <c r="Q532" t="n">
        <v>0</v>
      </c>
      <c r="R532" s="2" t="inlineStr"/>
    </row>
    <row r="533" ht="15" customHeight="1">
      <c r="A533" t="inlineStr">
        <is>
          <t>A 49395-2024</t>
        </is>
      </c>
      <c r="B533" s="1" t="n">
        <v>45595</v>
      </c>
      <c r="C533" s="1" t="n">
        <v>45984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33317-2023</t>
        </is>
      </c>
      <c r="B534" s="1" t="n">
        <v>45127.84586805556</v>
      </c>
      <c r="C534" s="1" t="n">
        <v>45984</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33318-2023</t>
        </is>
      </c>
      <c r="B535" s="1" t="n">
        <v>45127</v>
      </c>
      <c r="C535" s="1" t="n">
        <v>45984</v>
      </c>
      <c r="D535" t="inlineStr">
        <is>
          <t>DALARNAS LÄN</t>
        </is>
      </c>
      <c r="E535" t="inlineStr">
        <is>
          <t>LEKSAND</t>
        </is>
      </c>
      <c r="G535" t="n">
        <v>5.5</v>
      </c>
      <c r="H535" t="n">
        <v>0</v>
      </c>
      <c r="I535" t="n">
        <v>0</v>
      </c>
      <c r="J535" t="n">
        <v>0</v>
      </c>
      <c r="K535" t="n">
        <v>0</v>
      </c>
      <c r="L535" t="n">
        <v>0</v>
      </c>
      <c r="M535" t="n">
        <v>0</v>
      </c>
      <c r="N535" t="n">
        <v>0</v>
      </c>
      <c r="O535" t="n">
        <v>0</v>
      </c>
      <c r="P535" t="n">
        <v>0</v>
      </c>
      <c r="Q535" t="n">
        <v>0</v>
      </c>
      <c r="R535" s="2" t="inlineStr"/>
    </row>
    <row r="536" ht="15" customHeight="1">
      <c r="A536" t="inlineStr">
        <is>
          <t>A 40009-2024</t>
        </is>
      </c>
      <c r="B536" s="1" t="n">
        <v>45553.65361111111</v>
      </c>
      <c r="C536" s="1" t="n">
        <v>45984</v>
      </c>
      <c r="D536" t="inlineStr">
        <is>
          <t>DALARNAS LÄN</t>
        </is>
      </c>
      <c r="E536" t="inlineStr">
        <is>
          <t>LEKSAND</t>
        </is>
      </c>
      <c r="F536" t="inlineStr">
        <is>
          <t>Bergvik skog väst AB</t>
        </is>
      </c>
      <c r="G536" t="n">
        <v>3</v>
      </c>
      <c r="H536" t="n">
        <v>0</v>
      </c>
      <c r="I536" t="n">
        <v>0</v>
      </c>
      <c r="J536" t="n">
        <v>0</v>
      </c>
      <c r="K536" t="n">
        <v>0</v>
      </c>
      <c r="L536" t="n">
        <v>0</v>
      </c>
      <c r="M536" t="n">
        <v>0</v>
      </c>
      <c r="N536" t="n">
        <v>0</v>
      </c>
      <c r="O536" t="n">
        <v>0</v>
      </c>
      <c r="P536" t="n">
        <v>0</v>
      </c>
      <c r="Q536" t="n">
        <v>0</v>
      </c>
      <c r="R536" s="2" t="inlineStr"/>
    </row>
    <row r="537" ht="15" customHeight="1">
      <c r="A537" t="inlineStr">
        <is>
          <t>A 52572-2024</t>
        </is>
      </c>
      <c r="B537" s="1" t="n">
        <v>45609.66488425926</v>
      </c>
      <c r="C537" s="1" t="n">
        <v>45984</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12851-2023</t>
        </is>
      </c>
      <c r="B538" s="1" t="n">
        <v>45001.49347222222</v>
      </c>
      <c r="C538" s="1" t="n">
        <v>45984</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19295-2024</t>
        </is>
      </c>
      <c r="B539" s="1" t="n">
        <v>45428.69106481481</v>
      </c>
      <c r="C539" s="1" t="n">
        <v>45984</v>
      </c>
      <c r="D539" t="inlineStr">
        <is>
          <t>DALARNAS LÄN</t>
        </is>
      </c>
      <c r="E539" t="inlineStr">
        <is>
          <t>LEKSAND</t>
        </is>
      </c>
      <c r="G539" t="n">
        <v>1.6</v>
      </c>
      <c r="H539" t="n">
        <v>0</v>
      </c>
      <c r="I539" t="n">
        <v>0</v>
      </c>
      <c r="J539" t="n">
        <v>0</v>
      </c>
      <c r="K539" t="n">
        <v>0</v>
      </c>
      <c r="L539" t="n">
        <v>0</v>
      </c>
      <c r="M539" t="n">
        <v>0</v>
      </c>
      <c r="N539" t="n">
        <v>0</v>
      </c>
      <c r="O539" t="n">
        <v>0</v>
      </c>
      <c r="P539" t="n">
        <v>0</v>
      </c>
      <c r="Q539" t="n">
        <v>0</v>
      </c>
      <c r="R539" s="2" t="inlineStr"/>
    </row>
    <row r="540" ht="15" customHeight="1">
      <c r="A540" t="inlineStr">
        <is>
          <t>A 9781-2024</t>
        </is>
      </c>
      <c r="B540" s="1" t="n">
        <v>45362.66299768518</v>
      </c>
      <c r="C540" s="1" t="n">
        <v>45984</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63513-2023</t>
        </is>
      </c>
      <c r="B541" s="1" t="n">
        <v>45274</v>
      </c>
      <c r="C541" s="1" t="n">
        <v>45984</v>
      </c>
      <c r="D541" t="inlineStr">
        <is>
          <t>DALARNAS LÄN</t>
        </is>
      </c>
      <c r="E541" t="inlineStr">
        <is>
          <t>LEKSAND</t>
        </is>
      </c>
      <c r="G541" t="n">
        <v>2.3</v>
      </c>
      <c r="H541" t="n">
        <v>0</v>
      </c>
      <c r="I541" t="n">
        <v>0</v>
      </c>
      <c r="J541" t="n">
        <v>0</v>
      </c>
      <c r="K541" t="n">
        <v>0</v>
      </c>
      <c r="L541" t="n">
        <v>0</v>
      </c>
      <c r="M541" t="n">
        <v>0</v>
      </c>
      <c r="N541" t="n">
        <v>0</v>
      </c>
      <c r="O541" t="n">
        <v>0</v>
      </c>
      <c r="P541" t="n">
        <v>0</v>
      </c>
      <c r="Q541" t="n">
        <v>0</v>
      </c>
      <c r="R541" s="2" t="inlineStr"/>
    </row>
    <row r="542" ht="15" customHeight="1">
      <c r="A542" t="inlineStr">
        <is>
          <t>A 40230-2023</t>
        </is>
      </c>
      <c r="B542" s="1" t="n">
        <v>45169.46887731482</v>
      </c>
      <c r="C542" s="1" t="n">
        <v>45984</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39819-2024</t>
        </is>
      </c>
      <c r="B543" s="1" t="n">
        <v>45553.38774305556</v>
      </c>
      <c r="C543" s="1" t="n">
        <v>45984</v>
      </c>
      <c r="D543" t="inlineStr">
        <is>
          <t>DALARNAS LÄN</t>
        </is>
      </c>
      <c r="E543" t="inlineStr">
        <is>
          <t>LEKSAND</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52100-2024</t>
        </is>
      </c>
      <c r="B544" s="1" t="n">
        <v>45608.41634259259</v>
      </c>
      <c r="C544" s="1" t="n">
        <v>45984</v>
      </c>
      <c r="D544" t="inlineStr">
        <is>
          <t>DALARNAS LÄN</t>
        </is>
      </c>
      <c r="E544" t="inlineStr">
        <is>
          <t>LEKSAND</t>
        </is>
      </c>
      <c r="G544" t="n">
        <v>1.9</v>
      </c>
      <c r="H544" t="n">
        <v>0</v>
      </c>
      <c r="I544" t="n">
        <v>0</v>
      </c>
      <c r="J544" t="n">
        <v>0</v>
      </c>
      <c r="K544" t="n">
        <v>0</v>
      </c>
      <c r="L544" t="n">
        <v>0</v>
      </c>
      <c r="M544" t="n">
        <v>0</v>
      </c>
      <c r="N544" t="n">
        <v>0</v>
      </c>
      <c r="O544" t="n">
        <v>0</v>
      </c>
      <c r="P544" t="n">
        <v>0</v>
      </c>
      <c r="Q544" t="n">
        <v>0</v>
      </c>
      <c r="R544" s="2" t="inlineStr"/>
    </row>
    <row r="545" ht="15" customHeight="1">
      <c r="A545" t="inlineStr">
        <is>
          <t>A 4257-2022</t>
        </is>
      </c>
      <c r="B545" s="1" t="n">
        <v>44588</v>
      </c>
      <c r="C545" s="1" t="n">
        <v>45984</v>
      </c>
      <c r="D545" t="inlineStr">
        <is>
          <t>DALARNAS LÄN</t>
        </is>
      </c>
      <c r="E545" t="inlineStr">
        <is>
          <t>LEKSAND</t>
        </is>
      </c>
      <c r="G545" t="n">
        <v>6.8</v>
      </c>
      <c r="H545" t="n">
        <v>0</v>
      </c>
      <c r="I545" t="n">
        <v>0</v>
      </c>
      <c r="J545" t="n">
        <v>0</v>
      </c>
      <c r="K545" t="n">
        <v>0</v>
      </c>
      <c r="L545" t="n">
        <v>0</v>
      </c>
      <c r="M545" t="n">
        <v>0</v>
      </c>
      <c r="N545" t="n">
        <v>0</v>
      </c>
      <c r="O545" t="n">
        <v>0</v>
      </c>
      <c r="P545" t="n">
        <v>0</v>
      </c>
      <c r="Q545" t="n">
        <v>0</v>
      </c>
      <c r="R545" s="2" t="inlineStr"/>
    </row>
    <row r="546" ht="15" customHeight="1">
      <c r="A546" t="inlineStr">
        <is>
          <t>A 31726-2024</t>
        </is>
      </c>
      <c r="B546" s="1" t="n">
        <v>45509.33908564815</v>
      </c>
      <c r="C546" s="1" t="n">
        <v>45984</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55512-2024</t>
        </is>
      </c>
      <c r="B547" s="1" t="n">
        <v>45621</v>
      </c>
      <c r="C547" s="1" t="n">
        <v>45984</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52059-2024</t>
        </is>
      </c>
      <c r="B548" s="1" t="n">
        <v>45608.35609953704</v>
      </c>
      <c r="C548" s="1" t="n">
        <v>45984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12992-2022</t>
        </is>
      </c>
      <c r="B549" s="1" t="n">
        <v>44643</v>
      </c>
      <c r="C549" s="1" t="n">
        <v>45984</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45984</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24003-2024</t>
        </is>
      </c>
      <c r="B551" s="1" t="n">
        <v>45456.39003472222</v>
      </c>
      <c r="C551" s="1" t="n">
        <v>45984</v>
      </c>
      <c r="D551" t="inlineStr">
        <is>
          <t>DALARNAS LÄN</t>
        </is>
      </c>
      <c r="E551" t="inlineStr">
        <is>
          <t>LEKSAND</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40642-2023</t>
        </is>
      </c>
      <c r="B552" s="1" t="n">
        <v>45169</v>
      </c>
      <c r="C552" s="1" t="n">
        <v>45984</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47854-2023</t>
        </is>
      </c>
      <c r="B553" s="1" t="n">
        <v>45198</v>
      </c>
      <c r="C553" s="1" t="n">
        <v>45984</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39136-2023</t>
        </is>
      </c>
      <c r="B554" s="1" t="n">
        <v>45165</v>
      </c>
      <c r="C554" s="1" t="n">
        <v>45984</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44469-2024</t>
        </is>
      </c>
      <c r="B555" s="1" t="n">
        <v>45574</v>
      </c>
      <c r="C555" s="1" t="n">
        <v>45984</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45984</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46876-2023</t>
        </is>
      </c>
      <c r="B557" s="1" t="n">
        <v>45200</v>
      </c>
      <c r="C557" s="1" t="n">
        <v>45984</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9857-2025</t>
        </is>
      </c>
      <c r="B558" s="1" t="n">
        <v>45716.62609953704</v>
      </c>
      <c r="C558" s="1" t="n">
        <v>45984</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40181-2023</t>
        </is>
      </c>
      <c r="B559" s="1" t="n">
        <v>45169</v>
      </c>
      <c r="C559" s="1" t="n">
        <v>45984</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1267-2025</t>
        </is>
      </c>
      <c r="B560" s="1" t="n">
        <v>45667</v>
      </c>
      <c r="C560" s="1" t="n">
        <v>45984</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42230-2023</t>
        </is>
      </c>
      <c r="B561" s="1" t="n">
        <v>45180</v>
      </c>
      <c r="C561" s="1" t="n">
        <v>45984</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3183-2025</t>
        </is>
      </c>
      <c r="B562" s="1" t="n">
        <v>45679.40298611111</v>
      </c>
      <c r="C562" s="1" t="n">
        <v>45984</v>
      </c>
      <c r="D562" t="inlineStr">
        <is>
          <t>DALARNAS LÄN</t>
        </is>
      </c>
      <c r="E562" t="inlineStr">
        <is>
          <t>LEKSAND</t>
        </is>
      </c>
      <c r="G562" t="n">
        <v>1</v>
      </c>
      <c r="H562" t="n">
        <v>0</v>
      </c>
      <c r="I562" t="n">
        <v>0</v>
      </c>
      <c r="J562" t="n">
        <v>0</v>
      </c>
      <c r="K562" t="n">
        <v>0</v>
      </c>
      <c r="L562" t="n">
        <v>0</v>
      </c>
      <c r="M562" t="n">
        <v>0</v>
      </c>
      <c r="N562" t="n">
        <v>0</v>
      </c>
      <c r="O562" t="n">
        <v>0</v>
      </c>
      <c r="P562" t="n">
        <v>0</v>
      </c>
      <c r="Q562" t="n">
        <v>0</v>
      </c>
      <c r="R562" s="2" t="inlineStr"/>
    </row>
    <row r="563" ht="15" customHeight="1">
      <c r="A563" t="inlineStr">
        <is>
          <t>A 59751-2024</t>
        </is>
      </c>
      <c r="B563" s="1" t="n">
        <v>45638</v>
      </c>
      <c r="C563" s="1" t="n">
        <v>45984</v>
      </c>
      <c r="D563" t="inlineStr">
        <is>
          <t>DALARNAS LÄN</t>
        </is>
      </c>
      <c r="E563" t="inlineStr">
        <is>
          <t>LEKSAND</t>
        </is>
      </c>
      <c r="G563" t="n">
        <v>5.2</v>
      </c>
      <c r="H563" t="n">
        <v>0</v>
      </c>
      <c r="I563" t="n">
        <v>0</v>
      </c>
      <c r="J563" t="n">
        <v>0</v>
      </c>
      <c r="K563" t="n">
        <v>0</v>
      </c>
      <c r="L563" t="n">
        <v>0</v>
      </c>
      <c r="M563" t="n">
        <v>0</v>
      </c>
      <c r="N563" t="n">
        <v>0</v>
      </c>
      <c r="O563" t="n">
        <v>0</v>
      </c>
      <c r="P563" t="n">
        <v>0</v>
      </c>
      <c r="Q563" t="n">
        <v>0</v>
      </c>
      <c r="R563" s="2" t="inlineStr"/>
    </row>
    <row r="564" ht="15" customHeight="1">
      <c r="A564" t="inlineStr">
        <is>
          <t>A 54917-2024</t>
        </is>
      </c>
      <c r="B564" s="1" t="n">
        <v>45618.69581018519</v>
      </c>
      <c r="C564" s="1" t="n">
        <v>45984</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19700-2025</t>
        </is>
      </c>
      <c r="B565" s="1" t="n">
        <v>45771.32445601852</v>
      </c>
      <c r="C565" s="1" t="n">
        <v>45984</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45984</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776-2021</t>
        </is>
      </c>
      <c r="B567" s="1" t="n">
        <v>44203</v>
      </c>
      <c r="C567" s="1" t="n">
        <v>45984</v>
      </c>
      <c r="D567" t="inlineStr">
        <is>
          <t>DALARNAS LÄN</t>
        </is>
      </c>
      <c r="E567" t="inlineStr">
        <is>
          <t>LEKSAND</t>
        </is>
      </c>
      <c r="G567" t="n">
        <v>21</v>
      </c>
      <c r="H567" t="n">
        <v>0</v>
      </c>
      <c r="I567" t="n">
        <v>0</v>
      </c>
      <c r="J567" t="n">
        <v>0</v>
      </c>
      <c r="K567" t="n">
        <v>0</v>
      </c>
      <c r="L567" t="n">
        <v>0</v>
      </c>
      <c r="M567" t="n">
        <v>0</v>
      </c>
      <c r="N567" t="n">
        <v>0</v>
      </c>
      <c r="O567" t="n">
        <v>0</v>
      </c>
      <c r="P567" t="n">
        <v>0</v>
      </c>
      <c r="Q567" t="n">
        <v>0</v>
      </c>
      <c r="R567" s="2" t="inlineStr"/>
    </row>
    <row r="568" ht="15" customHeight="1">
      <c r="A568" t="inlineStr">
        <is>
          <t>A 57013-2023</t>
        </is>
      </c>
      <c r="B568" s="1" t="n">
        <v>45244</v>
      </c>
      <c r="C568" s="1" t="n">
        <v>45984</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45984</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18040-2024</t>
        </is>
      </c>
      <c r="B570" s="1" t="n">
        <v>45420.36664351852</v>
      </c>
      <c r="C570" s="1" t="n">
        <v>45984</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6778-2025</t>
        </is>
      </c>
      <c r="B571" s="1" t="n">
        <v>45700.64615740741</v>
      </c>
      <c r="C571" s="1" t="n">
        <v>45984</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43419-2024</t>
        </is>
      </c>
      <c r="B572" s="1" t="n">
        <v>45568</v>
      </c>
      <c r="C572" s="1" t="n">
        <v>45984</v>
      </c>
      <c r="D572" t="inlineStr">
        <is>
          <t>DALARNAS LÄN</t>
        </is>
      </c>
      <c r="E572" t="inlineStr">
        <is>
          <t>LEKSAND</t>
        </is>
      </c>
      <c r="G572" t="n">
        <v>0.4</v>
      </c>
      <c r="H572" t="n">
        <v>0</v>
      </c>
      <c r="I572" t="n">
        <v>0</v>
      </c>
      <c r="J572" t="n">
        <v>0</v>
      </c>
      <c r="K572" t="n">
        <v>0</v>
      </c>
      <c r="L572" t="n">
        <v>0</v>
      </c>
      <c r="M572" t="n">
        <v>0</v>
      </c>
      <c r="N572" t="n">
        <v>0</v>
      </c>
      <c r="O572" t="n">
        <v>0</v>
      </c>
      <c r="P572" t="n">
        <v>0</v>
      </c>
      <c r="Q572" t="n">
        <v>0</v>
      </c>
      <c r="R572" s="2" t="inlineStr"/>
    </row>
    <row r="573" ht="15" customHeight="1">
      <c r="A573" t="inlineStr">
        <is>
          <t>A 39595-2023</t>
        </is>
      </c>
      <c r="B573" s="1" t="n">
        <v>45167</v>
      </c>
      <c r="C573" s="1" t="n">
        <v>45984</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24481-2024</t>
        </is>
      </c>
      <c r="B574" s="1" t="n">
        <v>45459.36460648148</v>
      </c>
      <c r="C574" s="1" t="n">
        <v>45984</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17606-2024</t>
        </is>
      </c>
      <c r="B575" s="1" t="n">
        <v>45415</v>
      </c>
      <c r="C575" s="1" t="n">
        <v>45984</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34033-2024</t>
        </is>
      </c>
      <c r="B576" s="1" t="n">
        <v>45523.59265046296</v>
      </c>
      <c r="C576" s="1" t="n">
        <v>45984</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45984</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45984</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7894-2025</t>
        </is>
      </c>
      <c r="B579" s="1" t="n">
        <v>45707.30268518518</v>
      </c>
      <c r="C579" s="1" t="n">
        <v>45984</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58877-2023</t>
        </is>
      </c>
      <c r="B580" s="1" t="n">
        <v>45252</v>
      </c>
      <c r="C580" s="1" t="n">
        <v>45984</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17455-2022</t>
        </is>
      </c>
      <c r="B581" s="1" t="n">
        <v>44679.3775</v>
      </c>
      <c r="C581" s="1" t="n">
        <v>45984</v>
      </c>
      <c r="D581" t="inlineStr">
        <is>
          <t>DALARNAS LÄN</t>
        </is>
      </c>
      <c r="E581" t="inlineStr">
        <is>
          <t>LEKSAND</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60040-2023</t>
        </is>
      </c>
      <c r="B582" s="1" t="n">
        <v>45256</v>
      </c>
      <c r="C582" s="1" t="n">
        <v>45984</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33306-2023</t>
        </is>
      </c>
      <c r="B583" s="1" t="n">
        <v>45127</v>
      </c>
      <c r="C583" s="1" t="n">
        <v>45984</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33316-2023</t>
        </is>
      </c>
      <c r="B584" s="1" t="n">
        <v>45127</v>
      </c>
      <c r="C584" s="1" t="n">
        <v>45984</v>
      </c>
      <c r="D584" t="inlineStr">
        <is>
          <t>DALARNAS LÄN</t>
        </is>
      </c>
      <c r="E584" t="inlineStr">
        <is>
          <t>LEKSAND</t>
        </is>
      </c>
      <c r="G584" t="n">
        <v>8.9</v>
      </c>
      <c r="H584" t="n">
        <v>0</v>
      </c>
      <c r="I584" t="n">
        <v>0</v>
      </c>
      <c r="J584" t="n">
        <v>0</v>
      </c>
      <c r="K584" t="n">
        <v>0</v>
      </c>
      <c r="L584" t="n">
        <v>0</v>
      </c>
      <c r="M584" t="n">
        <v>0</v>
      </c>
      <c r="N584" t="n">
        <v>0</v>
      </c>
      <c r="O584" t="n">
        <v>0</v>
      </c>
      <c r="P584" t="n">
        <v>0</v>
      </c>
      <c r="Q584" t="n">
        <v>0</v>
      </c>
      <c r="R584" s="2" t="inlineStr"/>
    </row>
    <row r="585" ht="15" customHeight="1">
      <c r="A585" t="inlineStr">
        <is>
          <t>A 22681-2022</t>
        </is>
      </c>
      <c r="B585" s="1" t="n">
        <v>44714.50961805556</v>
      </c>
      <c r="C585" s="1" t="n">
        <v>45984</v>
      </c>
      <c r="D585" t="inlineStr">
        <is>
          <t>DALARNAS LÄN</t>
        </is>
      </c>
      <c r="E585" t="inlineStr">
        <is>
          <t>LEKSAND</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45984</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46446-2023</t>
        </is>
      </c>
      <c r="B587" s="1" t="n">
        <v>45197.59344907408</v>
      </c>
      <c r="C587" s="1" t="n">
        <v>45984</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54682-2023</t>
        </is>
      </c>
      <c r="B588" s="1" t="n">
        <v>45235.90439814814</v>
      </c>
      <c r="C588" s="1" t="n">
        <v>45984</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1463-2024</t>
        </is>
      </c>
      <c r="B589" s="1" t="n">
        <v>45303</v>
      </c>
      <c r="C589" s="1" t="n">
        <v>45984</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30000-2023</t>
        </is>
      </c>
      <c r="B590" s="1" t="n">
        <v>45109.71128472222</v>
      </c>
      <c r="C590" s="1" t="n">
        <v>45984</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17282-2025</t>
        </is>
      </c>
      <c r="B591" s="1" t="n">
        <v>45756.57114583333</v>
      </c>
      <c r="C591" s="1" t="n">
        <v>45984</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12923-2025</t>
        </is>
      </c>
      <c r="B592" s="1" t="n">
        <v>45734.29193287037</v>
      </c>
      <c r="C592" s="1" t="n">
        <v>45984</v>
      </c>
      <c r="D592" t="inlineStr">
        <is>
          <t>DALARNAS LÄN</t>
        </is>
      </c>
      <c r="E592" t="inlineStr">
        <is>
          <t>LEKSAND</t>
        </is>
      </c>
      <c r="G592" t="n">
        <v>7.2</v>
      </c>
      <c r="H592" t="n">
        <v>0</v>
      </c>
      <c r="I592" t="n">
        <v>0</v>
      </c>
      <c r="J592" t="n">
        <v>0</v>
      </c>
      <c r="K592" t="n">
        <v>0</v>
      </c>
      <c r="L592" t="n">
        <v>0</v>
      </c>
      <c r="M592" t="n">
        <v>0</v>
      </c>
      <c r="N592" t="n">
        <v>0</v>
      </c>
      <c r="O592" t="n">
        <v>0</v>
      </c>
      <c r="P592" t="n">
        <v>0</v>
      </c>
      <c r="Q592" t="n">
        <v>0</v>
      </c>
      <c r="R592" s="2" t="inlineStr"/>
    </row>
    <row r="593" ht="15" customHeight="1">
      <c r="A593" t="inlineStr">
        <is>
          <t>A 2820-2024</t>
        </is>
      </c>
      <c r="B593" s="1" t="n">
        <v>45314.76287037037</v>
      </c>
      <c r="C593" s="1" t="n">
        <v>45984</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2822-2024</t>
        </is>
      </c>
      <c r="B594" s="1" t="n">
        <v>45314.76622685185</v>
      </c>
      <c r="C594" s="1" t="n">
        <v>45984</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51320-2023</t>
        </is>
      </c>
      <c r="B595" s="1" t="n">
        <v>45219.57456018519</v>
      </c>
      <c r="C595" s="1" t="n">
        <v>45984</v>
      </c>
      <c r="D595" t="inlineStr">
        <is>
          <t>DALARNAS LÄN</t>
        </is>
      </c>
      <c r="E595" t="inlineStr">
        <is>
          <t>LEKSAND</t>
        </is>
      </c>
      <c r="G595" t="n">
        <v>2.1</v>
      </c>
      <c r="H595" t="n">
        <v>0</v>
      </c>
      <c r="I595" t="n">
        <v>0</v>
      </c>
      <c r="J595" t="n">
        <v>0</v>
      </c>
      <c r="K595" t="n">
        <v>0</v>
      </c>
      <c r="L595" t="n">
        <v>0</v>
      </c>
      <c r="M595" t="n">
        <v>0</v>
      </c>
      <c r="N595" t="n">
        <v>0</v>
      </c>
      <c r="O595" t="n">
        <v>0</v>
      </c>
      <c r="P595" t="n">
        <v>0</v>
      </c>
      <c r="Q595" t="n">
        <v>0</v>
      </c>
      <c r="R595" s="2" t="inlineStr"/>
    </row>
    <row r="596" ht="15" customHeight="1">
      <c r="A596" t="inlineStr">
        <is>
          <t>A 12621-2025</t>
        </is>
      </c>
      <c r="B596" s="1" t="n">
        <v>45733.3575</v>
      </c>
      <c r="C596" s="1" t="n">
        <v>45984</v>
      </c>
      <c r="D596" t="inlineStr">
        <is>
          <t>DALARNAS LÄN</t>
        </is>
      </c>
      <c r="E596" t="inlineStr">
        <is>
          <t>LEKSAND</t>
        </is>
      </c>
      <c r="F596" t="inlineStr">
        <is>
          <t>Bergvik skog väst AB</t>
        </is>
      </c>
      <c r="G596" t="n">
        <v>1.2</v>
      </c>
      <c r="H596" t="n">
        <v>0</v>
      </c>
      <c r="I596" t="n">
        <v>0</v>
      </c>
      <c r="J596" t="n">
        <v>0</v>
      </c>
      <c r="K596" t="n">
        <v>0</v>
      </c>
      <c r="L596" t="n">
        <v>0</v>
      </c>
      <c r="M596" t="n">
        <v>0</v>
      </c>
      <c r="N596" t="n">
        <v>0</v>
      </c>
      <c r="O596" t="n">
        <v>0</v>
      </c>
      <c r="P596" t="n">
        <v>0</v>
      </c>
      <c r="Q596" t="n">
        <v>0</v>
      </c>
      <c r="R596" s="2" t="inlineStr"/>
    </row>
    <row r="597" ht="15" customHeight="1">
      <c r="A597" t="inlineStr">
        <is>
          <t>A 51377-2023</t>
        </is>
      </c>
      <c r="B597" s="1" t="n">
        <v>45219</v>
      </c>
      <c r="C597" s="1" t="n">
        <v>45984</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59859-2023</t>
        </is>
      </c>
      <c r="B598" s="1" t="n">
        <v>45257</v>
      </c>
      <c r="C598" s="1" t="n">
        <v>45984</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19330-2025</t>
        </is>
      </c>
      <c r="B599" s="1" t="n">
        <v>45769</v>
      </c>
      <c r="C599" s="1" t="n">
        <v>45984</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45943-2022</t>
        </is>
      </c>
      <c r="B600" s="1" t="n">
        <v>44846.64418981481</v>
      </c>
      <c r="C600" s="1" t="n">
        <v>45984</v>
      </c>
      <c r="D600" t="inlineStr">
        <is>
          <t>DALARNAS LÄN</t>
        </is>
      </c>
      <c r="E600" t="inlineStr">
        <is>
          <t>LEKSAND</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60878-2023</t>
        </is>
      </c>
      <c r="B601" s="1" t="n">
        <v>45259</v>
      </c>
      <c r="C601" s="1" t="n">
        <v>45984</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61502-2023</t>
        </is>
      </c>
      <c r="B602" s="1" t="n">
        <v>45264</v>
      </c>
      <c r="C602" s="1" t="n">
        <v>45984</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28965-2023</t>
        </is>
      </c>
      <c r="B603" s="1" t="n">
        <v>45104</v>
      </c>
      <c r="C603" s="1" t="n">
        <v>45984</v>
      </c>
      <c r="D603" t="inlineStr">
        <is>
          <t>DALARNAS LÄN</t>
        </is>
      </c>
      <c r="E603" t="inlineStr">
        <is>
          <t>LEKSAND</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1719-2024</t>
        </is>
      </c>
      <c r="B604" s="1" t="n">
        <v>45307</v>
      </c>
      <c r="C604" s="1" t="n">
        <v>45984</v>
      </c>
      <c r="D604" t="inlineStr">
        <is>
          <t>DALARNAS LÄN</t>
        </is>
      </c>
      <c r="E604" t="inlineStr">
        <is>
          <t>LEKSAND</t>
        </is>
      </c>
      <c r="G604" t="n">
        <v>2.8</v>
      </c>
      <c r="H604" t="n">
        <v>0</v>
      </c>
      <c r="I604" t="n">
        <v>0</v>
      </c>
      <c r="J604" t="n">
        <v>0</v>
      </c>
      <c r="K604" t="n">
        <v>0</v>
      </c>
      <c r="L604" t="n">
        <v>0</v>
      </c>
      <c r="M604" t="n">
        <v>0</v>
      </c>
      <c r="N604" t="n">
        <v>0</v>
      </c>
      <c r="O604" t="n">
        <v>0</v>
      </c>
      <c r="P604" t="n">
        <v>0</v>
      </c>
      <c r="Q604" t="n">
        <v>0</v>
      </c>
      <c r="R604" s="2" t="inlineStr"/>
    </row>
    <row r="605" ht="15" customHeight="1">
      <c r="A605" t="inlineStr">
        <is>
          <t>A 16744-2025</t>
        </is>
      </c>
      <c r="B605" s="1" t="n">
        <v>45754</v>
      </c>
      <c r="C605" s="1" t="n">
        <v>45984</v>
      </c>
      <c r="D605" t="inlineStr">
        <is>
          <t>DALARNAS LÄN</t>
        </is>
      </c>
      <c r="E605" t="inlineStr">
        <is>
          <t>LEKSAND</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22349-2024</t>
        </is>
      </c>
      <c r="B606" s="1" t="n">
        <v>45446</v>
      </c>
      <c r="C606" s="1" t="n">
        <v>45984</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11617-2024</t>
        </is>
      </c>
      <c r="B607" s="1" t="n">
        <v>45373.42898148148</v>
      </c>
      <c r="C607" s="1" t="n">
        <v>45984</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61953-2023</t>
        </is>
      </c>
      <c r="B608" s="1" t="n">
        <v>45266</v>
      </c>
      <c r="C608" s="1" t="n">
        <v>45984</v>
      </c>
      <c r="D608" t="inlineStr">
        <is>
          <t>DALARNAS LÄN</t>
        </is>
      </c>
      <c r="E608" t="inlineStr">
        <is>
          <t>LEKSAND</t>
        </is>
      </c>
      <c r="G608" t="n">
        <v>0.1</v>
      </c>
      <c r="H608" t="n">
        <v>0</v>
      </c>
      <c r="I608" t="n">
        <v>0</v>
      </c>
      <c r="J608" t="n">
        <v>0</v>
      </c>
      <c r="K608" t="n">
        <v>0</v>
      </c>
      <c r="L608" t="n">
        <v>0</v>
      </c>
      <c r="M608" t="n">
        <v>0</v>
      </c>
      <c r="N608" t="n">
        <v>0</v>
      </c>
      <c r="O608" t="n">
        <v>0</v>
      </c>
      <c r="P608" t="n">
        <v>0</v>
      </c>
      <c r="Q608" t="n">
        <v>0</v>
      </c>
      <c r="R608" s="2" t="inlineStr"/>
    </row>
    <row r="609" ht="15" customHeight="1">
      <c r="A609" t="inlineStr">
        <is>
          <t>A 58619-2022</t>
        </is>
      </c>
      <c r="B609" s="1" t="n">
        <v>44902.59579861111</v>
      </c>
      <c r="C609" s="1" t="n">
        <v>45984</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20946-2023</t>
        </is>
      </c>
      <c r="B610" s="1" t="n">
        <v>45061</v>
      </c>
      <c r="C610" s="1" t="n">
        <v>45984</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61225-2023</t>
        </is>
      </c>
      <c r="B611" s="1" t="n">
        <v>45264</v>
      </c>
      <c r="C611" s="1" t="n">
        <v>45984</v>
      </c>
      <c r="D611" t="inlineStr">
        <is>
          <t>DALARNAS LÄN</t>
        </is>
      </c>
      <c r="E611" t="inlineStr">
        <is>
          <t>LEKSAND</t>
        </is>
      </c>
      <c r="G611" t="n">
        <v>7</v>
      </c>
      <c r="H611" t="n">
        <v>0</v>
      </c>
      <c r="I611" t="n">
        <v>0</v>
      </c>
      <c r="J611" t="n">
        <v>0</v>
      </c>
      <c r="K611" t="n">
        <v>0</v>
      </c>
      <c r="L611" t="n">
        <v>0</v>
      </c>
      <c r="M611" t="n">
        <v>0</v>
      </c>
      <c r="N611" t="n">
        <v>0</v>
      </c>
      <c r="O611" t="n">
        <v>0</v>
      </c>
      <c r="P611" t="n">
        <v>0</v>
      </c>
      <c r="Q611" t="n">
        <v>0</v>
      </c>
      <c r="R611" s="2" t="inlineStr"/>
    </row>
    <row r="612" ht="15" customHeight="1">
      <c r="A612" t="inlineStr">
        <is>
          <t>A 61252-2023</t>
        </is>
      </c>
      <c r="B612" s="1" t="n">
        <v>45261</v>
      </c>
      <c r="C612" s="1" t="n">
        <v>45984</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14617-2024</t>
        </is>
      </c>
      <c r="B613" s="1" t="n">
        <v>45397</v>
      </c>
      <c r="C613" s="1" t="n">
        <v>45984</v>
      </c>
      <c r="D613" t="inlineStr">
        <is>
          <t>DALARNAS LÄN</t>
        </is>
      </c>
      <c r="E613" t="inlineStr">
        <is>
          <t>LEKSAND</t>
        </is>
      </c>
      <c r="G613" t="n">
        <v>0.2</v>
      </c>
      <c r="H613" t="n">
        <v>0</v>
      </c>
      <c r="I613" t="n">
        <v>0</v>
      </c>
      <c r="J613" t="n">
        <v>0</v>
      </c>
      <c r="K613" t="n">
        <v>0</v>
      </c>
      <c r="L613" t="n">
        <v>0</v>
      </c>
      <c r="M613" t="n">
        <v>0</v>
      </c>
      <c r="N613" t="n">
        <v>0</v>
      </c>
      <c r="O613" t="n">
        <v>0</v>
      </c>
      <c r="P613" t="n">
        <v>0</v>
      </c>
      <c r="Q613" t="n">
        <v>0</v>
      </c>
      <c r="R613" s="2" t="inlineStr"/>
    </row>
    <row r="614" ht="15" customHeight="1">
      <c r="A614" t="inlineStr">
        <is>
          <t>A 46141-2022</t>
        </is>
      </c>
      <c r="B614" s="1" t="n">
        <v>44846</v>
      </c>
      <c r="C614" s="1" t="n">
        <v>45984</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62993-2023</t>
        </is>
      </c>
      <c r="B615" s="1" t="n">
        <v>45272</v>
      </c>
      <c r="C615" s="1" t="n">
        <v>45984</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61933-2023</t>
        </is>
      </c>
      <c r="B616" s="1" t="n">
        <v>45266</v>
      </c>
      <c r="C616" s="1" t="n">
        <v>45984</v>
      </c>
      <c r="D616" t="inlineStr">
        <is>
          <t>DALARNAS LÄN</t>
        </is>
      </c>
      <c r="E616" t="inlineStr">
        <is>
          <t>LEKSAND</t>
        </is>
      </c>
      <c r="G616" t="n">
        <v>0.2</v>
      </c>
      <c r="H616" t="n">
        <v>0</v>
      </c>
      <c r="I616" t="n">
        <v>0</v>
      </c>
      <c r="J616" t="n">
        <v>0</v>
      </c>
      <c r="K616" t="n">
        <v>0</v>
      </c>
      <c r="L616" t="n">
        <v>0</v>
      </c>
      <c r="M616" t="n">
        <v>0</v>
      </c>
      <c r="N616" t="n">
        <v>0</v>
      </c>
      <c r="O616" t="n">
        <v>0</v>
      </c>
      <c r="P616" t="n">
        <v>0</v>
      </c>
      <c r="Q616" t="n">
        <v>0</v>
      </c>
      <c r="R616" s="2" t="inlineStr"/>
    </row>
    <row r="617" ht="15" customHeight="1">
      <c r="A617" t="inlineStr">
        <is>
          <t>A 33198-2022</t>
        </is>
      </c>
      <c r="B617" s="1" t="n">
        <v>44785.68597222222</v>
      </c>
      <c r="C617" s="1" t="n">
        <v>45984</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15619-2025</t>
        </is>
      </c>
      <c r="B618" s="1" t="n">
        <v>45747</v>
      </c>
      <c r="C618" s="1" t="n">
        <v>45984</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46931-2023</t>
        </is>
      </c>
      <c r="B619" s="1" t="n">
        <v>45201</v>
      </c>
      <c r="C619" s="1" t="n">
        <v>45984</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17483-2025</t>
        </is>
      </c>
      <c r="B620" s="1" t="n">
        <v>45757.49408564815</v>
      </c>
      <c r="C620" s="1" t="n">
        <v>45984</v>
      </c>
      <c r="D620" t="inlineStr">
        <is>
          <t>DALARNAS LÄN</t>
        </is>
      </c>
      <c r="E620" t="inlineStr">
        <is>
          <t>LEKSAND</t>
        </is>
      </c>
      <c r="G620" t="n">
        <v>4.1</v>
      </c>
      <c r="H620" t="n">
        <v>0</v>
      </c>
      <c r="I620" t="n">
        <v>0</v>
      </c>
      <c r="J620" t="n">
        <v>0</v>
      </c>
      <c r="K620" t="n">
        <v>0</v>
      </c>
      <c r="L620" t="n">
        <v>0</v>
      </c>
      <c r="M620" t="n">
        <v>0</v>
      </c>
      <c r="N620" t="n">
        <v>0</v>
      </c>
      <c r="O620" t="n">
        <v>0</v>
      </c>
      <c r="P620" t="n">
        <v>0</v>
      </c>
      <c r="Q620" t="n">
        <v>0</v>
      </c>
      <c r="R620" s="2" t="inlineStr"/>
    </row>
    <row r="621" ht="15" customHeight="1">
      <c r="A621" t="inlineStr">
        <is>
          <t>A 17759-2023</t>
        </is>
      </c>
      <c r="B621" s="1" t="n">
        <v>45037.48765046296</v>
      </c>
      <c r="C621" s="1" t="n">
        <v>45984</v>
      </c>
      <c r="D621" t="inlineStr">
        <is>
          <t>DALARNAS LÄN</t>
        </is>
      </c>
      <c r="E621" t="inlineStr">
        <is>
          <t>LEKSAND</t>
        </is>
      </c>
      <c r="G621" t="n">
        <v>2.1</v>
      </c>
      <c r="H621" t="n">
        <v>0</v>
      </c>
      <c r="I621" t="n">
        <v>0</v>
      </c>
      <c r="J621" t="n">
        <v>0</v>
      </c>
      <c r="K621" t="n">
        <v>0</v>
      </c>
      <c r="L621" t="n">
        <v>0</v>
      </c>
      <c r="M621" t="n">
        <v>0</v>
      </c>
      <c r="N621" t="n">
        <v>0</v>
      </c>
      <c r="O621" t="n">
        <v>0</v>
      </c>
      <c r="P621" t="n">
        <v>0</v>
      </c>
      <c r="Q621" t="n">
        <v>0</v>
      </c>
      <c r="R621" s="2" t="inlineStr"/>
    </row>
    <row r="622" ht="15" customHeight="1">
      <c r="A622" t="inlineStr">
        <is>
          <t>A 43220-2024</t>
        </is>
      </c>
      <c r="B622" s="1" t="n">
        <v>45567.86112268519</v>
      </c>
      <c r="C622" s="1" t="n">
        <v>45984</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55015-2024</t>
        </is>
      </c>
      <c r="B623" s="1" t="n">
        <v>45621.35554398148</v>
      </c>
      <c r="C623" s="1" t="n">
        <v>45984</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34039-2024</t>
        </is>
      </c>
      <c r="B624" s="1" t="n">
        <v>45523.5974537037</v>
      </c>
      <c r="C624" s="1" t="n">
        <v>45984</v>
      </c>
      <c r="D624" t="inlineStr">
        <is>
          <t>DALARNAS LÄN</t>
        </is>
      </c>
      <c r="E624" t="inlineStr">
        <is>
          <t>LEKSAND</t>
        </is>
      </c>
      <c r="G624" t="n">
        <v>7.1</v>
      </c>
      <c r="H624" t="n">
        <v>0</v>
      </c>
      <c r="I624" t="n">
        <v>0</v>
      </c>
      <c r="J624" t="n">
        <v>0</v>
      </c>
      <c r="K624" t="n">
        <v>0</v>
      </c>
      <c r="L624" t="n">
        <v>0</v>
      </c>
      <c r="M624" t="n">
        <v>0</v>
      </c>
      <c r="N624" t="n">
        <v>0</v>
      </c>
      <c r="O624" t="n">
        <v>0</v>
      </c>
      <c r="P624" t="n">
        <v>0</v>
      </c>
      <c r="Q624" t="n">
        <v>0</v>
      </c>
      <c r="R624" s="2" t="inlineStr"/>
    </row>
    <row r="625" ht="15" customHeight="1">
      <c r="A625" t="inlineStr">
        <is>
          <t>A 46505-2023</t>
        </is>
      </c>
      <c r="B625" s="1" t="n">
        <v>45197</v>
      </c>
      <c r="C625" s="1" t="n">
        <v>45984</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481-2024</t>
        </is>
      </c>
      <c r="B626" s="1" t="n">
        <v>45298</v>
      </c>
      <c r="C626" s="1" t="n">
        <v>45984</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50278-2023</t>
        </is>
      </c>
      <c r="B627" s="1" t="n">
        <v>45216.43444444444</v>
      </c>
      <c r="C627" s="1" t="n">
        <v>45984</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16197-2024</t>
        </is>
      </c>
      <c r="B628" s="1" t="n">
        <v>45406.70356481482</v>
      </c>
      <c r="C628" s="1" t="n">
        <v>45984</v>
      </c>
      <c r="D628" t="inlineStr">
        <is>
          <t>DALARNAS LÄN</t>
        </is>
      </c>
      <c r="E628" t="inlineStr">
        <is>
          <t>LEKSAND</t>
        </is>
      </c>
      <c r="G628" t="n">
        <v>2.4</v>
      </c>
      <c r="H628" t="n">
        <v>0</v>
      </c>
      <c r="I628" t="n">
        <v>0</v>
      </c>
      <c r="J628" t="n">
        <v>0</v>
      </c>
      <c r="K628" t="n">
        <v>0</v>
      </c>
      <c r="L628" t="n">
        <v>0</v>
      </c>
      <c r="M628" t="n">
        <v>0</v>
      </c>
      <c r="N628" t="n">
        <v>0</v>
      </c>
      <c r="O628" t="n">
        <v>0</v>
      </c>
      <c r="P628" t="n">
        <v>0</v>
      </c>
      <c r="Q628" t="n">
        <v>0</v>
      </c>
      <c r="R628" s="2" t="inlineStr"/>
    </row>
    <row r="629" ht="15" customHeight="1">
      <c r="A629" t="inlineStr">
        <is>
          <t>A 5453-2025</t>
        </is>
      </c>
      <c r="B629" s="1" t="n">
        <v>45692.95231481481</v>
      </c>
      <c r="C629" s="1" t="n">
        <v>45984</v>
      </c>
      <c r="D629" t="inlineStr">
        <is>
          <t>DALARNAS LÄN</t>
        </is>
      </c>
      <c r="E629" t="inlineStr">
        <is>
          <t>LEKSAND</t>
        </is>
      </c>
      <c r="G629" t="n">
        <v>2.2</v>
      </c>
      <c r="H629" t="n">
        <v>0</v>
      </c>
      <c r="I629" t="n">
        <v>0</v>
      </c>
      <c r="J629" t="n">
        <v>0</v>
      </c>
      <c r="K629" t="n">
        <v>0</v>
      </c>
      <c r="L629" t="n">
        <v>0</v>
      </c>
      <c r="M629" t="n">
        <v>0</v>
      </c>
      <c r="N629" t="n">
        <v>0</v>
      </c>
      <c r="O629" t="n">
        <v>0</v>
      </c>
      <c r="P629" t="n">
        <v>0</v>
      </c>
      <c r="Q629" t="n">
        <v>0</v>
      </c>
      <c r="R629" s="2" t="inlineStr"/>
    </row>
    <row r="630" ht="15" customHeight="1">
      <c r="A630" t="inlineStr">
        <is>
          <t>A 57925-2024</t>
        </is>
      </c>
      <c r="B630" s="1" t="n">
        <v>45630</v>
      </c>
      <c r="C630" s="1" t="n">
        <v>45984</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27445-2024</t>
        </is>
      </c>
      <c r="B631" s="1" t="n">
        <v>45474.42474537037</v>
      </c>
      <c r="C631" s="1" t="n">
        <v>45984</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27446-2024</t>
        </is>
      </c>
      <c r="B632" s="1" t="n">
        <v>45474.42671296297</v>
      </c>
      <c r="C632" s="1" t="n">
        <v>45984</v>
      </c>
      <c r="D632" t="inlineStr">
        <is>
          <t>DALARNAS LÄN</t>
        </is>
      </c>
      <c r="E632" t="inlineStr">
        <is>
          <t>LEKSAND</t>
        </is>
      </c>
      <c r="G632" t="n">
        <v>2.9</v>
      </c>
      <c r="H632" t="n">
        <v>0</v>
      </c>
      <c r="I632" t="n">
        <v>0</v>
      </c>
      <c r="J632" t="n">
        <v>0</v>
      </c>
      <c r="K632" t="n">
        <v>0</v>
      </c>
      <c r="L632" t="n">
        <v>0</v>
      </c>
      <c r="M632" t="n">
        <v>0</v>
      </c>
      <c r="N632" t="n">
        <v>0</v>
      </c>
      <c r="O632" t="n">
        <v>0</v>
      </c>
      <c r="P632" t="n">
        <v>0</v>
      </c>
      <c r="Q632" t="n">
        <v>0</v>
      </c>
      <c r="R632" s="2" t="inlineStr"/>
    </row>
    <row r="633" ht="15" customHeight="1">
      <c r="A633" t="inlineStr">
        <is>
          <t>A 18837-2023</t>
        </is>
      </c>
      <c r="B633" s="1" t="n">
        <v>45044.42940972222</v>
      </c>
      <c r="C633" s="1" t="n">
        <v>45984</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17730-2024</t>
        </is>
      </c>
      <c r="B634" s="1" t="n">
        <v>45418</v>
      </c>
      <c r="C634" s="1" t="n">
        <v>45984</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64933-2023</t>
        </is>
      </c>
      <c r="B635" s="1" t="n">
        <v>45282</v>
      </c>
      <c r="C635" s="1" t="n">
        <v>45984</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39620-2024</t>
        </is>
      </c>
      <c r="B636" s="1" t="n">
        <v>45552.43163194445</v>
      </c>
      <c r="C636" s="1" t="n">
        <v>45984</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57907-2024</t>
        </is>
      </c>
      <c r="B637" s="1" t="n">
        <v>45630</v>
      </c>
      <c r="C637" s="1" t="n">
        <v>45984</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59236-2024</t>
        </is>
      </c>
      <c r="B638" s="1" t="n">
        <v>45637.58795138889</v>
      </c>
      <c r="C638" s="1" t="n">
        <v>45984</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34038-2024</t>
        </is>
      </c>
      <c r="B639" s="1" t="n">
        <v>45523.59578703704</v>
      </c>
      <c r="C639" s="1" t="n">
        <v>45984</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34041-2024</t>
        </is>
      </c>
      <c r="B640" s="1" t="n">
        <v>45523.59895833334</v>
      </c>
      <c r="C640" s="1" t="n">
        <v>45984</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10833-2023</t>
        </is>
      </c>
      <c r="B641" s="1" t="n">
        <v>44990</v>
      </c>
      <c r="C641" s="1" t="n">
        <v>45984</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17233-2023</t>
        </is>
      </c>
      <c r="B642" s="1" t="n">
        <v>45035</v>
      </c>
      <c r="C642" s="1" t="n">
        <v>45984</v>
      </c>
      <c r="D642" t="inlineStr">
        <is>
          <t>DALARNAS LÄN</t>
        </is>
      </c>
      <c r="E642" t="inlineStr">
        <is>
          <t>LEKSAND</t>
        </is>
      </c>
      <c r="G642" t="n">
        <v>1.6</v>
      </c>
      <c r="H642" t="n">
        <v>0</v>
      </c>
      <c r="I642" t="n">
        <v>0</v>
      </c>
      <c r="J642" t="n">
        <v>0</v>
      </c>
      <c r="K642" t="n">
        <v>0</v>
      </c>
      <c r="L642" t="n">
        <v>0</v>
      </c>
      <c r="M642" t="n">
        <v>0</v>
      </c>
      <c r="N642" t="n">
        <v>0</v>
      </c>
      <c r="O642" t="n">
        <v>0</v>
      </c>
      <c r="P642" t="n">
        <v>0</v>
      </c>
      <c r="Q642" t="n">
        <v>0</v>
      </c>
      <c r="R642" s="2" t="inlineStr"/>
    </row>
    <row r="643" ht="15" customHeight="1">
      <c r="A643" t="inlineStr">
        <is>
          <t>A 16231-2021</t>
        </is>
      </c>
      <c r="B643" s="1" t="n">
        <v>44292</v>
      </c>
      <c r="C643" s="1" t="n">
        <v>45984</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12857-2023</t>
        </is>
      </c>
      <c r="B644" s="1" t="n">
        <v>45001.5000462963</v>
      </c>
      <c r="C644" s="1" t="n">
        <v>45984</v>
      </c>
      <c r="D644" t="inlineStr">
        <is>
          <t>DALARNAS LÄN</t>
        </is>
      </c>
      <c r="E644" t="inlineStr">
        <is>
          <t>LEKSAND</t>
        </is>
      </c>
      <c r="G644" t="n">
        <v>0.2</v>
      </c>
      <c r="H644" t="n">
        <v>0</v>
      </c>
      <c r="I644" t="n">
        <v>0</v>
      </c>
      <c r="J644" t="n">
        <v>0</v>
      </c>
      <c r="K644" t="n">
        <v>0</v>
      </c>
      <c r="L644" t="n">
        <v>0</v>
      </c>
      <c r="M644" t="n">
        <v>0</v>
      </c>
      <c r="N644" t="n">
        <v>0</v>
      </c>
      <c r="O644" t="n">
        <v>0</v>
      </c>
      <c r="P644" t="n">
        <v>0</v>
      </c>
      <c r="Q644" t="n">
        <v>0</v>
      </c>
      <c r="R644" s="2" t="inlineStr"/>
    </row>
    <row r="645" ht="15" customHeight="1">
      <c r="A645" t="inlineStr">
        <is>
          <t>A 28674-2024</t>
        </is>
      </c>
      <c r="B645" s="1" t="n">
        <v>45478.47863425926</v>
      </c>
      <c r="C645" s="1" t="n">
        <v>45984</v>
      </c>
      <c r="D645" t="inlineStr">
        <is>
          <t>DALARNAS LÄN</t>
        </is>
      </c>
      <c r="E645" t="inlineStr">
        <is>
          <t>LEKSAND</t>
        </is>
      </c>
      <c r="G645" t="n">
        <v>4.9</v>
      </c>
      <c r="H645" t="n">
        <v>0</v>
      </c>
      <c r="I645" t="n">
        <v>0</v>
      </c>
      <c r="J645" t="n">
        <v>0</v>
      </c>
      <c r="K645" t="n">
        <v>0</v>
      </c>
      <c r="L645" t="n">
        <v>0</v>
      </c>
      <c r="M645" t="n">
        <v>0</v>
      </c>
      <c r="N645" t="n">
        <v>0</v>
      </c>
      <c r="O645" t="n">
        <v>0</v>
      </c>
      <c r="P645" t="n">
        <v>0</v>
      </c>
      <c r="Q645" t="n">
        <v>0</v>
      </c>
      <c r="R645" s="2" t="inlineStr"/>
    </row>
    <row r="646" ht="15" customHeight="1">
      <c r="A646" t="inlineStr">
        <is>
          <t>A 19622-2024</t>
        </is>
      </c>
      <c r="B646" s="1" t="n">
        <v>45432.33592592592</v>
      </c>
      <c r="C646" s="1" t="n">
        <v>45984</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27317-2021</t>
        </is>
      </c>
      <c r="B647" s="1" t="n">
        <v>44351</v>
      </c>
      <c r="C647" s="1" t="n">
        <v>45984</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61055-2023</t>
        </is>
      </c>
      <c r="B648" s="1" t="n">
        <v>45261</v>
      </c>
      <c r="C648" s="1" t="n">
        <v>45984</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10743-2024</t>
        </is>
      </c>
      <c r="B649" s="1" t="n">
        <v>45369.52167824074</v>
      </c>
      <c r="C649" s="1" t="n">
        <v>45984</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10367-2023</t>
        </is>
      </c>
      <c r="B650" s="1" t="n">
        <v>44987</v>
      </c>
      <c r="C650" s="1" t="n">
        <v>45984</v>
      </c>
      <c r="D650" t="inlineStr">
        <is>
          <t>DALARNAS LÄN</t>
        </is>
      </c>
      <c r="E650" t="inlineStr">
        <is>
          <t>LEKSAND</t>
        </is>
      </c>
      <c r="G650" t="n">
        <v>0.7</v>
      </c>
      <c r="H650" t="n">
        <v>0</v>
      </c>
      <c r="I650" t="n">
        <v>0</v>
      </c>
      <c r="J650" t="n">
        <v>0</v>
      </c>
      <c r="K650" t="n">
        <v>0</v>
      </c>
      <c r="L650" t="n">
        <v>0</v>
      </c>
      <c r="M650" t="n">
        <v>0</v>
      </c>
      <c r="N650" t="n">
        <v>0</v>
      </c>
      <c r="O650" t="n">
        <v>0</v>
      </c>
      <c r="P650" t="n">
        <v>0</v>
      </c>
      <c r="Q650" t="n">
        <v>0</v>
      </c>
      <c r="R650" s="2" t="inlineStr"/>
    </row>
    <row r="651" ht="15" customHeight="1">
      <c r="A651" t="inlineStr">
        <is>
          <t>A 1946-2024</t>
        </is>
      </c>
      <c r="B651" s="1" t="n">
        <v>45308</v>
      </c>
      <c r="C651" s="1" t="n">
        <v>45984</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59763-2023</t>
        </is>
      </c>
      <c r="B652" s="1" t="n">
        <v>45257</v>
      </c>
      <c r="C652" s="1" t="n">
        <v>45984</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17533-2023</t>
        </is>
      </c>
      <c r="B653" s="1" t="n">
        <v>45036</v>
      </c>
      <c r="C653" s="1" t="n">
        <v>45984</v>
      </c>
      <c r="D653" t="inlineStr">
        <is>
          <t>DALARNAS LÄN</t>
        </is>
      </c>
      <c r="E653" t="inlineStr">
        <is>
          <t>LEKSAND</t>
        </is>
      </c>
      <c r="G653" t="n">
        <v>3</v>
      </c>
      <c r="H653" t="n">
        <v>0</v>
      </c>
      <c r="I653" t="n">
        <v>0</v>
      </c>
      <c r="J653" t="n">
        <v>0</v>
      </c>
      <c r="K653" t="n">
        <v>0</v>
      </c>
      <c r="L653" t="n">
        <v>0</v>
      </c>
      <c r="M653" t="n">
        <v>0</v>
      </c>
      <c r="N653" t="n">
        <v>0</v>
      </c>
      <c r="O653" t="n">
        <v>0</v>
      </c>
      <c r="P653" t="n">
        <v>0</v>
      </c>
      <c r="Q653" t="n">
        <v>0</v>
      </c>
      <c r="R653" s="2" t="inlineStr"/>
    </row>
    <row r="654" ht="15" customHeight="1">
      <c r="A654" t="inlineStr">
        <is>
          <t>A 49397-2024</t>
        </is>
      </c>
      <c r="B654" s="1" t="n">
        <v>45595</v>
      </c>
      <c r="C654" s="1" t="n">
        <v>45984</v>
      </c>
      <c r="D654" t="inlineStr">
        <is>
          <t>DALARNAS LÄN</t>
        </is>
      </c>
      <c r="E654" t="inlineStr">
        <is>
          <t>LEKSAND</t>
        </is>
      </c>
      <c r="G654" t="n">
        <v>4.3</v>
      </c>
      <c r="H654" t="n">
        <v>0</v>
      </c>
      <c r="I654" t="n">
        <v>0</v>
      </c>
      <c r="J654" t="n">
        <v>0</v>
      </c>
      <c r="K654" t="n">
        <v>0</v>
      </c>
      <c r="L654" t="n">
        <v>0</v>
      </c>
      <c r="M654" t="n">
        <v>0</v>
      </c>
      <c r="N654" t="n">
        <v>0</v>
      </c>
      <c r="O654" t="n">
        <v>0</v>
      </c>
      <c r="P654" t="n">
        <v>0</v>
      </c>
      <c r="Q654" t="n">
        <v>0</v>
      </c>
      <c r="R654" s="2" t="inlineStr"/>
    </row>
    <row r="655" ht="15" customHeight="1">
      <c r="A655" t="inlineStr">
        <is>
          <t>A 6027-2025</t>
        </is>
      </c>
      <c r="B655" s="1" t="n">
        <v>45695</v>
      </c>
      <c r="C655" s="1" t="n">
        <v>45984</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53717-2023</t>
        </is>
      </c>
      <c r="B656" s="1" t="n">
        <v>45230</v>
      </c>
      <c r="C656" s="1" t="n">
        <v>45984</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43470-2024</t>
        </is>
      </c>
      <c r="B657" s="1" t="n">
        <v>45568</v>
      </c>
      <c r="C657" s="1" t="n">
        <v>45984</v>
      </c>
      <c r="D657" t="inlineStr">
        <is>
          <t>DALARNAS LÄN</t>
        </is>
      </c>
      <c r="E657" t="inlineStr">
        <is>
          <t>LEKSAND</t>
        </is>
      </c>
      <c r="G657" t="n">
        <v>3.1</v>
      </c>
      <c r="H657" t="n">
        <v>0</v>
      </c>
      <c r="I657" t="n">
        <v>0</v>
      </c>
      <c r="J657" t="n">
        <v>0</v>
      </c>
      <c r="K657" t="n">
        <v>0</v>
      </c>
      <c r="L657" t="n">
        <v>0</v>
      </c>
      <c r="M657" t="n">
        <v>0</v>
      </c>
      <c r="N657" t="n">
        <v>0</v>
      </c>
      <c r="O657" t="n">
        <v>0</v>
      </c>
      <c r="P657" t="n">
        <v>0</v>
      </c>
      <c r="Q657" t="n">
        <v>0</v>
      </c>
      <c r="R657" s="2" t="inlineStr"/>
    </row>
    <row r="658" ht="15" customHeight="1">
      <c r="A658" t="inlineStr">
        <is>
          <t>A 60873-2023</t>
        </is>
      </c>
      <c r="B658" s="1" t="n">
        <v>45261.03266203704</v>
      </c>
      <c r="C658" s="1" t="n">
        <v>45984</v>
      </c>
      <c r="D658" t="inlineStr">
        <is>
          <t>DALARNAS LÄN</t>
        </is>
      </c>
      <c r="E658" t="inlineStr">
        <is>
          <t>LEKSAND</t>
        </is>
      </c>
      <c r="G658" t="n">
        <v>5.2</v>
      </c>
      <c r="H658" t="n">
        <v>0</v>
      </c>
      <c r="I658" t="n">
        <v>0</v>
      </c>
      <c r="J658" t="n">
        <v>0</v>
      </c>
      <c r="K658" t="n">
        <v>0</v>
      </c>
      <c r="L658" t="n">
        <v>0</v>
      </c>
      <c r="M658" t="n">
        <v>0</v>
      </c>
      <c r="N658" t="n">
        <v>0</v>
      </c>
      <c r="O658" t="n">
        <v>0</v>
      </c>
      <c r="P658" t="n">
        <v>0</v>
      </c>
      <c r="Q658" t="n">
        <v>0</v>
      </c>
      <c r="R658" s="2" t="inlineStr"/>
    </row>
    <row r="659" ht="15" customHeight="1">
      <c r="A659" t="inlineStr">
        <is>
          <t>A 54914-2024</t>
        </is>
      </c>
      <c r="B659" s="1" t="n">
        <v>45618.69380787037</v>
      </c>
      <c r="C659" s="1" t="n">
        <v>45984</v>
      </c>
      <c r="D659" t="inlineStr">
        <is>
          <t>DALARNAS LÄN</t>
        </is>
      </c>
      <c r="E659" t="inlineStr">
        <is>
          <t>LEKSAND</t>
        </is>
      </c>
      <c r="G659" t="n">
        <v>1.7</v>
      </c>
      <c r="H659" t="n">
        <v>0</v>
      </c>
      <c r="I659" t="n">
        <v>0</v>
      </c>
      <c r="J659" t="n">
        <v>0</v>
      </c>
      <c r="K659" t="n">
        <v>0</v>
      </c>
      <c r="L659" t="n">
        <v>0</v>
      </c>
      <c r="M659" t="n">
        <v>0</v>
      </c>
      <c r="N659" t="n">
        <v>0</v>
      </c>
      <c r="O659" t="n">
        <v>0</v>
      </c>
      <c r="P659" t="n">
        <v>0</v>
      </c>
      <c r="Q659" t="n">
        <v>0</v>
      </c>
      <c r="R659" s="2" t="inlineStr"/>
    </row>
    <row r="660" ht="15" customHeight="1">
      <c r="A660" t="inlineStr">
        <is>
          <t>A 167-2023</t>
        </is>
      </c>
      <c r="B660" s="1" t="n">
        <v>44918</v>
      </c>
      <c r="C660" s="1" t="n">
        <v>45984</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56950-2024</t>
        </is>
      </c>
      <c r="B661" s="1" t="n">
        <v>45625</v>
      </c>
      <c r="C661" s="1" t="n">
        <v>45984</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9938-2023</t>
        </is>
      </c>
      <c r="B662" s="1" t="n">
        <v>44985</v>
      </c>
      <c r="C662" s="1" t="n">
        <v>45984</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59103-2024</t>
        </is>
      </c>
      <c r="B663" s="1" t="n">
        <v>45637.34184027778</v>
      </c>
      <c r="C663" s="1" t="n">
        <v>45984</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70099-2021</t>
        </is>
      </c>
      <c r="B664" s="1" t="n">
        <v>44533</v>
      </c>
      <c r="C664" s="1" t="n">
        <v>45984</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13401-2023</t>
        </is>
      </c>
      <c r="B665" s="1" t="n">
        <v>45005</v>
      </c>
      <c r="C665" s="1" t="n">
        <v>45984</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60113-2022</t>
        </is>
      </c>
      <c r="B666" s="1" t="n">
        <v>44909</v>
      </c>
      <c r="C666" s="1" t="n">
        <v>45984</v>
      </c>
      <c r="D666" t="inlineStr">
        <is>
          <t>DALARNAS LÄN</t>
        </is>
      </c>
      <c r="E666" t="inlineStr">
        <is>
          <t>LEKSAND</t>
        </is>
      </c>
      <c r="G666" t="n">
        <v>3.7</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45984</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30611-2023</t>
        </is>
      </c>
      <c r="B668" s="1" t="n">
        <v>45112</v>
      </c>
      <c r="C668" s="1" t="n">
        <v>45984</v>
      </c>
      <c r="D668" t="inlineStr">
        <is>
          <t>DALARNAS LÄN</t>
        </is>
      </c>
      <c r="E668" t="inlineStr">
        <is>
          <t>LEKSAND</t>
        </is>
      </c>
      <c r="G668" t="n">
        <v>3.1</v>
      </c>
      <c r="H668" t="n">
        <v>0</v>
      </c>
      <c r="I668" t="n">
        <v>0</v>
      </c>
      <c r="J668" t="n">
        <v>0</v>
      </c>
      <c r="K668" t="n">
        <v>0</v>
      </c>
      <c r="L668" t="n">
        <v>0</v>
      </c>
      <c r="M668" t="n">
        <v>0</v>
      </c>
      <c r="N668" t="n">
        <v>0</v>
      </c>
      <c r="O668" t="n">
        <v>0</v>
      </c>
      <c r="P668" t="n">
        <v>0</v>
      </c>
      <c r="Q668" t="n">
        <v>0</v>
      </c>
      <c r="R668" s="2" t="inlineStr"/>
    </row>
    <row r="669" ht="15" customHeight="1">
      <c r="A669" t="inlineStr">
        <is>
          <t>A 31254-2023</t>
        </is>
      </c>
      <c r="B669" s="1" t="n">
        <v>45114</v>
      </c>
      <c r="C669" s="1" t="n">
        <v>45984</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62306-2023</t>
        </is>
      </c>
      <c r="B670" s="1" t="n">
        <v>45266</v>
      </c>
      <c r="C670" s="1" t="n">
        <v>45984</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30175-2023</t>
        </is>
      </c>
      <c r="B671" s="1" t="n">
        <v>45110</v>
      </c>
      <c r="C671" s="1" t="n">
        <v>45984</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28921-2023</t>
        </is>
      </c>
      <c r="B672" s="1" t="n">
        <v>45104</v>
      </c>
      <c r="C672" s="1" t="n">
        <v>45984</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8940-2023</t>
        </is>
      </c>
      <c r="B673" s="1" t="n">
        <v>44974</v>
      </c>
      <c r="C673" s="1" t="n">
        <v>45984</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9459-2023</t>
        </is>
      </c>
      <c r="B674" s="1" t="n">
        <v>44977</v>
      </c>
      <c r="C674" s="1" t="n">
        <v>45984</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56941-2024</t>
        </is>
      </c>
      <c r="B675" s="1" t="n">
        <v>45625</v>
      </c>
      <c r="C675" s="1" t="n">
        <v>45984</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48721-2023</t>
        </is>
      </c>
      <c r="B676" s="1" t="n">
        <v>45203</v>
      </c>
      <c r="C676" s="1" t="n">
        <v>45984</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33463-2023</t>
        </is>
      </c>
      <c r="B677" s="1" t="n">
        <v>45131</v>
      </c>
      <c r="C677" s="1" t="n">
        <v>45984</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8755-2023</t>
        </is>
      </c>
      <c r="B678" s="1" t="n">
        <v>44978</v>
      </c>
      <c r="C678" s="1" t="n">
        <v>45984</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59840-2024</t>
        </is>
      </c>
      <c r="B679" s="1" t="n">
        <v>45638</v>
      </c>
      <c r="C679" s="1" t="n">
        <v>45984</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10967-2023</t>
        </is>
      </c>
      <c r="B680" s="1" t="n">
        <v>44991.58001157407</v>
      </c>
      <c r="C680" s="1" t="n">
        <v>45984</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10974-2023</t>
        </is>
      </c>
      <c r="B681" s="1" t="n">
        <v>44991.59049768518</v>
      </c>
      <c r="C681" s="1" t="n">
        <v>45984</v>
      </c>
      <c r="D681" t="inlineStr">
        <is>
          <t>DALARNAS LÄN</t>
        </is>
      </c>
      <c r="E681" t="inlineStr">
        <is>
          <t>LEKSAND</t>
        </is>
      </c>
      <c r="G681" t="n">
        <v>0.3</v>
      </c>
      <c r="H681" t="n">
        <v>0</v>
      </c>
      <c r="I681" t="n">
        <v>0</v>
      </c>
      <c r="J681" t="n">
        <v>0</v>
      </c>
      <c r="K681" t="n">
        <v>0</v>
      </c>
      <c r="L681" t="n">
        <v>0</v>
      </c>
      <c r="M681" t="n">
        <v>0</v>
      </c>
      <c r="N681" t="n">
        <v>0</v>
      </c>
      <c r="O681" t="n">
        <v>0</v>
      </c>
      <c r="P681" t="n">
        <v>0</v>
      </c>
      <c r="Q681" t="n">
        <v>0</v>
      </c>
      <c r="R681" s="2" t="inlineStr"/>
    </row>
    <row r="682" ht="15" customHeight="1">
      <c r="A682" t="inlineStr">
        <is>
          <t>A 55516-2024</t>
        </is>
      </c>
      <c r="B682" s="1" t="n">
        <v>45621</v>
      </c>
      <c r="C682" s="1" t="n">
        <v>45984</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30858-2024</t>
        </is>
      </c>
      <c r="B683" s="1" t="n">
        <v>45497.67601851852</v>
      </c>
      <c r="C683" s="1" t="n">
        <v>45984</v>
      </c>
      <c r="D683" t="inlineStr">
        <is>
          <t>DALARNAS LÄN</t>
        </is>
      </c>
      <c r="E683" t="inlineStr">
        <is>
          <t>LEKSAND</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11015-2022</t>
        </is>
      </c>
      <c r="B684" s="1" t="n">
        <v>44628.52340277778</v>
      </c>
      <c r="C684" s="1" t="n">
        <v>45984</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12582-2025</t>
        </is>
      </c>
      <c r="B685" s="1" t="n">
        <v>45732.62988425926</v>
      </c>
      <c r="C685" s="1" t="n">
        <v>45984</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1182-2025</t>
        </is>
      </c>
      <c r="B686" s="1" t="n">
        <v>45667.35712962963</v>
      </c>
      <c r="C686" s="1" t="n">
        <v>45984</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1519-2024</t>
        </is>
      </c>
      <c r="B687" s="1" t="n">
        <v>45306</v>
      </c>
      <c r="C687" s="1" t="n">
        <v>45984</v>
      </c>
      <c r="D687" t="inlineStr">
        <is>
          <t>DALARNAS LÄN</t>
        </is>
      </c>
      <c r="E687" t="inlineStr">
        <is>
          <t>LEKSAND</t>
        </is>
      </c>
      <c r="G687" t="n">
        <v>3.3</v>
      </c>
      <c r="H687" t="n">
        <v>0</v>
      </c>
      <c r="I687" t="n">
        <v>0</v>
      </c>
      <c r="J687" t="n">
        <v>0</v>
      </c>
      <c r="K687" t="n">
        <v>0</v>
      </c>
      <c r="L687" t="n">
        <v>0</v>
      </c>
      <c r="M687" t="n">
        <v>0</v>
      </c>
      <c r="N687" t="n">
        <v>0</v>
      </c>
      <c r="O687" t="n">
        <v>0</v>
      </c>
      <c r="P687" t="n">
        <v>0</v>
      </c>
      <c r="Q687" t="n">
        <v>0</v>
      </c>
      <c r="R687" s="2" t="inlineStr"/>
    </row>
    <row r="688" ht="15" customHeight="1">
      <c r="A688" t="inlineStr">
        <is>
          <t>A 71817-2021</t>
        </is>
      </c>
      <c r="B688" s="1" t="n">
        <v>44543.59780092593</v>
      </c>
      <c r="C688" s="1" t="n">
        <v>45984</v>
      </c>
      <c r="D688" t="inlineStr">
        <is>
          <t>DALARNAS LÄN</t>
        </is>
      </c>
      <c r="E688" t="inlineStr">
        <is>
          <t>LEKSAND</t>
        </is>
      </c>
      <c r="F688" t="inlineStr">
        <is>
          <t>Bergvik skog väst AB</t>
        </is>
      </c>
      <c r="G688" t="n">
        <v>3</v>
      </c>
      <c r="H688" t="n">
        <v>0</v>
      </c>
      <c r="I688" t="n">
        <v>0</v>
      </c>
      <c r="J688" t="n">
        <v>0</v>
      </c>
      <c r="K688" t="n">
        <v>0</v>
      </c>
      <c r="L688" t="n">
        <v>0</v>
      </c>
      <c r="M688" t="n">
        <v>0</v>
      </c>
      <c r="N688" t="n">
        <v>0</v>
      </c>
      <c r="O688" t="n">
        <v>0</v>
      </c>
      <c r="P688" t="n">
        <v>0</v>
      </c>
      <c r="Q688" t="n">
        <v>0</v>
      </c>
      <c r="R688" s="2" t="inlineStr"/>
    </row>
    <row r="689" ht="15" customHeight="1">
      <c r="A689" t="inlineStr">
        <is>
          <t>A 32-2024</t>
        </is>
      </c>
      <c r="B689" s="1" t="n">
        <v>45293</v>
      </c>
      <c r="C689" s="1" t="n">
        <v>45984</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36932-2023</t>
        </is>
      </c>
      <c r="B690" s="1" t="n">
        <v>45154</v>
      </c>
      <c r="C690" s="1" t="n">
        <v>45984</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23663-2024</t>
        </is>
      </c>
      <c r="B691" s="1" t="n">
        <v>45454.57049768518</v>
      </c>
      <c r="C691" s="1" t="n">
        <v>45984</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33180-2024</t>
        </is>
      </c>
      <c r="B692" s="1" t="n">
        <v>45518.44481481481</v>
      </c>
      <c r="C692" s="1" t="n">
        <v>45984</v>
      </c>
      <c r="D692" t="inlineStr">
        <is>
          <t>DALARNAS LÄN</t>
        </is>
      </c>
      <c r="E692" t="inlineStr">
        <is>
          <t>LEKSAND</t>
        </is>
      </c>
      <c r="G692" t="n">
        <v>7.6</v>
      </c>
      <c r="H692" t="n">
        <v>0</v>
      </c>
      <c r="I692" t="n">
        <v>0</v>
      </c>
      <c r="J692" t="n">
        <v>0</v>
      </c>
      <c r="K692" t="n">
        <v>0</v>
      </c>
      <c r="L692" t="n">
        <v>0</v>
      </c>
      <c r="M692" t="n">
        <v>0</v>
      </c>
      <c r="N692" t="n">
        <v>0</v>
      </c>
      <c r="O692" t="n">
        <v>0</v>
      </c>
      <c r="P692" t="n">
        <v>0</v>
      </c>
      <c r="Q692" t="n">
        <v>0</v>
      </c>
      <c r="R692" s="2" t="inlineStr"/>
    </row>
    <row r="693" ht="15" customHeight="1">
      <c r="A693" t="inlineStr">
        <is>
          <t>A 60715-2022</t>
        </is>
      </c>
      <c r="B693" s="1" t="n">
        <v>44912</v>
      </c>
      <c r="C693" s="1" t="n">
        <v>45984</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11092-2023</t>
        </is>
      </c>
      <c r="B694" s="1" t="n">
        <v>44992</v>
      </c>
      <c r="C694" s="1" t="n">
        <v>45984</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15882-2023</t>
        </is>
      </c>
      <c r="B695" s="1" t="n">
        <v>45022</v>
      </c>
      <c r="C695" s="1" t="n">
        <v>45984</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1443-2024</t>
        </is>
      </c>
      <c r="B696" s="1" t="n">
        <v>45303</v>
      </c>
      <c r="C696" s="1" t="n">
        <v>45984</v>
      </c>
      <c r="D696" t="inlineStr">
        <is>
          <t>DALARNAS LÄN</t>
        </is>
      </c>
      <c r="E696" t="inlineStr">
        <is>
          <t>LEKSAND</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1457-2024</t>
        </is>
      </c>
      <c r="B697" s="1" t="n">
        <v>45303</v>
      </c>
      <c r="C697" s="1" t="n">
        <v>45984</v>
      </c>
      <c r="D697" t="inlineStr">
        <is>
          <t>DALARNAS LÄN</t>
        </is>
      </c>
      <c r="E697" t="inlineStr">
        <is>
          <t>LEKSAND</t>
        </is>
      </c>
      <c r="G697" t="n">
        <v>4.4</v>
      </c>
      <c r="H697" t="n">
        <v>0</v>
      </c>
      <c r="I697" t="n">
        <v>0</v>
      </c>
      <c r="J697" t="n">
        <v>0</v>
      </c>
      <c r="K697" t="n">
        <v>0</v>
      </c>
      <c r="L697" t="n">
        <v>0</v>
      </c>
      <c r="M697" t="n">
        <v>0</v>
      </c>
      <c r="N697" t="n">
        <v>0</v>
      </c>
      <c r="O697" t="n">
        <v>0</v>
      </c>
      <c r="P697" t="n">
        <v>0</v>
      </c>
      <c r="Q697" t="n">
        <v>0</v>
      </c>
      <c r="R697" s="2" t="inlineStr"/>
    </row>
    <row r="698" ht="15" customHeight="1">
      <c r="A698" t="inlineStr">
        <is>
          <t>A 1215-2024</t>
        </is>
      </c>
      <c r="B698" s="1" t="n">
        <v>45302</v>
      </c>
      <c r="C698" s="1" t="n">
        <v>45984</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53464-2024</t>
        </is>
      </c>
      <c r="B699" s="1" t="n">
        <v>45611</v>
      </c>
      <c r="C699" s="1" t="n">
        <v>45984</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56330-2022</t>
        </is>
      </c>
      <c r="B700" s="1" t="n">
        <v>44890.62630787037</v>
      </c>
      <c r="C700" s="1" t="n">
        <v>45984</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2140-2024</t>
        </is>
      </c>
      <c r="B701" s="1" t="n">
        <v>45309</v>
      </c>
      <c r="C701" s="1" t="n">
        <v>45984</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2694-2025</t>
        </is>
      </c>
      <c r="B702" s="1" t="n">
        <v>45677.38246527778</v>
      </c>
      <c r="C702" s="1" t="n">
        <v>45984</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18176-2024</t>
        </is>
      </c>
      <c r="B703" s="1" t="n">
        <v>45420.63901620371</v>
      </c>
      <c r="C703" s="1" t="n">
        <v>45984</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55268-2024</t>
        </is>
      </c>
      <c r="B704" s="1" t="n">
        <v>45621.61266203703</v>
      </c>
      <c r="C704" s="1" t="n">
        <v>45984</v>
      </c>
      <c r="D704" t="inlineStr">
        <is>
          <t>DALARNAS LÄN</t>
        </is>
      </c>
      <c r="E704" t="inlineStr">
        <is>
          <t>LEKSAND</t>
        </is>
      </c>
      <c r="G704" t="n">
        <v>4.2</v>
      </c>
      <c r="H704" t="n">
        <v>0</v>
      </c>
      <c r="I704" t="n">
        <v>0</v>
      </c>
      <c r="J704" t="n">
        <v>0</v>
      </c>
      <c r="K704" t="n">
        <v>0</v>
      </c>
      <c r="L704" t="n">
        <v>0</v>
      </c>
      <c r="M704" t="n">
        <v>0</v>
      </c>
      <c r="N704" t="n">
        <v>0</v>
      </c>
      <c r="O704" t="n">
        <v>0</v>
      </c>
      <c r="P704" t="n">
        <v>0</v>
      </c>
      <c r="Q704" t="n">
        <v>0</v>
      </c>
      <c r="R704" s="2" t="inlineStr"/>
    </row>
    <row r="705" ht="15" customHeight="1">
      <c r="A705" t="inlineStr">
        <is>
          <t>A 62130-2024</t>
        </is>
      </c>
      <c r="B705" s="1" t="n">
        <v>45656.61827546296</v>
      </c>
      <c r="C705" s="1" t="n">
        <v>45984</v>
      </c>
      <c r="D705" t="inlineStr">
        <is>
          <t>DALARNAS LÄN</t>
        </is>
      </c>
      <c r="E705" t="inlineStr">
        <is>
          <t>LEKSAND</t>
        </is>
      </c>
      <c r="G705" t="n">
        <v>11.4</v>
      </c>
      <c r="H705" t="n">
        <v>0</v>
      </c>
      <c r="I705" t="n">
        <v>0</v>
      </c>
      <c r="J705" t="n">
        <v>0</v>
      </c>
      <c r="K705" t="n">
        <v>0</v>
      </c>
      <c r="L705" t="n">
        <v>0</v>
      </c>
      <c r="M705" t="n">
        <v>0</v>
      </c>
      <c r="N705" t="n">
        <v>0</v>
      </c>
      <c r="O705" t="n">
        <v>0</v>
      </c>
      <c r="P705" t="n">
        <v>0</v>
      </c>
      <c r="Q705" t="n">
        <v>0</v>
      </c>
      <c r="R705" s="2" t="inlineStr"/>
    </row>
    <row r="706" ht="15" customHeight="1">
      <c r="A706" t="inlineStr">
        <is>
          <t>A 30998-2023</t>
        </is>
      </c>
      <c r="B706" s="1" t="n">
        <v>45113.54193287037</v>
      </c>
      <c r="C706" s="1" t="n">
        <v>45984</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6519-2025</t>
        </is>
      </c>
      <c r="B707" s="1" t="n">
        <v>45699</v>
      </c>
      <c r="C707" s="1" t="n">
        <v>45984</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9143-2023</t>
        </is>
      </c>
      <c r="B708" s="1" t="n">
        <v>44974</v>
      </c>
      <c r="C708" s="1" t="n">
        <v>45984</v>
      </c>
      <c r="D708" t="inlineStr">
        <is>
          <t>DALARNAS LÄN</t>
        </is>
      </c>
      <c r="E708" t="inlineStr">
        <is>
          <t>LEKSAND</t>
        </is>
      </c>
      <c r="G708" t="n">
        <v>4.3</v>
      </c>
      <c r="H708" t="n">
        <v>0</v>
      </c>
      <c r="I708" t="n">
        <v>0</v>
      </c>
      <c r="J708" t="n">
        <v>0</v>
      </c>
      <c r="K708" t="n">
        <v>0</v>
      </c>
      <c r="L708" t="n">
        <v>0</v>
      </c>
      <c r="M708" t="n">
        <v>0</v>
      </c>
      <c r="N708" t="n">
        <v>0</v>
      </c>
      <c r="O708" t="n">
        <v>0</v>
      </c>
      <c r="P708" t="n">
        <v>0</v>
      </c>
      <c r="Q708" t="n">
        <v>0</v>
      </c>
      <c r="R708" s="2" t="inlineStr"/>
    </row>
    <row r="709" ht="15" customHeight="1">
      <c r="A709" t="inlineStr">
        <is>
          <t>A 36262-2023</t>
        </is>
      </c>
      <c r="B709" s="1" t="n">
        <v>45151.9096875</v>
      </c>
      <c r="C709" s="1" t="n">
        <v>45984</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60095-2022</t>
        </is>
      </c>
      <c r="B710" s="1" t="n">
        <v>44909</v>
      </c>
      <c r="C710" s="1" t="n">
        <v>45984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38117-2023</t>
        </is>
      </c>
      <c r="B711" s="1" t="n">
        <v>45161</v>
      </c>
      <c r="C711" s="1" t="n">
        <v>45984</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11418-2023</t>
        </is>
      </c>
      <c r="B712" s="1" t="n">
        <v>44993</v>
      </c>
      <c r="C712" s="1" t="n">
        <v>45984</v>
      </c>
      <c r="D712" t="inlineStr">
        <is>
          <t>DALARNAS LÄN</t>
        </is>
      </c>
      <c r="E712" t="inlineStr">
        <is>
          <t>LEKSAND</t>
        </is>
      </c>
      <c r="G712" t="n">
        <v>2.7</v>
      </c>
      <c r="H712" t="n">
        <v>0</v>
      </c>
      <c r="I712" t="n">
        <v>0</v>
      </c>
      <c r="J712" t="n">
        <v>0</v>
      </c>
      <c r="K712" t="n">
        <v>0</v>
      </c>
      <c r="L712" t="n">
        <v>0</v>
      </c>
      <c r="M712" t="n">
        <v>0</v>
      </c>
      <c r="N712" t="n">
        <v>0</v>
      </c>
      <c r="O712" t="n">
        <v>0</v>
      </c>
      <c r="P712" t="n">
        <v>0</v>
      </c>
      <c r="Q712" t="n">
        <v>0</v>
      </c>
      <c r="R712" s="2" t="inlineStr"/>
    </row>
    <row r="713" ht="15" customHeight="1">
      <c r="A713" t="inlineStr">
        <is>
          <t>A 39558-2023</t>
        </is>
      </c>
      <c r="B713" s="1" t="n">
        <v>45167.38664351852</v>
      </c>
      <c r="C713" s="1" t="n">
        <v>45984</v>
      </c>
      <c r="D713" t="inlineStr">
        <is>
          <t>DALARNAS LÄN</t>
        </is>
      </c>
      <c r="E713" t="inlineStr">
        <is>
          <t>LEKSAND</t>
        </is>
      </c>
      <c r="G713" t="n">
        <v>39.9</v>
      </c>
      <c r="H713" t="n">
        <v>0</v>
      </c>
      <c r="I713" t="n">
        <v>0</v>
      </c>
      <c r="J713" t="n">
        <v>0</v>
      </c>
      <c r="K713" t="n">
        <v>0</v>
      </c>
      <c r="L713" t="n">
        <v>0</v>
      </c>
      <c r="M713" t="n">
        <v>0</v>
      </c>
      <c r="N713" t="n">
        <v>0</v>
      </c>
      <c r="O713" t="n">
        <v>0</v>
      </c>
      <c r="P713" t="n">
        <v>0</v>
      </c>
      <c r="Q713" t="n">
        <v>0</v>
      </c>
      <c r="R713" s="2" t="inlineStr"/>
    </row>
    <row r="714" ht="15" customHeight="1">
      <c r="A714" t="inlineStr">
        <is>
          <t>A 43222-2024</t>
        </is>
      </c>
      <c r="B714" s="1" t="n">
        <v>45567.87177083334</v>
      </c>
      <c r="C714" s="1" t="n">
        <v>45984</v>
      </c>
      <c r="D714" t="inlineStr">
        <is>
          <t>DALARNAS LÄN</t>
        </is>
      </c>
      <c r="E714" t="inlineStr">
        <is>
          <t>LEKSAND</t>
        </is>
      </c>
      <c r="F714" t="inlineStr">
        <is>
          <t>Bergvik skog väst AB</t>
        </is>
      </c>
      <c r="G714" t="n">
        <v>8.6</v>
      </c>
      <c r="H714" t="n">
        <v>0</v>
      </c>
      <c r="I714" t="n">
        <v>0</v>
      </c>
      <c r="J714" t="n">
        <v>0</v>
      </c>
      <c r="K714" t="n">
        <v>0</v>
      </c>
      <c r="L714" t="n">
        <v>0</v>
      </c>
      <c r="M714" t="n">
        <v>0</v>
      </c>
      <c r="N714" t="n">
        <v>0</v>
      </c>
      <c r="O714" t="n">
        <v>0</v>
      </c>
      <c r="P714" t="n">
        <v>0</v>
      </c>
      <c r="Q714" t="n">
        <v>0</v>
      </c>
      <c r="R714" s="2" t="inlineStr"/>
    </row>
    <row r="715" ht="15" customHeight="1">
      <c r="A715" t="inlineStr">
        <is>
          <t>A 43231-2024</t>
        </is>
      </c>
      <c r="B715" s="1" t="n">
        <v>45567.89709490741</v>
      </c>
      <c r="C715" s="1" t="n">
        <v>45984</v>
      </c>
      <c r="D715" t="inlineStr">
        <is>
          <t>DALARNAS LÄN</t>
        </is>
      </c>
      <c r="E715" t="inlineStr">
        <is>
          <t>LEKSAND</t>
        </is>
      </c>
      <c r="G715" t="n">
        <v>1.9</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45984</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64516-2023</t>
        </is>
      </c>
      <c r="B717" s="1" t="n">
        <v>45280</v>
      </c>
      <c r="C717" s="1" t="n">
        <v>45984</v>
      </c>
      <c r="D717" t="inlineStr">
        <is>
          <t>DALARNAS LÄN</t>
        </is>
      </c>
      <c r="E717" t="inlineStr">
        <is>
          <t>LEKSAND</t>
        </is>
      </c>
      <c r="G717" t="n">
        <v>4.4</v>
      </c>
      <c r="H717" t="n">
        <v>0</v>
      </c>
      <c r="I717" t="n">
        <v>0</v>
      </c>
      <c r="J717" t="n">
        <v>0</v>
      </c>
      <c r="K717" t="n">
        <v>0</v>
      </c>
      <c r="L717" t="n">
        <v>0</v>
      </c>
      <c r="M717" t="n">
        <v>0</v>
      </c>
      <c r="N717" t="n">
        <v>0</v>
      </c>
      <c r="O717" t="n">
        <v>0</v>
      </c>
      <c r="P717" t="n">
        <v>0</v>
      </c>
      <c r="Q717" t="n">
        <v>0</v>
      </c>
      <c r="R717" s="2" t="inlineStr"/>
    </row>
    <row r="718" ht="15" customHeight="1">
      <c r="A718" t="inlineStr">
        <is>
          <t>A 53799-2023</t>
        </is>
      </c>
      <c r="B718" s="1" t="n">
        <v>45231.35564814815</v>
      </c>
      <c r="C718" s="1" t="n">
        <v>45984</v>
      </c>
      <c r="D718" t="inlineStr">
        <is>
          <t>DALARNAS LÄN</t>
        </is>
      </c>
      <c r="E718" t="inlineStr">
        <is>
          <t>LEKSAND</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40193-2024</t>
        </is>
      </c>
      <c r="B719" s="1" t="n">
        <v>45554.5734375</v>
      </c>
      <c r="C719" s="1" t="n">
        <v>45984</v>
      </c>
      <c r="D719" t="inlineStr">
        <is>
          <t>DALARNAS LÄN</t>
        </is>
      </c>
      <c r="E719" t="inlineStr">
        <is>
          <t>LEKSAND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31728-2024</t>
        </is>
      </c>
      <c r="B720" s="1" t="n">
        <v>45509.34517361111</v>
      </c>
      <c r="C720" s="1" t="n">
        <v>45984</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32394-2024</t>
        </is>
      </c>
      <c r="B721" s="1" t="n">
        <v>45512.64349537037</v>
      </c>
      <c r="C721" s="1" t="n">
        <v>45984</v>
      </c>
      <c r="D721" t="inlineStr">
        <is>
          <t>DALARNAS LÄN</t>
        </is>
      </c>
      <c r="E721" t="inlineStr">
        <is>
          <t>LEKSAND</t>
        </is>
      </c>
      <c r="F721" t="inlineStr">
        <is>
          <t>Bergvik skog väst AB</t>
        </is>
      </c>
      <c r="G721" t="n">
        <v>6</v>
      </c>
      <c r="H721" t="n">
        <v>0</v>
      </c>
      <c r="I721" t="n">
        <v>0</v>
      </c>
      <c r="J721" t="n">
        <v>0</v>
      </c>
      <c r="K721" t="n">
        <v>0</v>
      </c>
      <c r="L721" t="n">
        <v>0</v>
      </c>
      <c r="M721" t="n">
        <v>0</v>
      </c>
      <c r="N721" t="n">
        <v>0</v>
      </c>
      <c r="O721" t="n">
        <v>0</v>
      </c>
      <c r="P721" t="n">
        <v>0</v>
      </c>
      <c r="Q721" t="n">
        <v>0</v>
      </c>
      <c r="R721" s="2" t="inlineStr"/>
    </row>
    <row r="722" ht="15" customHeight="1">
      <c r="A722" t="inlineStr">
        <is>
          <t>A 43221-2024</t>
        </is>
      </c>
      <c r="B722" s="1" t="n">
        <v>45567.86695601852</v>
      </c>
      <c r="C722" s="1" t="n">
        <v>45984</v>
      </c>
      <c r="D722" t="inlineStr">
        <is>
          <t>DALARNAS LÄN</t>
        </is>
      </c>
      <c r="E722" t="inlineStr">
        <is>
          <t>LEKSAND</t>
        </is>
      </c>
      <c r="G722" t="n">
        <v>1.1</v>
      </c>
      <c r="H722" t="n">
        <v>0</v>
      </c>
      <c r="I722" t="n">
        <v>0</v>
      </c>
      <c r="J722" t="n">
        <v>0</v>
      </c>
      <c r="K722" t="n">
        <v>0</v>
      </c>
      <c r="L722" t="n">
        <v>0</v>
      </c>
      <c r="M722" t="n">
        <v>0</v>
      </c>
      <c r="N722" t="n">
        <v>0</v>
      </c>
      <c r="O722" t="n">
        <v>0</v>
      </c>
      <c r="P722" t="n">
        <v>0</v>
      </c>
      <c r="Q722" t="n">
        <v>0</v>
      </c>
      <c r="R722" s="2" t="inlineStr"/>
    </row>
    <row r="723" ht="15" customHeight="1">
      <c r="A723" t="inlineStr">
        <is>
          <t>A 21839-2022</t>
        </is>
      </c>
      <c r="B723" s="1" t="n">
        <v>44711</v>
      </c>
      <c r="C723" s="1" t="n">
        <v>45984</v>
      </c>
      <c r="D723" t="inlineStr">
        <is>
          <t>DALARNAS LÄN</t>
        </is>
      </c>
      <c r="E723" t="inlineStr">
        <is>
          <t>LEKSAND</t>
        </is>
      </c>
      <c r="F723" t="inlineStr">
        <is>
          <t>Bergvik skog väst AB</t>
        </is>
      </c>
      <c r="G723" t="n">
        <v>3</v>
      </c>
      <c r="H723" t="n">
        <v>0</v>
      </c>
      <c r="I723" t="n">
        <v>0</v>
      </c>
      <c r="J723" t="n">
        <v>0</v>
      </c>
      <c r="K723" t="n">
        <v>0</v>
      </c>
      <c r="L723" t="n">
        <v>0</v>
      </c>
      <c r="M723" t="n">
        <v>0</v>
      </c>
      <c r="N723" t="n">
        <v>0</v>
      </c>
      <c r="O723" t="n">
        <v>0</v>
      </c>
      <c r="P723" t="n">
        <v>0</v>
      </c>
      <c r="Q723" t="n">
        <v>0</v>
      </c>
      <c r="R723" s="2" t="inlineStr"/>
    </row>
    <row r="724" ht="15" customHeight="1">
      <c r="A724" t="inlineStr">
        <is>
          <t>A 22388-2024</t>
        </is>
      </c>
      <c r="B724" s="1" t="n">
        <v>45446</v>
      </c>
      <c r="C724" s="1" t="n">
        <v>45984</v>
      </c>
      <c r="D724" t="inlineStr">
        <is>
          <t>DALARNAS LÄN</t>
        </is>
      </c>
      <c r="E724" t="inlineStr">
        <is>
          <t>LEKSAND</t>
        </is>
      </c>
      <c r="F724" t="inlineStr">
        <is>
          <t>Bergvik skog väst AB</t>
        </is>
      </c>
      <c r="G724" t="n">
        <v>5.3</v>
      </c>
      <c r="H724" t="n">
        <v>0</v>
      </c>
      <c r="I724" t="n">
        <v>0</v>
      </c>
      <c r="J724" t="n">
        <v>0</v>
      </c>
      <c r="K724" t="n">
        <v>0</v>
      </c>
      <c r="L724" t="n">
        <v>0</v>
      </c>
      <c r="M724" t="n">
        <v>0</v>
      </c>
      <c r="N724" t="n">
        <v>0</v>
      </c>
      <c r="O724" t="n">
        <v>0</v>
      </c>
      <c r="P724" t="n">
        <v>0</v>
      </c>
      <c r="Q724" t="n">
        <v>0</v>
      </c>
      <c r="R724" s="2" t="inlineStr"/>
    </row>
    <row r="725" ht="15" customHeight="1">
      <c r="A725" t="inlineStr">
        <is>
          <t>A 15120-2023</t>
        </is>
      </c>
      <c r="B725" s="1" t="n">
        <v>45016.46484953703</v>
      </c>
      <c r="C725" s="1" t="n">
        <v>45984</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17413-2023</t>
        </is>
      </c>
      <c r="B726" s="1" t="n">
        <v>45035</v>
      </c>
      <c r="C726" s="1" t="n">
        <v>45984</v>
      </c>
      <c r="D726" t="inlineStr">
        <is>
          <t>DALARNAS LÄN</t>
        </is>
      </c>
      <c r="E726" t="inlineStr">
        <is>
          <t>LEKSAND</t>
        </is>
      </c>
      <c r="G726" t="n">
        <v>1.7</v>
      </c>
      <c r="H726" t="n">
        <v>0</v>
      </c>
      <c r="I726" t="n">
        <v>0</v>
      </c>
      <c r="J726" t="n">
        <v>0</v>
      </c>
      <c r="K726" t="n">
        <v>0</v>
      </c>
      <c r="L726" t="n">
        <v>0</v>
      </c>
      <c r="M726" t="n">
        <v>0</v>
      </c>
      <c r="N726" t="n">
        <v>0</v>
      </c>
      <c r="O726" t="n">
        <v>0</v>
      </c>
      <c r="P726" t="n">
        <v>0</v>
      </c>
      <c r="Q726" t="n">
        <v>0</v>
      </c>
      <c r="R726" s="2" t="inlineStr"/>
    </row>
    <row r="727" ht="15" customHeight="1">
      <c r="A727" t="inlineStr">
        <is>
          <t>A 9138-2023</t>
        </is>
      </c>
      <c r="B727" s="1" t="n">
        <v>44974</v>
      </c>
      <c r="C727" s="1" t="n">
        <v>45984</v>
      </c>
      <c r="D727" t="inlineStr">
        <is>
          <t>DALARNAS LÄN</t>
        </is>
      </c>
      <c r="E727" t="inlineStr">
        <is>
          <t>LEKSAND</t>
        </is>
      </c>
      <c r="G727" t="n">
        <v>4.6</v>
      </c>
      <c r="H727" t="n">
        <v>0</v>
      </c>
      <c r="I727" t="n">
        <v>0</v>
      </c>
      <c r="J727" t="n">
        <v>0</v>
      </c>
      <c r="K727" t="n">
        <v>0</v>
      </c>
      <c r="L727" t="n">
        <v>0</v>
      </c>
      <c r="M727" t="n">
        <v>0</v>
      </c>
      <c r="N727" t="n">
        <v>0</v>
      </c>
      <c r="O727" t="n">
        <v>0</v>
      </c>
      <c r="P727" t="n">
        <v>0</v>
      </c>
      <c r="Q727" t="n">
        <v>0</v>
      </c>
      <c r="R727" s="2" t="inlineStr"/>
    </row>
    <row r="728" ht="15" customHeight="1">
      <c r="A728" t="inlineStr">
        <is>
          <t>A 61680-2024</t>
        </is>
      </c>
      <c r="B728" s="1" t="n">
        <v>45647.42890046296</v>
      </c>
      <c r="C728" s="1" t="n">
        <v>45984</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54911-2024</t>
        </is>
      </c>
      <c r="B729" s="1" t="n">
        <v>45618.68929398148</v>
      </c>
      <c r="C729" s="1" t="n">
        <v>45984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16611-2024</t>
        </is>
      </c>
      <c r="B730" s="1" t="n">
        <v>45408.55504629629</v>
      </c>
      <c r="C730" s="1" t="n">
        <v>45984</v>
      </c>
      <c r="D730" t="inlineStr">
        <is>
          <t>DALARNAS LÄN</t>
        </is>
      </c>
      <c r="E730" t="inlineStr">
        <is>
          <t>LEKSAND</t>
        </is>
      </c>
      <c r="G730" t="n">
        <v>5.9</v>
      </c>
      <c r="H730" t="n">
        <v>0</v>
      </c>
      <c r="I730" t="n">
        <v>0</v>
      </c>
      <c r="J730" t="n">
        <v>0</v>
      </c>
      <c r="K730" t="n">
        <v>0</v>
      </c>
      <c r="L730" t="n">
        <v>0</v>
      </c>
      <c r="M730" t="n">
        <v>0</v>
      </c>
      <c r="N730" t="n">
        <v>0</v>
      </c>
      <c r="O730" t="n">
        <v>0</v>
      </c>
      <c r="P730" t="n">
        <v>0</v>
      </c>
      <c r="Q730" t="n">
        <v>0</v>
      </c>
      <c r="R730" s="2" t="inlineStr"/>
    </row>
    <row r="731" ht="15" customHeight="1">
      <c r="A731" t="inlineStr">
        <is>
          <t>A 5574-2024</t>
        </is>
      </c>
      <c r="B731" s="1" t="n">
        <v>45334</v>
      </c>
      <c r="C731" s="1" t="n">
        <v>45984</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45512-2023</t>
        </is>
      </c>
      <c r="B732" s="1" t="n">
        <v>45194.49178240741</v>
      </c>
      <c r="C732" s="1" t="n">
        <v>45984</v>
      </c>
      <c r="D732" t="inlineStr">
        <is>
          <t>DALARNAS LÄN</t>
        </is>
      </c>
      <c r="E732" t="inlineStr">
        <is>
          <t>LEKSAND</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402-2024</t>
        </is>
      </c>
      <c r="B733" s="1" t="n">
        <v>45296.45545138889</v>
      </c>
      <c r="C733" s="1" t="n">
        <v>45984</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7778-2025</t>
        </is>
      </c>
      <c r="B734" s="1" t="n">
        <v>45706</v>
      </c>
      <c r="C734" s="1" t="n">
        <v>45984</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19590-2023</t>
        </is>
      </c>
      <c r="B735" s="1" t="n">
        <v>45049</v>
      </c>
      <c r="C735" s="1" t="n">
        <v>45984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39807-2024</t>
        </is>
      </c>
      <c r="B736" s="1" t="n">
        <v>45553.35763888889</v>
      </c>
      <c r="C736" s="1" t="n">
        <v>45984</v>
      </c>
      <c r="D736" t="inlineStr">
        <is>
          <t>DALARNAS LÄN</t>
        </is>
      </c>
      <c r="E736" t="inlineStr">
        <is>
          <t>LEKSAND</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31850-2024</t>
        </is>
      </c>
      <c r="B737" s="1" t="n">
        <v>45509.67334490741</v>
      </c>
      <c r="C737" s="1" t="n">
        <v>45984</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11277-2025</t>
        </is>
      </c>
      <c r="B738" s="1" t="n">
        <v>45726.41565972222</v>
      </c>
      <c r="C738" s="1" t="n">
        <v>45984</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325-2023</t>
        </is>
      </c>
      <c r="B739" s="1" t="n">
        <v>44929</v>
      </c>
      <c r="C739" s="1" t="n">
        <v>45984</v>
      </c>
      <c r="D739" t="inlineStr">
        <is>
          <t>DALARNAS LÄN</t>
        </is>
      </c>
      <c r="E739" t="inlineStr">
        <is>
          <t>LEKSAND</t>
        </is>
      </c>
      <c r="F739" t="inlineStr">
        <is>
          <t>Övriga Aktiebolag</t>
        </is>
      </c>
      <c r="G739" t="n">
        <v>7.1</v>
      </c>
      <c r="H739" t="n">
        <v>0</v>
      </c>
      <c r="I739" t="n">
        <v>0</v>
      </c>
      <c r="J739" t="n">
        <v>0</v>
      </c>
      <c r="K739" t="n">
        <v>0</v>
      </c>
      <c r="L739" t="n">
        <v>0</v>
      </c>
      <c r="M739" t="n">
        <v>0</v>
      </c>
      <c r="N739" t="n">
        <v>0</v>
      </c>
      <c r="O739" t="n">
        <v>0</v>
      </c>
      <c r="P739" t="n">
        <v>0</v>
      </c>
      <c r="Q739" t="n">
        <v>0</v>
      </c>
      <c r="R739" s="2" t="inlineStr"/>
    </row>
    <row r="740" ht="15" customHeight="1">
      <c r="A740" t="inlineStr">
        <is>
          <t>A 11678-2025</t>
        </is>
      </c>
      <c r="B740" s="1" t="n">
        <v>45726</v>
      </c>
      <c r="C740" s="1" t="n">
        <v>45984</v>
      </c>
      <c r="D740" t="inlineStr">
        <is>
          <t>DALARNAS LÄN</t>
        </is>
      </c>
      <c r="E740" t="inlineStr">
        <is>
          <t>LEKSAND</t>
        </is>
      </c>
      <c r="G740" t="n">
        <v>9.4</v>
      </c>
      <c r="H740" t="n">
        <v>0</v>
      </c>
      <c r="I740" t="n">
        <v>0</v>
      </c>
      <c r="J740" t="n">
        <v>0</v>
      </c>
      <c r="K740" t="n">
        <v>0</v>
      </c>
      <c r="L740" t="n">
        <v>0</v>
      </c>
      <c r="M740" t="n">
        <v>0</v>
      </c>
      <c r="N740" t="n">
        <v>0</v>
      </c>
      <c r="O740" t="n">
        <v>0</v>
      </c>
      <c r="P740" t="n">
        <v>0</v>
      </c>
      <c r="Q740" t="n">
        <v>0</v>
      </c>
      <c r="R740" s="2" t="inlineStr"/>
    </row>
    <row r="741" ht="15" customHeight="1">
      <c r="A741" t="inlineStr">
        <is>
          <t>A 28630-2023</t>
        </is>
      </c>
      <c r="B741" s="1" t="n">
        <v>45103.61003472222</v>
      </c>
      <c r="C741" s="1" t="n">
        <v>45984</v>
      </c>
      <c r="D741" t="inlineStr">
        <is>
          <t>DALARNAS LÄN</t>
        </is>
      </c>
      <c r="E741" t="inlineStr">
        <is>
          <t>LEKSAND</t>
        </is>
      </c>
      <c r="F741" t="inlineStr">
        <is>
          <t>Bergvik skog väst AB</t>
        </is>
      </c>
      <c r="G741" t="n">
        <v>0.3</v>
      </c>
      <c r="H741" t="n">
        <v>0</v>
      </c>
      <c r="I741" t="n">
        <v>0</v>
      </c>
      <c r="J741" t="n">
        <v>0</v>
      </c>
      <c r="K741" t="n">
        <v>0</v>
      </c>
      <c r="L741" t="n">
        <v>0</v>
      </c>
      <c r="M741" t="n">
        <v>0</v>
      </c>
      <c r="N741" t="n">
        <v>0</v>
      </c>
      <c r="O741" t="n">
        <v>0</v>
      </c>
      <c r="P741" t="n">
        <v>0</v>
      </c>
      <c r="Q741" t="n">
        <v>0</v>
      </c>
      <c r="R741" s="2" t="inlineStr"/>
    </row>
    <row r="742" ht="15" customHeight="1">
      <c r="A742" t="inlineStr">
        <is>
          <t>A 7759-2025</t>
        </is>
      </c>
      <c r="B742" s="1" t="n">
        <v>45706.53827546296</v>
      </c>
      <c r="C742" s="1" t="n">
        <v>45984</v>
      </c>
      <c r="D742" t="inlineStr">
        <is>
          <t>DALARNAS LÄN</t>
        </is>
      </c>
      <c r="E742" t="inlineStr">
        <is>
          <t>LEKSAND</t>
        </is>
      </c>
      <c r="G742" t="n">
        <v>3.3</v>
      </c>
      <c r="H742" t="n">
        <v>0</v>
      </c>
      <c r="I742" t="n">
        <v>0</v>
      </c>
      <c r="J742" t="n">
        <v>0</v>
      </c>
      <c r="K742" t="n">
        <v>0</v>
      </c>
      <c r="L742" t="n">
        <v>0</v>
      </c>
      <c r="M742" t="n">
        <v>0</v>
      </c>
      <c r="N742" t="n">
        <v>0</v>
      </c>
      <c r="O742" t="n">
        <v>0</v>
      </c>
      <c r="P742" t="n">
        <v>0</v>
      </c>
      <c r="Q742" t="n">
        <v>0</v>
      </c>
      <c r="R742" s="2" t="inlineStr"/>
    </row>
    <row r="743" ht="15" customHeight="1">
      <c r="A743" t="inlineStr">
        <is>
          <t>A 17078-2023</t>
        </is>
      </c>
      <c r="B743" s="1" t="n">
        <v>45034</v>
      </c>
      <c r="C743" s="1" t="n">
        <v>45984</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14865-2025</t>
        </is>
      </c>
      <c r="B744" s="1" t="n">
        <v>45743.43929398148</v>
      </c>
      <c r="C744" s="1" t="n">
        <v>45984</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16854-2025</t>
        </is>
      </c>
      <c r="B745" s="1" t="n">
        <v>45754.72883101852</v>
      </c>
      <c r="C745" s="1" t="n">
        <v>45984</v>
      </c>
      <c r="D745" t="inlineStr">
        <is>
          <t>DALARNAS LÄN</t>
        </is>
      </c>
      <c r="E745" t="inlineStr">
        <is>
          <t>LEKSAND</t>
        </is>
      </c>
      <c r="G745" t="n">
        <v>1.2</v>
      </c>
      <c r="H745" t="n">
        <v>0</v>
      </c>
      <c r="I745" t="n">
        <v>0</v>
      </c>
      <c r="J745" t="n">
        <v>0</v>
      </c>
      <c r="K745" t="n">
        <v>0</v>
      </c>
      <c r="L745" t="n">
        <v>0</v>
      </c>
      <c r="M745" t="n">
        <v>0</v>
      </c>
      <c r="N745" t="n">
        <v>0</v>
      </c>
      <c r="O745" t="n">
        <v>0</v>
      </c>
      <c r="P745" t="n">
        <v>0</v>
      </c>
      <c r="Q745" t="n">
        <v>0</v>
      </c>
      <c r="R745" s="2" t="inlineStr"/>
    </row>
    <row r="746" ht="15" customHeight="1">
      <c r="A746" t="inlineStr">
        <is>
          <t>A 5847-2025</t>
        </is>
      </c>
      <c r="B746" s="1" t="n">
        <v>45695.30824074074</v>
      </c>
      <c r="C746" s="1" t="n">
        <v>45984</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45984</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18481-2024</t>
        </is>
      </c>
      <c r="B748" s="1" t="n">
        <v>45425.52193287037</v>
      </c>
      <c r="C748" s="1" t="n">
        <v>45984</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18484-2024</t>
        </is>
      </c>
      <c r="B749" s="1" t="n">
        <v>45425.52559027778</v>
      </c>
      <c r="C749" s="1" t="n">
        <v>45984</v>
      </c>
      <c r="D749" t="inlineStr">
        <is>
          <t>DALARNAS LÄN</t>
        </is>
      </c>
      <c r="E749" t="inlineStr">
        <is>
          <t>LEKSAND</t>
        </is>
      </c>
      <c r="G749" t="n">
        <v>2</v>
      </c>
      <c r="H749" t="n">
        <v>0</v>
      </c>
      <c r="I749" t="n">
        <v>0</v>
      </c>
      <c r="J749" t="n">
        <v>0</v>
      </c>
      <c r="K749" t="n">
        <v>0</v>
      </c>
      <c r="L749" t="n">
        <v>0</v>
      </c>
      <c r="M749" t="n">
        <v>0</v>
      </c>
      <c r="N749" t="n">
        <v>0</v>
      </c>
      <c r="O749" t="n">
        <v>0</v>
      </c>
      <c r="P749" t="n">
        <v>0</v>
      </c>
      <c r="Q749" t="n">
        <v>0</v>
      </c>
      <c r="R749" s="2" t="inlineStr"/>
    </row>
    <row r="750" ht="15" customHeight="1">
      <c r="A750" t="inlineStr">
        <is>
          <t>A 53193-2024</t>
        </is>
      </c>
      <c r="B750" s="1" t="n">
        <v>45610</v>
      </c>
      <c r="C750" s="1" t="n">
        <v>45984</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11080-2023</t>
        </is>
      </c>
      <c r="B751" s="1" t="n">
        <v>44992</v>
      </c>
      <c r="C751" s="1" t="n">
        <v>45984</v>
      </c>
      <c r="D751" t="inlineStr">
        <is>
          <t>DALARNAS LÄN</t>
        </is>
      </c>
      <c r="E751" t="inlineStr">
        <is>
          <t>LEKSAND</t>
        </is>
      </c>
      <c r="G751" t="n">
        <v>6.9</v>
      </c>
      <c r="H751" t="n">
        <v>0</v>
      </c>
      <c r="I751" t="n">
        <v>0</v>
      </c>
      <c r="J751" t="n">
        <v>0</v>
      </c>
      <c r="K751" t="n">
        <v>0</v>
      </c>
      <c r="L751" t="n">
        <v>0</v>
      </c>
      <c r="M751" t="n">
        <v>0</v>
      </c>
      <c r="N751" t="n">
        <v>0</v>
      </c>
      <c r="O751" t="n">
        <v>0</v>
      </c>
      <c r="P751" t="n">
        <v>0</v>
      </c>
      <c r="Q751" t="n">
        <v>0</v>
      </c>
      <c r="R751" s="2" t="inlineStr"/>
    </row>
    <row r="752" ht="15" customHeight="1">
      <c r="A752" t="inlineStr">
        <is>
          <t>A 26957-2023</t>
        </is>
      </c>
      <c r="B752" s="1" t="n">
        <v>45093</v>
      </c>
      <c r="C752" s="1" t="n">
        <v>45984</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19371-2024</t>
        </is>
      </c>
      <c r="B753" s="1" t="n">
        <v>45429.34969907408</v>
      </c>
      <c r="C753" s="1" t="n">
        <v>45984</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7827-2024</t>
        </is>
      </c>
      <c r="B754" s="1" t="n">
        <v>45349.7467824074</v>
      </c>
      <c r="C754" s="1" t="n">
        <v>45984</v>
      </c>
      <c r="D754" t="inlineStr">
        <is>
          <t>DALARNAS LÄN</t>
        </is>
      </c>
      <c r="E754" t="inlineStr">
        <is>
          <t>LEKSAND</t>
        </is>
      </c>
      <c r="G754" t="n">
        <v>2.2</v>
      </c>
      <c r="H754" t="n">
        <v>0</v>
      </c>
      <c r="I754" t="n">
        <v>0</v>
      </c>
      <c r="J754" t="n">
        <v>0</v>
      </c>
      <c r="K754" t="n">
        <v>0</v>
      </c>
      <c r="L754" t="n">
        <v>0</v>
      </c>
      <c r="M754" t="n">
        <v>0</v>
      </c>
      <c r="N754" t="n">
        <v>0</v>
      </c>
      <c r="O754" t="n">
        <v>0</v>
      </c>
      <c r="P754" t="n">
        <v>0</v>
      </c>
      <c r="Q754" t="n">
        <v>0</v>
      </c>
      <c r="R754" s="2" t="inlineStr"/>
    </row>
    <row r="755" ht="15" customHeight="1">
      <c r="A755" t="inlineStr">
        <is>
          <t>A 49405-2024</t>
        </is>
      </c>
      <c r="B755" s="1" t="n">
        <v>45595</v>
      </c>
      <c r="C755" s="1" t="n">
        <v>45984</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20683-2025</t>
        </is>
      </c>
      <c r="B756" s="1" t="n">
        <v>45776</v>
      </c>
      <c r="C756" s="1" t="n">
        <v>45984</v>
      </c>
      <c r="D756" t="inlineStr">
        <is>
          <t>DALARNAS LÄN</t>
        </is>
      </c>
      <c r="E756" t="inlineStr">
        <is>
          <t>LEKSAND</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20937-2025</t>
        </is>
      </c>
      <c r="B757" s="1" t="n">
        <v>45777.42769675926</v>
      </c>
      <c r="C757" s="1" t="n">
        <v>45984</v>
      </c>
      <c r="D757" t="inlineStr">
        <is>
          <t>DALARNAS LÄN</t>
        </is>
      </c>
      <c r="E757" t="inlineStr">
        <is>
          <t>LEKSAND</t>
        </is>
      </c>
      <c r="G757" t="n">
        <v>2.2</v>
      </c>
      <c r="H757" t="n">
        <v>0</v>
      </c>
      <c r="I757" t="n">
        <v>0</v>
      </c>
      <c r="J757" t="n">
        <v>0</v>
      </c>
      <c r="K757" t="n">
        <v>0</v>
      </c>
      <c r="L757" t="n">
        <v>0</v>
      </c>
      <c r="M757" t="n">
        <v>0</v>
      </c>
      <c r="N757" t="n">
        <v>0</v>
      </c>
      <c r="O757" t="n">
        <v>0</v>
      </c>
      <c r="P757" t="n">
        <v>0</v>
      </c>
      <c r="Q757" t="n">
        <v>0</v>
      </c>
      <c r="R757" s="2" t="inlineStr"/>
    </row>
    <row r="758" ht="15" customHeight="1">
      <c r="A758" t="inlineStr">
        <is>
          <t>A 21457-2025</t>
        </is>
      </c>
      <c r="B758" s="1" t="n">
        <v>45782.55451388889</v>
      </c>
      <c r="C758" s="1" t="n">
        <v>45984</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21230-2025</t>
        </is>
      </c>
      <c r="B759" s="1" t="n">
        <v>45779.54589120371</v>
      </c>
      <c r="C759" s="1" t="n">
        <v>45984</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21193-2025</t>
        </is>
      </c>
      <c r="B760" s="1" t="n">
        <v>45779.46675925926</v>
      </c>
      <c r="C760" s="1" t="n">
        <v>45984</v>
      </c>
      <c r="D760" t="inlineStr">
        <is>
          <t>DALARNAS LÄN</t>
        </is>
      </c>
      <c r="E760" t="inlineStr">
        <is>
          <t>LEKSAND</t>
        </is>
      </c>
      <c r="G760" t="n">
        <v>3.7</v>
      </c>
      <c r="H760" t="n">
        <v>0</v>
      </c>
      <c r="I760" t="n">
        <v>0</v>
      </c>
      <c r="J760" t="n">
        <v>0</v>
      </c>
      <c r="K760" t="n">
        <v>0</v>
      </c>
      <c r="L760" t="n">
        <v>0</v>
      </c>
      <c r="M760" t="n">
        <v>0</v>
      </c>
      <c r="N760" t="n">
        <v>0</v>
      </c>
      <c r="O760" t="n">
        <v>0</v>
      </c>
      <c r="P760" t="n">
        <v>0</v>
      </c>
      <c r="Q760" t="n">
        <v>0</v>
      </c>
      <c r="R760" s="2" t="inlineStr"/>
    </row>
    <row r="761" ht="15" customHeight="1">
      <c r="A761" t="inlineStr">
        <is>
          <t>A 11872-2024</t>
        </is>
      </c>
      <c r="B761" s="1" t="n">
        <v>45376.46833333333</v>
      </c>
      <c r="C761" s="1" t="n">
        <v>45984</v>
      </c>
      <c r="D761" t="inlineStr">
        <is>
          <t>DALARNAS LÄN</t>
        </is>
      </c>
      <c r="E761" t="inlineStr">
        <is>
          <t>LEKSAND</t>
        </is>
      </c>
      <c r="G761" t="n">
        <v>3.1</v>
      </c>
      <c r="H761" t="n">
        <v>0</v>
      </c>
      <c r="I761" t="n">
        <v>0</v>
      </c>
      <c r="J761" t="n">
        <v>0</v>
      </c>
      <c r="K761" t="n">
        <v>0</v>
      </c>
      <c r="L761" t="n">
        <v>0</v>
      </c>
      <c r="M761" t="n">
        <v>0</v>
      </c>
      <c r="N761" t="n">
        <v>0</v>
      </c>
      <c r="O761" t="n">
        <v>0</v>
      </c>
      <c r="P761" t="n">
        <v>0</v>
      </c>
      <c r="Q761" t="n">
        <v>0</v>
      </c>
      <c r="R761" s="2" t="inlineStr"/>
    </row>
    <row r="762" ht="15" customHeight="1">
      <c r="A762" t="inlineStr">
        <is>
          <t>A 21600-2025</t>
        </is>
      </c>
      <c r="B762" s="1" t="n">
        <v>45783.3521875</v>
      </c>
      <c r="C762" s="1" t="n">
        <v>45984</v>
      </c>
      <c r="D762" t="inlineStr">
        <is>
          <t>DALARNAS LÄN</t>
        </is>
      </c>
      <c r="E762" t="inlineStr">
        <is>
          <t>LEKSAND</t>
        </is>
      </c>
      <c r="G762" t="n">
        <v>7.7</v>
      </c>
      <c r="H762" t="n">
        <v>0</v>
      </c>
      <c r="I762" t="n">
        <v>0</v>
      </c>
      <c r="J762" t="n">
        <v>0</v>
      </c>
      <c r="K762" t="n">
        <v>0</v>
      </c>
      <c r="L762" t="n">
        <v>0</v>
      </c>
      <c r="M762" t="n">
        <v>0</v>
      </c>
      <c r="N762" t="n">
        <v>0</v>
      </c>
      <c r="O762" t="n">
        <v>0</v>
      </c>
      <c r="P762" t="n">
        <v>0</v>
      </c>
      <c r="Q762" t="n">
        <v>0</v>
      </c>
      <c r="R762" s="2" t="inlineStr"/>
    </row>
    <row r="763" ht="15" customHeight="1">
      <c r="A763" t="inlineStr">
        <is>
          <t>A 40627-2023</t>
        </is>
      </c>
      <c r="B763" s="1" t="n">
        <v>45170</v>
      </c>
      <c r="C763" s="1" t="n">
        <v>45984</v>
      </c>
      <c r="D763" t="inlineStr">
        <is>
          <t>DALARNAS LÄN</t>
        </is>
      </c>
      <c r="E763" t="inlineStr">
        <is>
          <t>LEKSAND</t>
        </is>
      </c>
      <c r="F763" t="inlineStr">
        <is>
          <t>Bergvik skog väst AB</t>
        </is>
      </c>
      <c r="G763" t="n">
        <v>3.3</v>
      </c>
      <c r="H763" t="n">
        <v>0</v>
      </c>
      <c r="I763" t="n">
        <v>0</v>
      </c>
      <c r="J763" t="n">
        <v>0</v>
      </c>
      <c r="K763" t="n">
        <v>0</v>
      </c>
      <c r="L763" t="n">
        <v>0</v>
      </c>
      <c r="M763" t="n">
        <v>0</v>
      </c>
      <c r="N763" t="n">
        <v>0</v>
      </c>
      <c r="O763" t="n">
        <v>0</v>
      </c>
      <c r="P763" t="n">
        <v>0</v>
      </c>
      <c r="Q763" t="n">
        <v>0</v>
      </c>
      <c r="R763" s="2" t="inlineStr"/>
    </row>
    <row r="764" ht="15" customHeight="1">
      <c r="A764" t="inlineStr">
        <is>
          <t>A 21916-2025</t>
        </is>
      </c>
      <c r="B764" s="1" t="n">
        <v>45784.50115740741</v>
      </c>
      <c r="C764" s="1" t="n">
        <v>45984</v>
      </c>
      <c r="D764" t="inlineStr">
        <is>
          <t>DALARNAS LÄN</t>
        </is>
      </c>
      <c r="E764" t="inlineStr">
        <is>
          <t>LEKSAND</t>
        </is>
      </c>
      <c r="G764" t="n">
        <v>2.6</v>
      </c>
      <c r="H764" t="n">
        <v>0</v>
      </c>
      <c r="I764" t="n">
        <v>0</v>
      </c>
      <c r="J764" t="n">
        <v>0</v>
      </c>
      <c r="K764" t="n">
        <v>0</v>
      </c>
      <c r="L764" t="n">
        <v>0</v>
      </c>
      <c r="M764" t="n">
        <v>0</v>
      </c>
      <c r="N764" t="n">
        <v>0</v>
      </c>
      <c r="O764" t="n">
        <v>0</v>
      </c>
      <c r="P764" t="n">
        <v>0</v>
      </c>
      <c r="Q764" t="n">
        <v>0</v>
      </c>
      <c r="R764" s="2" t="inlineStr"/>
    </row>
    <row r="765" ht="15" customHeight="1">
      <c r="A765" t="inlineStr">
        <is>
          <t>A 14967-2023</t>
        </is>
      </c>
      <c r="B765" s="1" t="n">
        <v>45015</v>
      </c>
      <c r="C765" s="1" t="n">
        <v>45984</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62307-2023</t>
        </is>
      </c>
      <c r="B766" s="1" t="n">
        <v>45266</v>
      </c>
      <c r="C766" s="1" t="n">
        <v>45984</v>
      </c>
      <c r="D766" t="inlineStr">
        <is>
          <t>DALARNAS LÄN</t>
        </is>
      </c>
      <c r="E766" t="inlineStr">
        <is>
          <t>LEKSAND</t>
        </is>
      </c>
      <c r="G766" t="n">
        <v>3.9</v>
      </c>
      <c r="H766" t="n">
        <v>0</v>
      </c>
      <c r="I766" t="n">
        <v>0</v>
      </c>
      <c r="J766" t="n">
        <v>0</v>
      </c>
      <c r="K766" t="n">
        <v>0</v>
      </c>
      <c r="L766" t="n">
        <v>0</v>
      </c>
      <c r="M766" t="n">
        <v>0</v>
      </c>
      <c r="N766" t="n">
        <v>0</v>
      </c>
      <c r="O766" t="n">
        <v>0</v>
      </c>
      <c r="P766" t="n">
        <v>0</v>
      </c>
      <c r="Q766" t="n">
        <v>0</v>
      </c>
      <c r="R766" s="2" t="inlineStr"/>
    </row>
    <row r="767">
      <c r="A767" t="inlineStr">
        <is>
          <t>A 61554-2024</t>
        </is>
      </c>
      <c r="B767" s="1" t="n">
        <v>45646.60748842593</v>
      </c>
      <c r="C767" s="1" t="n">
        <v>45984</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2025-11-23T10:13:39Z</dcterms:created>
  <dcterms:modified xmlns:dcterms="http://purl.org/dc/terms/" xmlns:xsi="http://www.w3.org/2001/XMLSchema-instance" xsi:type="dcterms:W3CDTF">2025-11-23T10:13:40Z</dcterms:modified>
</cp:coreProperties>
</file>