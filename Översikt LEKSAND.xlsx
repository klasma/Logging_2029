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45936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9501-2025</t>
        </is>
      </c>
      <c r="B14" s="1" t="n">
        <v>45715</v>
      </c>
      <c r="C14" s="1" t="n">
        <v>45936</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11067-2023</t>
        </is>
      </c>
      <c r="B15" s="1" t="n">
        <v>44992</v>
      </c>
      <c r="C15" s="1" t="n">
        <v>45936</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8529-2023</t>
        </is>
      </c>
      <c r="B16" s="1" t="n">
        <v>44977</v>
      </c>
      <c r="C16" s="1" t="n">
        <v>45936</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45936</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45936</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45936</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45936</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45936</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45936</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6778-2022</t>
        </is>
      </c>
      <c r="B23" s="1" t="n">
        <v>44602</v>
      </c>
      <c r="C23" s="1" t="n">
        <v>45936</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45936</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45936</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45936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45936</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45936</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41718-2021</t>
        </is>
      </c>
      <c r="B29" s="1" t="n">
        <v>44425</v>
      </c>
      <c r="C29" s="1" t="n">
        <v>45936</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23137-2022</t>
        </is>
      </c>
      <c r="B30" s="1" t="n">
        <v>44719</v>
      </c>
      <c r="C30" s="1" t="n">
        <v>45936</v>
      </c>
      <c r="D30" t="inlineStr">
        <is>
          <t>DALARNAS LÄN</t>
        </is>
      </c>
      <c r="E30" t="inlineStr">
        <is>
          <t>LEKSAND</t>
        </is>
      </c>
      <c r="G30" t="n">
        <v>3</v>
      </c>
      <c r="H30" t="n">
        <v>0</v>
      </c>
      <c r="I30" t="n">
        <v>0</v>
      </c>
      <c r="J30" t="n">
        <v>0</v>
      </c>
      <c r="K30" t="n">
        <v>1</v>
      </c>
      <c r="L30" t="n">
        <v>0</v>
      </c>
      <c r="M30" t="n">
        <v>0</v>
      </c>
      <c r="N30" t="n">
        <v>0</v>
      </c>
      <c r="O30" t="n">
        <v>1</v>
      </c>
      <c r="P30" t="n">
        <v>1</v>
      </c>
      <c r="Q30" t="n">
        <v>1</v>
      </c>
      <c r="R30" s="2" t="inlineStr">
        <is>
          <t>Koppartaggsvamp</t>
        </is>
      </c>
      <c r="S30">
        <f>HYPERLINK("https://klasma.github.io/Logging_2029/artfynd/A 23137-2022 artfynd.xlsx", "A 23137-2022")</f>
        <v/>
      </c>
      <c r="T30">
        <f>HYPERLINK("https://klasma.github.io/Logging_2029/kartor/A 23137-2022 karta.png", "A 23137-2022")</f>
        <v/>
      </c>
      <c r="V30">
        <f>HYPERLINK("https://klasma.github.io/Logging_2029/klagomål/A 23137-2022 FSC-klagomål.docx", "A 23137-2022")</f>
        <v/>
      </c>
      <c r="W30">
        <f>HYPERLINK("https://klasma.github.io/Logging_2029/klagomålsmail/A 23137-2022 FSC-klagomål mail.docx", "A 23137-2022")</f>
        <v/>
      </c>
      <c r="X30">
        <f>HYPERLINK("https://klasma.github.io/Logging_2029/tillsyn/A 23137-2022 tillsynsbegäran.docx", "A 23137-2022")</f>
        <v/>
      </c>
      <c r="Y30">
        <f>HYPERLINK("https://klasma.github.io/Logging_2029/tillsynsmail/A 23137-2022 tillsynsbegäran mail.docx", "A 23137-2022")</f>
        <v/>
      </c>
    </row>
    <row r="31" ht="15" customHeight="1">
      <c r="A31" t="inlineStr">
        <is>
          <t>A 55633-2024</t>
        </is>
      </c>
      <c r="B31" s="1" t="n">
        <v>45621</v>
      </c>
      <c r="C31" s="1" t="n">
        <v>45936</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45375-2025</t>
        </is>
      </c>
      <c r="B32" s="1" t="n">
        <v>45922.39347222223</v>
      </c>
      <c r="C32" s="1" t="n">
        <v>45936</v>
      </c>
      <c r="D32" t="inlineStr">
        <is>
          <t>DALARNAS LÄN</t>
        </is>
      </c>
      <c r="E32" t="inlineStr">
        <is>
          <t>LEKSAND</t>
        </is>
      </c>
      <c r="G32" t="n">
        <v>4.3</v>
      </c>
      <c r="H32" t="n">
        <v>1</v>
      </c>
      <c r="I32" t="n">
        <v>0</v>
      </c>
      <c r="J32" t="n">
        <v>0</v>
      </c>
      <c r="K32" t="n">
        <v>0</v>
      </c>
      <c r="L32" t="n">
        <v>1</v>
      </c>
      <c r="M32" t="n">
        <v>0</v>
      </c>
      <c r="N32" t="n">
        <v>0</v>
      </c>
      <c r="O32" t="n">
        <v>1</v>
      </c>
      <c r="P32" t="n">
        <v>1</v>
      </c>
      <c r="Q32" t="n">
        <v>1</v>
      </c>
      <c r="R32" s="2" t="inlineStr">
        <is>
          <t>Mosippa</t>
        </is>
      </c>
      <c r="S32">
        <f>HYPERLINK("https://klasma.github.io/Logging_2029/artfynd/A 45375-2025 artfynd.xlsx", "A 45375-2025")</f>
        <v/>
      </c>
      <c r="T32">
        <f>HYPERLINK("https://klasma.github.io/Logging_2029/kartor/A 45375-2025 karta.png", "A 45375-2025")</f>
        <v/>
      </c>
      <c r="V32">
        <f>HYPERLINK("https://klasma.github.io/Logging_2029/klagomål/A 45375-2025 FSC-klagomål.docx", "A 45375-2025")</f>
        <v/>
      </c>
      <c r="W32">
        <f>HYPERLINK("https://klasma.github.io/Logging_2029/klagomålsmail/A 45375-2025 FSC-klagomål mail.docx", "A 45375-2025")</f>
        <v/>
      </c>
      <c r="X32">
        <f>HYPERLINK("https://klasma.github.io/Logging_2029/tillsyn/A 45375-2025 tillsynsbegäran.docx", "A 45375-2025")</f>
        <v/>
      </c>
      <c r="Y32">
        <f>HYPERLINK("https://klasma.github.io/Logging_2029/tillsynsmail/A 45375-2025 tillsynsbegäran mail.docx", "A 45375-2025")</f>
        <v/>
      </c>
    </row>
    <row r="33" ht="15" customHeight="1">
      <c r="A33" t="inlineStr">
        <is>
          <t>A 164-2024</t>
        </is>
      </c>
      <c r="B33" s="1" t="n">
        <v>45294.49954861111</v>
      </c>
      <c r="C33" s="1" t="n">
        <v>45936</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26287-2023</t>
        </is>
      </c>
      <c r="B34" s="1" t="n">
        <v>45091</v>
      </c>
      <c r="C34" s="1" t="n">
        <v>45936</v>
      </c>
      <c r="D34" t="inlineStr">
        <is>
          <t>DALARNAS LÄN</t>
        </is>
      </c>
      <c r="E34" t="inlineStr">
        <is>
          <t>LEKSAND</t>
        </is>
      </c>
      <c r="G34" t="n">
        <v>2.4</v>
      </c>
      <c r="H34" t="n">
        <v>0</v>
      </c>
      <c r="I34" t="n">
        <v>1</v>
      </c>
      <c r="J34" t="n">
        <v>0</v>
      </c>
      <c r="K34" t="n">
        <v>0</v>
      </c>
      <c r="L34" t="n">
        <v>0</v>
      </c>
      <c r="M34" t="n">
        <v>0</v>
      </c>
      <c r="N34" t="n">
        <v>0</v>
      </c>
      <c r="O34" t="n">
        <v>0</v>
      </c>
      <c r="P34" t="n">
        <v>0</v>
      </c>
      <c r="Q34" t="n">
        <v>1</v>
      </c>
      <c r="R34" s="2" t="inlineStr">
        <is>
          <t>Mindre märgborre</t>
        </is>
      </c>
      <c r="S34">
        <f>HYPERLINK("https://klasma.github.io/Logging_2029/artfynd/A 26287-2023 artfynd.xlsx", "A 26287-2023")</f>
        <v/>
      </c>
      <c r="T34">
        <f>HYPERLINK("https://klasma.github.io/Logging_2029/kartor/A 26287-2023 karta.png", "A 26287-2023")</f>
        <v/>
      </c>
      <c r="V34">
        <f>HYPERLINK("https://klasma.github.io/Logging_2029/klagomål/A 26287-2023 FSC-klagomål.docx", "A 26287-2023")</f>
        <v/>
      </c>
      <c r="W34">
        <f>HYPERLINK("https://klasma.github.io/Logging_2029/klagomålsmail/A 26287-2023 FSC-klagomål mail.docx", "A 26287-2023")</f>
        <v/>
      </c>
      <c r="X34">
        <f>HYPERLINK("https://klasma.github.io/Logging_2029/tillsyn/A 26287-2023 tillsynsbegäran.docx", "A 26287-2023")</f>
        <v/>
      </c>
      <c r="Y34">
        <f>HYPERLINK("https://klasma.github.io/Logging_2029/tillsynsmail/A 26287-2023 tillsynsbegäran mail.docx", "A 26287-2023")</f>
        <v/>
      </c>
    </row>
    <row r="35" ht="15" customHeight="1">
      <c r="A35" t="inlineStr">
        <is>
          <t>A 59205-2023</t>
        </is>
      </c>
      <c r="B35" s="1" t="n">
        <v>45251</v>
      </c>
      <c r="C35" s="1" t="n">
        <v>45936</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6029-2025</t>
        </is>
      </c>
      <c r="B36" s="1" t="n">
        <v>45695</v>
      </c>
      <c r="C36" s="1" t="n">
        <v>45936</v>
      </c>
      <c r="D36" t="inlineStr">
        <is>
          <t>DALARNAS LÄN</t>
        </is>
      </c>
      <c r="E36" t="inlineStr">
        <is>
          <t>LEKSAND</t>
        </is>
      </c>
      <c r="G36" t="n">
        <v>3.5</v>
      </c>
      <c r="H36" t="n">
        <v>1</v>
      </c>
      <c r="I36" t="n">
        <v>0</v>
      </c>
      <c r="J36" t="n">
        <v>1</v>
      </c>
      <c r="K36" t="n">
        <v>0</v>
      </c>
      <c r="L36" t="n">
        <v>0</v>
      </c>
      <c r="M36" t="n">
        <v>0</v>
      </c>
      <c r="N36" t="n">
        <v>0</v>
      </c>
      <c r="O36" t="n">
        <v>1</v>
      </c>
      <c r="P36" t="n">
        <v>0</v>
      </c>
      <c r="Q36" t="n">
        <v>1</v>
      </c>
      <c r="R36" s="2" t="inlineStr">
        <is>
          <t>Spillkråka</t>
        </is>
      </c>
      <c r="S36">
        <f>HYPERLINK("https://klasma.github.io/Logging_2029/artfynd/A 6029-2025 artfynd.xlsx", "A 6029-2025")</f>
        <v/>
      </c>
      <c r="T36">
        <f>HYPERLINK("https://klasma.github.io/Logging_2029/kartor/A 6029-2025 karta.png", "A 6029-2025")</f>
        <v/>
      </c>
      <c r="V36">
        <f>HYPERLINK("https://klasma.github.io/Logging_2029/klagomål/A 6029-2025 FSC-klagomål.docx", "A 6029-2025")</f>
        <v/>
      </c>
      <c r="W36">
        <f>HYPERLINK("https://klasma.github.io/Logging_2029/klagomålsmail/A 6029-2025 FSC-klagomål mail.docx", "A 6029-2025")</f>
        <v/>
      </c>
      <c r="X36">
        <f>HYPERLINK("https://klasma.github.io/Logging_2029/tillsyn/A 6029-2025 tillsynsbegäran.docx", "A 6029-2025")</f>
        <v/>
      </c>
      <c r="Y36">
        <f>HYPERLINK("https://klasma.github.io/Logging_2029/tillsynsmail/A 6029-2025 tillsynsbegäran mail.docx", "A 6029-2025")</f>
        <v/>
      </c>
      <c r="Z36">
        <f>HYPERLINK("https://klasma.github.io/Logging_2029/fåglar/A 6029-2025 prioriterade fågelarter.docx", "A 6029-2025")</f>
        <v/>
      </c>
    </row>
    <row r="37" ht="15" customHeight="1">
      <c r="A37" t="inlineStr">
        <is>
          <t>A 4974-2025</t>
        </is>
      </c>
      <c r="B37" s="1" t="n">
        <v>45690.8478587963</v>
      </c>
      <c r="C37" s="1" t="n">
        <v>45936</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52600-2024</t>
        </is>
      </c>
      <c r="B38" s="1" t="n">
        <v>45609</v>
      </c>
      <c r="C38" s="1" t="n">
        <v>45936</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41873-2022</t>
        </is>
      </c>
      <c r="B39" s="1" t="n">
        <v>44829</v>
      </c>
      <c r="C39" s="1" t="n">
        <v>45936</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16735-2025</t>
        </is>
      </c>
      <c r="B40" s="1" t="n">
        <v>45754.54314814815</v>
      </c>
      <c r="C40" s="1" t="n">
        <v>45936</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16333-2023</t>
        </is>
      </c>
      <c r="B41" s="1" t="n">
        <v>45028</v>
      </c>
      <c r="C41" s="1" t="n">
        <v>45936</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47601-2025</t>
        </is>
      </c>
      <c r="B42" s="1" t="n">
        <v>45931.46008101852</v>
      </c>
      <c r="C42" s="1" t="n">
        <v>45936</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53633-2024</t>
        </is>
      </c>
      <c r="B43" s="1" t="n">
        <v>45614.83726851852</v>
      </c>
      <c r="C43" s="1" t="n">
        <v>45936</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31124-2024</t>
        </is>
      </c>
      <c r="B44" s="1" t="n">
        <v>45502.62886574074</v>
      </c>
      <c r="C44" s="1" t="n">
        <v>45936</v>
      </c>
      <c r="D44" t="inlineStr">
        <is>
          <t>DALARNAS LÄN</t>
        </is>
      </c>
      <c r="E44" t="inlineStr">
        <is>
          <t>LEKSAND</t>
        </is>
      </c>
      <c r="G44" t="n">
        <v>1.9</v>
      </c>
      <c r="H44" t="n">
        <v>1</v>
      </c>
      <c r="I44" t="n">
        <v>0</v>
      </c>
      <c r="J44" t="n">
        <v>0</v>
      </c>
      <c r="K44" t="n">
        <v>1</v>
      </c>
      <c r="L44" t="n">
        <v>0</v>
      </c>
      <c r="M44" t="n">
        <v>0</v>
      </c>
      <c r="N44" t="n">
        <v>0</v>
      </c>
      <c r="O44" t="n">
        <v>1</v>
      </c>
      <c r="P44" t="n">
        <v>1</v>
      </c>
      <c r="Q44" t="n">
        <v>1</v>
      </c>
      <c r="R44" s="2" t="inlineStr">
        <is>
          <t>Väddnätfjäril</t>
        </is>
      </c>
      <c r="S44">
        <f>HYPERLINK("https://klasma.github.io/Logging_2029/artfynd/A 31124-2024 artfynd.xlsx", "A 31124-2024")</f>
        <v/>
      </c>
      <c r="T44">
        <f>HYPERLINK("https://klasma.github.io/Logging_2029/kartor/A 31124-2024 karta.png", "A 31124-2024")</f>
        <v/>
      </c>
      <c r="V44">
        <f>HYPERLINK("https://klasma.github.io/Logging_2029/klagomål/A 31124-2024 FSC-klagomål.docx", "A 31124-2024")</f>
        <v/>
      </c>
      <c r="W44">
        <f>HYPERLINK("https://klasma.github.io/Logging_2029/klagomålsmail/A 31124-2024 FSC-klagomål mail.docx", "A 31124-2024")</f>
        <v/>
      </c>
      <c r="X44">
        <f>HYPERLINK("https://klasma.github.io/Logging_2029/tillsyn/A 31124-2024 tillsynsbegäran.docx", "A 31124-2024")</f>
        <v/>
      </c>
      <c r="Y44">
        <f>HYPERLINK("https://klasma.github.io/Logging_2029/tillsynsmail/A 31124-2024 tillsynsbegäran mail.docx", "A 31124-2024")</f>
        <v/>
      </c>
    </row>
    <row r="45" ht="15" customHeight="1">
      <c r="A45" t="inlineStr">
        <is>
          <t>A 31951-2025</t>
        </is>
      </c>
      <c r="B45" s="1" t="n">
        <v>45835.33481481481</v>
      </c>
      <c r="C45" s="1" t="n">
        <v>45936</v>
      </c>
      <c r="D45" t="inlineStr">
        <is>
          <t>DALARNAS LÄN</t>
        </is>
      </c>
      <c r="E45" t="inlineStr">
        <is>
          <t>LEKSAND</t>
        </is>
      </c>
      <c r="G45" t="n">
        <v>6.6</v>
      </c>
      <c r="H45" t="n">
        <v>1</v>
      </c>
      <c r="I45" t="n">
        <v>0</v>
      </c>
      <c r="J45" t="n">
        <v>0</v>
      </c>
      <c r="K45" t="n">
        <v>0</v>
      </c>
      <c r="L45" t="n">
        <v>0</v>
      </c>
      <c r="M45" t="n">
        <v>0</v>
      </c>
      <c r="N45" t="n">
        <v>0</v>
      </c>
      <c r="O45" t="n">
        <v>0</v>
      </c>
      <c r="P45" t="n">
        <v>0</v>
      </c>
      <c r="Q45" t="n">
        <v>1</v>
      </c>
      <c r="R45" s="2" t="inlineStr">
        <is>
          <t>Tjäder</t>
        </is>
      </c>
      <c r="S45">
        <f>HYPERLINK("https://klasma.github.io/Logging_2029/artfynd/A 31951-2025 artfynd.xlsx", "A 31951-2025")</f>
        <v/>
      </c>
      <c r="T45">
        <f>HYPERLINK("https://klasma.github.io/Logging_2029/kartor/A 31951-2025 karta.png", "A 31951-2025")</f>
        <v/>
      </c>
      <c r="V45">
        <f>HYPERLINK("https://klasma.github.io/Logging_2029/klagomål/A 31951-2025 FSC-klagomål.docx", "A 31951-2025")</f>
        <v/>
      </c>
      <c r="W45">
        <f>HYPERLINK("https://klasma.github.io/Logging_2029/klagomålsmail/A 31951-2025 FSC-klagomål mail.docx", "A 31951-2025")</f>
        <v/>
      </c>
      <c r="X45">
        <f>HYPERLINK("https://klasma.github.io/Logging_2029/tillsyn/A 31951-2025 tillsynsbegäran.docx", "A 31951-2025")</f>
        <v/>
      </c>
      <c r="Y45">
        <f>HYPERLINK("https://klasma.github.io/Logging_2029/tillsynsmail/A 31951-2025 tillsynsbegäran mail.docx", "A 31951-2025")</f>
        <v/>
      </c>
      <c r="Z45">
        <f>HYPERLINK("https://klasma.github.io/Logging_2029/fåglar/A 31951-2025 prioriterade fågelarter.docx", "A 31951-2025")</f>
        <v/>
      </c>
    </row>
    <row r="46" ht="15" customHeight="1">
      <c r="A46" t="inlineStr">
        <is>
          <t>A 36778-2025</t>
        </is>
      </c>
      <c r="B46" s="1" t="n">
        <v>45873</v>
      </c>
      <c r="C46" s="1" t="n">
        <v>45936</v>
      </c>
      <c r="D46" t="inlineStr">
        <is>
          <t>DALARNAS LÄN</t>
        </is>
      </c>
      <c r="E46" t="inlineStr">
        <is>
          <t>LEKSAND</t>
        </is>
      </c>
      <c r="F46" t="inlineStr">
        <is>
          <t>Övriga statliga verk och myndigheter</t>
        </is>
      </c>
      <c r="G46" t="n">
        <v>0.6</v>
      </c>
      <c r="H46" t="n">
        <v>1</v>
      </c>
      <c r="I46" t="n">
        <v>0</v>
      </c>
      <c r="J46" t="n">
        <v>1</v>
      </c>
      <c r="K46" t="n">
        <v>0</v>
      </c>
      <c r="L46" t="n">
        <v>0</v>
      </c>
      <c r="M46" t="n">
        <v>0</v>
      </c>
      <c r="N46" t="n">
        <v>0</v>
      </c>
      <c r="O46" t="n">
        <v>1</v>
      </c>
      <c r="P46" t="n">
        <v>0</v>
      </c>
      <c r="Q46" t="n">
        <v>1</v>
      </c>
      <c r="R46" s="2" t="inlineStr">
        <is>
          <t>Tretåig hackspett</t>
        </is>
      </c>
      <c r="S46">
        <f>HYPERLINK("https://klasma.github.io/Logging_2029/artfynd/A 36778-2025 artfynd.xlsx", "A 36778-2025")</f>
        <v/>
      </c>
      <c r="T46">
        <f>HYPERLINK("https://klasma.github.io/Logging_2029/kartor/A 36778-2025 karta.png", "A 36778-2025")</f>
        <v/>
      </c>
      <c r="V46">
        <f>HYPERLINK("https://klasma.github.io/Logging_2029/klagomål/A 36778-2025 FSC-klagomål.docx", "A 36778-2025")</f>
        <v/>
      </c>
      <c r="W46">
        <f>HYPERLINK("https://klasma.github.io/Logging_2029/klagomålsmail/A 36778-2025 FSC-klagomål mail.docx", "A 36778-2025")</f>
        <v/>
      </c>
      <c r="X46">
        <f>HYPERLINK("https://klasma.github.io/Logging_2029/tillsyn/A 36778-2025 tillsynsbegäran.docx", "A 36778-2025")</f>
        <v/>
      </c>
      <c r="Y46">
        <f>HYPERLINK("https://klasma.github.io/Logging_2029/tillsynsmail/A 36778-2025 tillsynsbegäran mail.docx", "A 36778-2025")</f>
        <v/>
      </c>
      <c r="Z46">
        <f>HYPERLINK("https://klasma.github.io/Logging_2029/fåglar/A 36778-2025 prioriterade fågelarter.docx", "A 36778-2025")</f>
        <v/>
      </c>
    </row>
    <row r="47" ht="15" customHeight="1">
      <c r="A47" t="inlineStr">
        <is>
          <t>A 34993-2025</t>
        </is>
      </c>
      <c r="B47" s="1" t="n">
        <v>45849.82383101852</v>
      </c>
      <c r="C47" s="1" t="n">
        <v>45936</v>
      </c>
      <c r="D47" t="inlineStr">
        <is>
          <t>DALARNAS LÄN</t>
        </is>
      </c>
      <c r="E47" t="inlineStr">
        <is>
          <t>LEKSAND</t>
        </is>
      </c>
      <c r="F47" t="inlineStr">
        <is>
          <t>Bergvik skog väst AB</t>
        </is>
      </c>
      <c r="G47" t="n">
        <v>4.6</v>
      </c>
      <c r="H47" t="n">
        <v>0</v>
      </c>
      <c r="I47" t="n">
        <v>1</v>
      </c>
      <c r="J47" t="n">
        <v>0</v>
      </c>
      <c r="K47" t="n">
        <v>0</v>
      </c>
      <c r="L47" t="n">
        <v>0</v>
      </c>
      <c r="M47" t="n">
        <v>0</v>
      </c>
      <c r="N47" t="n">
        <v>0</v>
      </c>
      <c r="O47" t="n">
        <v>0</v>
      </c>
      <c r="P47" t="n">
        <v>0</v>
      </c>
      <c r="Q47" t="n">
        <v>1</v>
      </c>
      <c r="R47" s="2" t="inlineStr">
        <is>
          <t>Mindre märgborre</t>
        </is>
      </c>
      <c r="S47">
        <f>HYPERLINK("https://klasma.github.io/Logging_2029/artfynd/A 34993-2025 artfynd.xlsx", "A 34993-2025")</f>
        <v/>
      </c>
      <c r="T47">
        <f>HYPERLINK("https://klasma.github.io/Logging_2029/kartor/A 34993-2025 karta.png", "A 34993-2025")</f>
        <v/>
      </c>
      <c r="V47">
        <f>HYPERLINK("https://klasma.github.io/Logging_2029/klagomål/A 34993-2025 FSC-klagomål.docx", "A 34993-2025")</f>
        <v/>
      </c>
      <c r="W47">
        <f>HYPERLINK("https://klasma.github.io/Logging_2029/klagomålsmail/A 34993-2025 FSC-klagomål mail.docx", "A 34993-2025")</f>
        <v/>
      </c>
      <c r="X47">
        <f>HYPERLINK("https://klasma.github.io/Logging_2029/tillsyn/A 34993-2025 tillsynsbegäran.docx", "A 34993-2025")</f>
        <v/>
      </c>
      <c r="Y47">
        <f>HYPERLINK("https://klasma.github.io/Logging_2029/tillsynsmail/A 34993-2025 tillsynsbegäran mail.docx", "A 34993-2025")</f>
        <v/>
      </c>
    </row>
    <row r="48" ht="15" customHeight="1">
      <c r="A48" t="inlineStr">
        <is>
          <t>A 34996-2025</t>
        </is>
      </c>
      <c r="B48" s="1" t="n">
        <v>45849.82798611111</v>
      </c>
      <c r="C48" s="1" t="n">
        <v>45936</v>
      </c>
      <c r="D48" t="inlineStr">
        <is>
          <t>DALARNAS LÄN</t>
        </is>
      </c>
      <c r="E48" t="inlineStr">
        <is>
          <t>LEKSAND</t>
        </is>
      </c>
      <c r="G48" t="n">
        <v>1.1</v>
      </c>
      <c r="H48" t="n">
        <v>0</v>
      </c>
      <c r="I48" t="n">
        <v>0</v>
      </c>
      <c r="J48" t="n">
        <v>1</v>
      </c>
      <c r="K48" t="n">
        <v>0</v>
      </c>
      <c r="L48" t="n">
        <v>0</v>
      </c>
      <c r="M48" t="n">
        <v>0</v>
      </c>
      <c r="N48" t="n">
        <v>0</v>
      </c>
      <c r="O48" t="n">
        <v>1</v>
      </c>
      <c r="P48" t="n">
        <v>0</v>
      </c>
      <c r="Q48" t="n">
        <v>1</v>
      </c>
      <c r="R48" s="2" t="inlineStr">
        <is>
          <t>Garnlav</t>
        </is>
      </c>
      <c r="S48">
        <f>HYPERLINK("https://klasma.github.io/Logging_2029/artfynd/A 34996-2025 artfynd.xlsx", "A 34996-2025")</f>
        <v/>
      </c>
      <c r="T48">
        <f>HYPERLINK("https://klasma.github.io/Logging_2029/kartor/A 34996-2025 karta.png", "A 34996-2025")</f>
        <v/>
      </c>
      <c r="V48">
        <f>HYPERLINK("https://klasma.github.io/Logging_2029/klagomål/A 34996-2025 FSC-klagomål.docx", "A 34996-2025")</f>
        <v/>
      </c>
      <c r="W48">
        <f>HYPERLINK("https://klasma.github.io/Logging_2029/klagomålsmail/A 34996-2025 FSC-klagomål mail.docx", "A 34996-2025")</f>
        <v/>
      </c>
      <c r="X48">
        <f>HYPERLINK("https://klasma.github.io/Logging_2029/tillsyn/A 34996-2025 tillsynsbegäran.docx", "A 34996-2025")</f>
        <v/>
      </c>
      <c r="Y48">
        <f>HYPERLINK("https://klasma.github.io/Logging_2029/tillsynsmail/A 34996-2025 tillsynsbegäran mail.docx", "A 34996-2025")</f>
        <v/>
      </c>
    </row>
    <row r="49" ht="15" customHeight="1">
      <c r="A49" t="inlineStr">
        <is>
          <t>A 1078-2021</t>
        </is>
      </c>
      <c r="B49" s="1" t="n">
        <v>44207</v>
      </c>
      <c r="C49" s="1" t="n">
        <v>45936</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45936</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45936</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45936</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45936</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45936</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45936</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45936</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45936</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45936</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45936</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45936</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45936</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45936</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45936</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45936</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45936</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45936</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45936</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45936</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45936</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45936</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45936</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45936</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45936</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45936</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45936</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45936</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45936</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45936</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45936</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45936</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45936</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45936</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45936</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45936</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19677-2021</t>
        </is>
      </c>
      <c r="B86" s="1" t="n">
        <v>44312</v>
      </c>
      <c r="C86" s="1" t="n">
        <v>45936</v>
      </c>
      <c r="D86" t="inlineStr">
        <is>
          <t>DALARNAS LÄN</t>
        </is>
      </c>
      <c r="E86" t="inlineStr">
        <is>
          <t>LEKSAND</t>
        </is>
      </c>
      <c r="F86" t="inlineStr">
        <is>
          <t>Bergvik skog väst AB</t>
        </is>
      </c>
      <c r="G86" t="n">
        <v>3.1</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45936</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45936</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34317-2022</t>
        </is>
      </c>
      <c r="B89" s="1" t="n">
        <v>44792.38814814815</v>
      </c>
      <c r="C89" s="1" t="n">
        <v>45936</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38619-2021</t>
        </is>
      </c>
      <c r="B90" s="1" t="n">
        <v>44409</v>
      </c>
      <c r="C90" s="1" t="n">
        <v>45936</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8501-2022</t>
        </is>
      </c>
      <c r="B91" s="1" t="n">
        <v>44613.40672453704</v>
      </c>
      <c r="C91" s="1" t="n">
        <v>45936</v>
      </c>
      <c r="D91" t="inlineStr">
        <is>
          <t>DALARNAS LÄN</t>
        </is>
      </c>
      <c r="E91" t="inlineStr">
        <is>
          <t>LEKSAND</t>
        </is>
      </c>
      <c r="G91" t="n">
        <v>3</v>
      </c>
      <c r="H91" t="n">
        <v>0</v>
      </c>
      <c r="I91" t="n">
        <v>0</v>
      </c>
      <c r="J91" t="n">
        <v>0</v>
      </c>
      <c r="K91" t="n">
        <v>0</v>
      </c>
      <c r="L91" t="n">
        <v>0</v>
      </c>
      <c r="M91" t="n">
        <v>0</v>
      </c>
      <c r="N91" t="n">
        <v>0</v>
      </c>
      <c r="O91" t="n">
        <v>0</v>
      </c>
      <c r="P91" t="n">
        <v>0</v>
      </c>
      <c r="Q91" t="n">
        <v>0</v>
      </c>
      <c r="R91" s="2" t="inlineStr"/>
    </row>
    <row r="92" ht="15" customHeight="1">
      <c r="A92" t="inlineStr">
        <is>
          <t>A 64449-2020</t>
        </is>
      </c>
      <c r="B92" s="1" t="n">
        <v>44168</v>
      </c>
      <c r="C92" s="1" t="n">
        <v>45936</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18866-2022</t>
        </is>
      </c>
      <c r="B93" s="1" t="n">
        <v>44690</v>
      </c>
      <c r="C93" s="1" t="n">
        <v>45936</v>
      </c>
      <c r="D93" t="inlineStr">
        <is>
          <t>DALARNAS LÄN</t>
        </is>
      </c>
      <c r="E93" t="inlineStr">
        <is>
          <t>LEKSAND</t>
        </is>
      </c>
      <c r="F93" t="inlineStr">
        <is>
          <t>Övriga Aktiebolag</t>
        </is>
      </c>
      <c r="G93" t="n">
        <v>5.1</v>
      </c>
      <c r="H93" t="n">
        <v>0</v>
      </c>
      <c r="I93" t="n">
        <v>0</v>
      </c>
      <c r="J93" t="n">
        <v>0</v>
      </c>
      <c r="K93" t="n">
        <v>0</v>
      </c>
      <c r="L93" t="n">
        <v>0</v>
      </c>
      <c r="M93" t="n">
        <v>0</v>
      </c>
      <c r="N93" t="n">
        <v>0</v>
      </c>
      <c r="O93" t="n">
        <v>0</v>
      </c>
      <c r="P93" t="n">
        <v>0</v>
      </c>
      <c r="Q93" t="n">
        <v>0</v>
      </c>
      <c r="R93" s="2" t="inlineStr"/>
    </row>
    <row r="94" ht="15" customHeight="1">
      <c r="A94" t="inlineStr">
        <is>
          <t>A 18870-2022</t>
        </is>
      </c>
      <c r="B94" s="1" t="n">
        <v>44690.50725694445</v>
      </c>
      <c r="C94" s="1" t="n">
        <v>45936</v>
      </c>
      <c r="D94" t="inlineStr">
        <is>
          <t>DALARNAS LÄN</t>
        </is>
      </c>
      <c r="E94" t="inlineStr">
        <is>
          <t>LEKSAND</t>
        </is>
      </c>
      <c r="F94" t="inlineStr">
        <is>
          <t>Övriga Aktiebolag</t>
        </is>
      </c>
      <c r="G94" t="n">
        <v>3.1</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45936</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32635-2021</t>
        </is>
      </c>
      <c r="B96" s="1" t="n">
        <v>44374</v>
      </c>
      <c r="C96" s="1" t="n">
        <v>45936</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45936</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45936</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45936</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31871-2022</t>
        </is>
      </c>
      <c r="B100" s="1" t="n">
        <v>44777.37854166667</v>
      </c>
      <c r="C100" s="1" t="n">
        <v>45936</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14140-2022</t>
        </is>
      </c>
      <c r="B101" s="1" t="n">
        <v>44651</v>
      </c>
      <c r="C101" s="1" t="n">
        <v>45936</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19480-2022</t>
        </is>
      </c>
      <c r="B102" s="1" t="n">
        <v>44693</v>
      </c>
      <c r="C102" s="1" t="n">
        <v>45936</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45936</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45936</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45936</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62279-2021</t>
        </is>
      </c>
      <c r="B106" s="1" t="n">
        <v>44503</v>
      </c>
      <c r="C106" s="1" t="n">
        <v>45936</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45936</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18040-2024</t>
        </is>
      </c>
      <c r="B108" s="1" t="n">
        <v>45420.36664351852</v>
      </c>
      <c r="C108" s="1" t="n">
        <v>45936</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46141-2022</t>
        </is>
      </c>
      <c r="B109" s="1" t="n">
        <v>44846</v>
      </c>
      <c r="C109" s="1" t="n">
        <v>45936</v>
      </c>
      <c r="D109" t="inlineStr">
        <is>
          <t>DALARNAS LÄN</t>
        </is>
      </c>
      <c r="E109" t="inlineStr">
        <is>
          <t>LEKSAND</t>
        </is>
      </c>
      <c r="G109" t="n">
        <v>2.8</v>
      </c>
      <c r="H109" t="n">
        <v>0</v>
      </c>
      <c r="I109" t="n">
        <v>0</v>
      </c>
      <c r="J109" t="n">
        <v>0</v>
      </c>
      <c r="K109" t="n">
        <v>0</v>
      </c>
      <c r="L109" t="n">
        <v>0</v>
      </c>
      <c r="M109" t="n">
        <v>0</v>
      </c>
      <c r="N109" t="n">
        <v>0</v>
      </c>
      <c r="O109" t="n">
        <v>0</v>
      </c>
      <c r="P109" t="n">
        <v>0</v>
      </c>
      <c r="Q109" t="n">
        <v>0</v>
      </c>
      <c r="R109" s="2" t="inlineStr"/>
    </row>
    <row r="110" ht="15" customHeight="1">
      <c r="A110" t="inlineStr">
        <is>
          <t>A 14616-2024</t>
        </is>
      </c>
      <c r="B110" s="1" t="n">
        <v>45397.2624537037</v>
      </c>
      <c r="C110" s="1" t="n">
        <v>45936</v>
      </c>
      <c r="D110" t="inlineStr">
        <is>
          <t>DALARNAS LÄN</t>
        </is>
      </c>
      <c r="E110" t="inlineStr">
        <is>
          <t>LEKSAND</t>
        </is>
      </c>
      <c r="G110" t="n">
        <v>0.5</v>
      </c>
      <c r="H110" t="n">
        <v>0</v>
      </c>
      <c r="I110" t="n">
        <v>0</v>
      </c>
      <c r="J110" t="n">
        <v>0</v>
      </c>
      <c r="K110" t="n">
        <v>0</v>
      </c>
      <c r="L110" t="n">
        <v>0</v>
      </c>
      <c r="M110" t="n">
        <v>0</v>
      </c>
      <c r="N110" t="n">
        <v>0</v>
      </c>
      <c r="O110" t="n">
        <v>0</v>
      </c>
      <c r="P110" t="n">
        <v>0</v>
      </c>
      <c r="Q110" t="n">
        <v>0</v>
      </c>
      <c r="R110" s="2" t="inlineStr"/>
    </row>
    <row r="111" ht="15" customHeight="1">
      <c r="A111" t="inlineStr">
        <is>
          <t>A 41840-2024</t>
        </is>
      </c>
      <c r="B111" s="1" t="n">
        <v>45561.42170138889</v>
      </c>
      <c r="C111" s="1" t="n">
        <v>45936</v>
      </c>
      <c r="D111" t="inlineStr">
        <is>
          <t>DALARNAS LÄN</t>
        </is>
      </c>
      <c r="E111" t="inlineStr">
        <is>
          <t>LEKSAND</t>
        </is>
      </c>
      <c r="G111" t="n">
        <v>0.4</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45936</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28592-2023</t>
        </is>
      </c>
      <c r="B113" s="1" t="n">
        <v>45103</v>
      </c>
      <c r="C113" s="1" t="n">
        <v>45936</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45936</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45936</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18484-2024</t>
        </is>
      </c>
      <c r="B116" s="1" t="n">
        <v>45425.52559027778</v>
      </c>
      <c r="C116" s="1" t="n">
        <v>45936</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36956-2021</t>
        </is>
      </c>
      <c r="B117" s="1" t="n">
        <v>44393.55643518519</v>
      </c>
      <c r="C117" s="1" t="n">
        <v>45936</v>
      </c>
      <c r="D117" t="inlineStr">
        <is>
          <t>DALARNAS LÄN</t>
        </is>
      </c>
      <c r="E117" t="inlineStr">
        <is>
          <t>LEKSAND</t>
        </is>
      </c>
      <c r="G117" t="n">
        <v>4.1</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45936</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45936</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43410-2021</t>
        </is>
      </c>
      <c r="B120" s="1" t="n">
        <v>44432.60814814815</v>
      </c>
      <c r="C120" s="1" t="n">
        <v>45936</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11418-2023</t>
        </is>
      </c>
      <c r="B121" s="1" t="n">
        <v>44993</v>
      </c>
      <c r="C121" s="1" t="n">
        <v>45936</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40407-2024</t>
        </is>
      </c>
      <c r="B122" s="1" t="n">
        <v>45555</v>
      </c>
      <c r="C122" s="1" t="n">
        <v>45936</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33180-2024</t>
        </is>
      </c>
      <c r="B123" s="1" t="n">
        <v>45518.44481481481</v>
      </c>
      <c r="C123" s="1" t="n">
        <v>45936</v>
      </c>
      <c r="D123" t="inlineStr">
        <is>
          <t>DALARNAS LÄN</t>
        </is>
      </c>
      <c r="E123" t="inlineStr">
        <is>
          <t>LEKSAND</t>
        </is>
      </c>
      <c r="G123" t="n">
        <v>7.6</v>
      </c>
      <c r="H123" t="n">
        <v>0</v>
      </c>
      <c r="I123" t="n">
        <v>0</v>
      </c>
      <c r="J123" t="n">
        <v>0</v>
      </c>
      <c r="K123" t="n">
        <v>0</v>
      </c>
      <c r="L123" t="n">
        <v>0</v>
      </c>
      <c r="M123" t="n">
        <v>0</v>
      </c>
      <c r="N123" t="n">
        <v>0</v>
      </c>
      <c r="O123" t="n">
        <v>0</v>
      </c>
      <c r="P123" t="n">
        <v>0</v>
      </c>
      <c r="Q123" t="n">
        <v>0</v>
      </c>
      <c r="R123" s="2" t="inlineStr"/>
    </row>
    <row r="124" ht="15" customHeight="1">
      <c r="A124" t="inlineStr">
        <is>
          <t>A 70099-2021</t>
        </is>
      </c>
      <c r="B124" s="1" t="n">
        <v>44533</v>
      </c>
      <c r="C124" s="1" t="n">
        <v>45936</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72155-2021</t>
        </is>
      </c>
      <c r="B125" s="1" t="n">
        <v>44543</v>
      </c>
      <c r="C125" s="1" t="n">
        <v>45936</v>
      </c>
      <c r="D125" t="inlineStr">
        <is>
          <t>DALARNAS LÄN</t>
        </is>
      </c>
      <c r="E125" t="inlineStr">
        <is>
          <t>LEKSAND</t>
        </is>
      </c>
      <c r="G125" t="n">
        <v>2.5</v>
      </c>
      <c r="H125" t="n">
        <v>0</v>
      </c>
      <c r="I125" t="n">
        <v>0</v>
      </c>
      <c r="J125" t="n">
        <v>0</v>
      </c>
      <c r="K125" t="n">
        <v>0</v>
      </c>
      <c r="L125" t="n">
        <v>0</v>
      </c>
      <c r="M125" t="n">
        <v>0</v>
      </c>
      <c r="N125" t="n">
        <v>0</v>
      </c>
      <c r="O125" t="n">
        <v>0</v>
      </c>
      <c r="P125" t="n">
        <v>0</v>
      </c>
      <c r="Q125" t="n">
        <v>0</v>
      </c>
      <c r="R125" s="2" t="inlineStr"/>
    </row>
    <row r="126" ht="15" customHeight="1">
      <c r="A126" t="inlineStr">
        <is>
          <t>A 27791-2023</t>
        </is>
      </c>
      <c r="B126" s="1" t="n">
        <v>45098</v>
      </c>
      <c r="C126" s="1" t="n">
        <v>45936</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52801-2023</t>
        </is>
      </c>
      <c r="B127" s="1" t="n">
        <v>45219</v>
      </c>
      <c r="C127" s="1" t="n">
        <v>45936</v>
      </c>
      <c r="D127" t="inlineStr">
        <is>
          <t>DALARNAS LÄN</t>
        </is>
      </c>
      <c r="E127" t="inlineStr">
        <is>
          <t>LEKSAND</t>
        </is>
      </c>
      <c r="G127" t="n">
        <v>4.9</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45936</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46672-2022</t>
        </is>
      </c>
      <c r="B129" s="1" t="n">
        <v>44851</v>
      </c>
      <c r="C129" s="1" t="n">
        <v>45936</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71817-2021</t>
        </is>
      </c>
      <c r="B130" s="1" t="n">
        <v>44543.59780092593</v>
      </c>
      <c r="C130" s="1" t="n">
        <v>45936</v>
      </c>
      <c r="D130" t="inlineStr">
        <is>
          <t>DALARNAS LÄN</t>
        </is>
      </c>
      <c r="E130" t="inlineStr">
        <is>
          <t>LEKSAND</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30175-2023</t>
        </is>
      </c>
      <c r="B131" s="1" t="n">
        <v>45110</v>
      </c>
      <c r="C131" s="1" t="n">
        <v>45936</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45936</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11617-2024</t>
        </is>
      </c>
      <c r="B133" s="1" t="n">
        <v>45373.42898148148</v>
      </c>
      <c r="C133" s="1" t="n">
        <v>45936</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12857-2023</t>
        </is>
      </c>
      <c r="B134" s="1" t="n">
        <v>45001.5000462963</v>
      </c>
      <c r="C134" s="1" t="n">
        <v>45936</v>
      </c>
      <c r="D134" t="inlineStr">
        <is>
          <t>DALARNAS LÄN</t>
        </is>
      </c>
      <c r="E134" t="inlineStr">
        <is>
          <t>LEKSAND</t>
        </is>
      </c>
      <c r="G134" t="n">
        <v>0.2</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45936</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32072-2024</t>
        </is>
      </c>
      <c r="B136" s="1" t="n">
        <v>45510.98405092592</v>
      </c>
      <c r="C136" s="1" t="n">
        <v>45936</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59763-2023</t>
        </is>
      </c>
      <c r="B137" s="1" t="n">
        <v>45257</v>
      </c>
      <c r="C137" s="1" t="n">
        <v>45936</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33674-2023</t>
        </is>
      </c>
      <c r="B138" s="1" t="n">
        <v>45132</v>
      </c>
      <c r="C138" s="1" t="n">
        <v>45936</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56299-2024</t>
        </is>
      </c>
      <c r="B139" s="1" t="n">
        <v>45624.68607638889</v>
      </c>
      <c r="C139" s="1" t="n">
        <v>45936</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17483-2025</t>
        </is>
      </c>
      <c r="B140" s="1" t="n">
        <v>45757.49408564815</v>
      </c>
      <c r="C140" s="1" t="n">
        <v>45936</v>
      </c>
      <c r="D140" t="inlineStr">
        <is>
          <t>DALARNAS LÄN</t>
        </is>
      </c>
      <c r="E140" t="inlineStr">
        <is>
          <t>LEKSAND</t>
        </is>
      </c>
      <c r="G140" t="n">
        <v>4.1</v>
      </c>
      <c r="H140" t="n">
        <v>0</v>
      </c>
      <c r="I140" t="n">
        <v>0</v>
      </c>
      <c r="J140" t="n">
        <v>0</v>
      </c>
      <c r="K140" t="n">
        <v>0</v>
      </c>
      <c r="L140" t="n">
        <v>0</v>
      </c>
      <c r="M140" t="n">
        <v>0</v>
      </c>
      <c r="N140" t="n">
        <v>0</v>
      </c>
      <c r="O140" t="n">
        <v>0</v>
      </c>
      <c r="P140" t="n">
        <v>0</v>
      </c>
      <c r="Q140" t="n">
        <v>0</v>
      </c>
      <c r="R140" s="2" t="inlineStr"/>
    </row>
    <row r="141" ht="15" customHeight="1">
      <c r="A141" t="inlineStr">
        <is>
          <t>A 62306-2023</t>
        </is>
      </c>
      <c r="B141" s="1" t="n">
        <v>45266</v>
      </c>
      <c r="C141" s="1" t="n">
        <v>45936</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31971-2024</t>
        </is>
      </c>
      <c r="B142" s="1" t="n">
        <v>45510.55171296297</v>
      </c>
      <c r="C142" s="1" t="n">
        <v>45936</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17377-2025</t>
        </is>
      </c>
      <c r="B143" s="1" t="n">
        <v>45756.983125</v>
      </c>
      <c r="C143" s="1" t="n">
        <v>45936</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18481-2024</t>
        </is>
      </c>
      <c r="B144" s="1" t="n">
        <v>45425.52193287037</v>
      </c>
      <c r="C144" s="1" t="n">
        <v>45936</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13288-2023</t>
        </is>
      </c>
      <c r="B145" s="1" t="n">
        <v>45004.8160300926</v>
      </c>
      <c r="C145" s="1" t="n">
        <v>45936</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8046-2024</t>
        </is>
      </c>
      <c r="B146" s="1" t="n">
        <v>45351.31555555556</v>
      </c>
      <c r="C146" s="1" t="n">
        <v>45936</v>
      </c>
      <c r="D146" t="inlineStr">
        <is>
          <t>DALARNAS LÄN</t>
        </is>
      </c>
      <c r="E146" t="inlineStr">
        <is>
          <t>LEKSAND</t>
        </is>
      </c>
      <c r="G146" t="n">
        <v>2.9</v>
      </c>
      <c r="H146" t="n">
        <v>0</v>
      </c>
      <c r="I146" t="n">
        <v>0</v>
      </c>
      <c r="J146" t="n">
        <v>0</v>
      </c>
      <c r="K146" t="n">
        <v>0</v>
      </c>
      <c r="L146" t="n">
        <v>0</v>
      </c>
      <c r="M146" t="n">
        <v>0</v>
      </c>
      <c r="N146" t="n">
        <v>0</v>
      </c>
      <c r="O146" t="n">
        <v>0</v>
      </c>
      <c r="P146" t="n">
        <v>0</v>
      </c>
      <c r="Q146" t="n">
        <v>0</v>
      </c>
      <c r="R146" s="2" t="inlineStr"/>
    </row>
    <row r="147" ht="15" customHeight="1">
      <c r="A147" t="inlineStr">
        <is>
          <t>A 17233-2023</t>
        </is>
      </c>
      <c r="B147" s="1" t="n">
        <v>45035</v>
      </c>
      <c r="C147" s="1" t="n">
        <v>45936</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7827-2024</t>
        </is>
      </c>
      <c r="B148" s="1" t="n">
        <v>45349.7467824074</v>
      </c>
      <c r="C148" s="1" t="n">
        <v>45936</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22388-2024</t>
        </is>
      </c>
      <c r="B149" s="1" t="n">
        <v>45446</v>
      </c>
      <c r="C149" s="1" t="n">
        <v>45936</v>
      </c>
      <c r="D149" t="inlineStr">
        <is>
          <t>DALARNAS LÄN</t>
        </is>
      </c>
      <c r="E149" t="inlineStr">
        <is>
          <t>LEKSAND</t>
        </is>
      </c>
      <c r="F149" t="inlineStr">
        <is>
          <t>Bergvik skog väst AB</t>
        </is>
      </c>
      <c r="G149" t="n">
        <v>5.3</v>
      </c>
      <c r="H149" t="n">
        <v>0</v>
      </c>
      <c r="I149" t="n">
        <v>0</v>
      </c>
      <c r="J149" t="n">
        <v>0</v>
      </c>
      <c r="K149" t="n">
        <v>0</v>
      </c>
      <c r="L149" t="n">
        <v>0</v>
      </c>
      <c r="M149" t="n">
        <v>0</v>
      </c>
      <c r="N149" t="n">
        <v>0</v>
      </c>
      <c r="O149" t="n">
        <v>0</v>
      </c>
      <c r="P149" t="n">
        <v>0</v>
      </c>
      <c r="Q149" t="n">
        <v>0</v>
      </c>
      <c r="R149" s="2" t="inlineStr"/>
    </row>
    <row r="150" ht="15" customHeight="1">
      <c r="A150" t="inlineStr">
        <is>
          <t>A 46931-2023</t>
        </is>
      </c>
      <c r="B150" s="1" t="n">
        <v>45201</v>
      </c>
      <c r="C150" s="1" t="n">
        <v>45936</v>
      </c>
      <c r="D150" t="inlineStr">
        <is>
          <t>DALARNAS LÄN</t>
        </is>
      </c>
      <c r="E150" t="inlineStr">
        <is>
          <t>LEKSAND</t>
        </is>
      </c>
      <c r="G150" t="n">
        <v>1.4</v>
      </c>
      <c r="H150" t="n">
        <v>0</v>
      </c>
      <c r="I150" t="n">
        <v>0</v>
      </c>
      <c r="J150" t="n">
        <v>0</v>
      </c>
      <c r="K150" t="n">
        <v>0</v>
      </c>
      <c r="L150" t="n">
        <v>0</v>
      </c>
      <c r="M150" t="n">
        <v>0</v>
      </c>
      <c r="N150" t="n">
        <v>0</v>
      </c>
      <c r="O150" t="n">
        <v>0</v>
      </c>
      <c r="P150" t="n">
        <v>0</v>
      </c>
      <c r="Q150" t="n">
        <v>0</v>
      </c>
      <c r="R150" s="2" t="inlineStr"/>
    </row>
    <row r="151" ht="15" customHeight="1">
      <c r="A151" t="inlineStr">
        <is>
          <t>A 31728-2024</t>
        </is>
      </c>
      <c r="B151" s="1" t="n">
        <v>45509.34517361111</v>
      </c>
      <c r="C151" s="1" t="n">
        <v>45936</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48644-2023</t>
        </is>
      </c>
      <c r="B152" s="1" t="n">
        <v>45208.58997685185</v>
      </c>
      <c r="C152" s="1" t="n">
        <v>45936</v>
      </c>
      <c r="D152" t="inlineStr">
        <is>
          <t>DALARNAS LÄN</t>
        </is>
      </c>
      <c r="E152" t="inlineStr">
        <is>
          <t>LEKSAND</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11740-2025</t>
        </is>
      </c>
      <c r="B153" s="1" t="n">
        <v>45727.62582175926</v>
      </c>
      <c r="C153" s="1" t="n">
        <v>45936</v>
      </c>
      <c r="D153" t="inlineStr">
        <is>
          <t>DALARNAS LÄN</t>
        </is>
      </c>
      <c r="E153" t="inlineStr">
        <is>
          <t>LEKSAND</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43735-2022</t>
        </is>
      </c>
      <c r="B154" s="1" t="n">
        <v>44837.70210648148</v>
      </c>
      <c r="C154" s="1" t="n">
        <v>45936</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20936-2023</t>
        </is>
      </c>
      <c r="B155" s="1" t="n">
        <v>45061</v>
      </c>
      <c r="C155" s="1" t="n">
        <v>45936</v>
      </c>
      <c r="D155" t="inlineStr">
        <is>
          <t>DALARNAS LÄN</t>
        </is>
      </c>
      <c r="E155" t="inlineStr">
        <is>
          <t>LEKSAND</t>
        </is>
      </c>
      <c r="G155" t="n">
        <v>0.3</v>
      </c>
      <c r="H155" t="n">
        <v>0</v>
      </c>
      <c r="I155" t="n">
        <v>0</v>
      </c>
      <c r="J155" t="n">
        <v>0</v>
      </c>
      <c r="K155" t="n">
        <v>0</v>
      </c>
      <c r="L155" t="n">
        <v>0</v>
      </c>
      <c r="M155" t="n">
        <v>0</v>
      </c>
      <c r="N155" t="n">
        <v>0</v>
      </c>
      <c r="O155" t="n">
        <v>0</v>
      </c>
      <c r="P155" t="n">
        <v>0</v>
      </c>
      <c r="Q155" t="n">
        <v>0</v>
      </c>
      <c r="R155" s="2" t="inlineStr"/>
    </row>
    <row r="156" ht="15" customHeight="1">
      <c r="A156" t="inlineStr">
        <is>
          <t>A 44469-2024</t>
        </is>
      </c>
      <c r="B156" s="1" t="n">
        <v>45574</v>
      </c>
      <c r="C156" s="1" t="n">
        <v>45936</v>
      </c>
      <c r="D156" t="inlineStr">
        <is>
          <t>DALARNAS LÄN</t>
        </is>
      </c>
      <c r="E156" t="inlineStr">
        <is>
          <t>LEKSAND</t>
        </is>
      </c>
      <c r="G156" t="n">
        <v>2</v>
      </c>
      <c r="H156" t="n">
        <v>0</v>
      </c>
      <c r="I156" t="n">
        <v>0</v>
      </c>
      <c r="J156" t="n">
        <v>0</v>
      </c>
      <c r="K156" t="n">
        <v>0</v>
      </c>
      <c r="L156" t="n">
        <v>0</v>
      </c>
      <c r="M156" t="n">
        <v>0</v>
      </c>
      <c r="N156" t="n">
        <v>0</v>
      </c>
      <c r="O156" t="n">
        <v>0</v>
      </c>
      <c r="P156" t="n">
        <v>0</v>
      </c>
      <c r="Q156" t="n">
        <v>0</v>
      </c>
      <c r="R156" s="2" t="inlineStr"/>
    </row>
    <row r="157" ht="15" customHeight="1">
      <c r="A157" t="inlineStr">
        <is>
          <t>A 325-2023</t>
        </is>
      </c>
      <c r="B157" s="1" t="n">
        <v>44929</v>
      </c>
      <c r="C157" s="1" t="n">
        <v>45936</v>
      </c>
      <c r="D157" t="inlineStr">
        <is>
          <t>DALARNAS LÄN</t>
        </is>
      </c>
      <c r="E157" t="inlineStr">
        <is>
          <t>LEKSAND</t>
        </is>
      </c>
      <c r="F157" t="inlineStr">
        <is>
          <t>Övriga Aktiebolag</t>
        </is>
      </c>
      <c r="G157" t="n">
        <v>7.1</v>
      </c>
      <c r="H157" t="n">
        <v>0</v>
      </c>
      <c r="I157" t="n">
        <v>0</v>
      </c>
      <c r="J157" t="n">
        <v>0</v>
      </c>
      <c r="K157" t="n">
        <v>0</v>
      </c>
      <c r="L157" t="n">
        <v>0</v>
      </c>
      <c r="M157" t="n">
        <v>0</v>
      </c>
      <c r="N157" t="n">
        <v>0</v>
      </c>
      <c r="O157" t="n">
        <v>0</v>
      </c>
      <c r="P157" t="n">
        <v>0</v>
      </c>
      <c r="Q157" t="n">
        <v>0</v>
      </c>
      <c r="R157" s="2" t="inlineStr"/>
    </row>
    <row r="158" ht="15" customHeight="1">
      <c r="A158" t="inlineStr">
        <is>
          <t>A 10373-2023</t>
        </is>
      </c>
      <c r="B158" s="1" t="n">
        <v>44987</v>
      </c>
      <c r="C158" s="1" t="n">
        <v>45936</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53464-2024</t>
        </is>
      </c>
      <c r="B159" s="1" t="n">
        <v>45611</v>
      </c>
      <c r="C159" s="1" t="n">
        <v>45936</v>
      </c>
      <c r="D159" t="inlineStr">
        <is>
          <t>DALARNAS LÄN</t>
        </is>
      </c>
      <c r="E159" t="inlineStr">
        <is>
          <t>LEKSAND</t>
        </is>
      </c>
      <c r="G159" t="n">
        <v>1.7</v>
      </c>
      <c r="H159" t="n">
        <v>0</v>
      </c>
      <c r="I159" t="n">
        <v>0</v>
      </c>
      <c r="J159" t="n">
        <v>0</v>
      </c>
      <c r="K159" t="n">
        <v>0</v>
      </c>
      <c r="L159" t="n">
        <v>0</v>
      </c>
      <c r="M159" t="n">
        <v>0</v>
      </c>
      <c r="N159" t="n">
        <v>0</v>
      </c>
      <c r="O159" t="n">
        <v>0</v>
      </c>
      <c r="P159" t="n">
        <v>0</v>
      </c>
      <c r="Q159" t="n">
        <v>0</v>
      </c>
      <c r="R159" s="2" t="inlineStr"/>
    </row>
    <row r="160" ht="15" customHeight="1">
      <c r="A160" t="inlineStr">
        <is>
          <t>A 2820-2024</t>
        </is>
      </c>
      <c r="B160" s="1" t="n">
        <v>45314.76287037037</v>
      </c>
      <c r="C160" s="1" t="n">
        <v>45936</v>
      </c>
      <c r="D160" t="inlineStr">
        <is>
          <t>DALARNAS LÄN</t>
        </is>
      </c>
      <c r="E160" t="inlineStr">
        <is>
          <t>LEKSAND</t>
        </is>
      </c>
      <c r="G160" t="n">
        <v>1.7</v>
      </c>
      <c r="H160" t="n">
        <v>0</v>
      </c>
      <c r="I160" t="n">
        <v>0</v>
      </c>
      <c r="J160" t="n">
        <v>0</v>
      </c>
      <c r="K160" t="n">
        <v>0</v>
      </c>
      <c r="L160" t="n">
        <v>0</v>
      </c>
      <c r="M160" t="n">
        <v>0</v>
      </c>
      <c r="N160" t="n">
        <v>0</v>
      </c>
      <c r="O160" t="n">
        <v>0</v>
      </c>
      <c r="P160" t="n">
        <v>0</v>
      </c>
      <c r="Q160" t="n">
        <v>0</v>
      </c>
      <c r="R160" s="2" t="inlineStr"/>
    </row>
    <row r="161" ht="15" customHeight="1">
      <c r="A161" t="inlineStr">
        <is>
          <t>A 2822-2024</t>
        </is>
      </c>
      <c r="B161" s="1" t="n">
        <v>45314.76622685185</v>
      </c>
      <c r="C161" s="1" t="n">
        <v>45936</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59236-2024</t>
        </is>
      </c>
      <c r="B162" s="1" t="n">
        <v>45637.58795138889</v>
      </c>
      <c r="C162" s="1" t="n">
        <v>45936</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44237-2025</t>
        </is>
      </c>
      <c r="B163" s="1" t="n">
        <v>45915.6677199074</v>
      </c>
      <c r="C163" s="1" t="n">
        <v>45936</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43781-2025</t>
        </is>
      </c>
      <c r="B164" s="1" t="n">
        <v>45912.52229166667</v>
      </c>
      <c r="C164" s="1" t="n">
        <v>45936</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51677-2024</t>
        </is>
      </c>
      <c r="B165" s="1" t="n">
        <v>45607.30265046296</v>
      </c>
      <c r="C165" s="1" t="n">
        <v>45936</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37952-2024</t>
        </is>
      </c>
      <c r="B166" s="1" t="n">
        <v>45544.5200462963</v>
      </c>
      <c r="C166" s="1" t="n">
        <v>45936</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33317-2023</t>
        </is>
      </c>
      <c r="B167" s="1" t="n">
        <v>45127.84586805556</v>
      </c>
      <c r="C167" s="1" t="n">
        <v>45936</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33318-2023</t>
        </is>
      </c>
      <c r="B168" s="1" t="n">
        <v>45127</v>
      </c>
      <c r="C168" s="1" t="n">
        <v>45936</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61055-2023</t>
        </is>
      </c>
      <c r="B169" s="1" t="n">
        <v>45261</v>
      </c>
      <c r="C169" s="1" t="n">
        <v>45936</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46628-2024</t>
        </is>
      </c>
      <c r="B170" s="1" t="n">
        <v>45583.33195601852</v>
      </c>
      <c r="C170" s="1" t="n">
        <v>45936</v>
      </c>
      <c r="D170" t="inlineStr">
        <is>
          <t>DALARNAS LÄN</t>
        </is>
      </c>
      <c r="E170" t="inlineStr">
        <is>
          <t>LEKSAND</t>
        </is>
      </c>
      <c r="G170" t="n">
        <v>0.2</v>
      </c>
      <c r="H170" t="n">
        <v>0</v>
      </c>
      <c r="I170" t="n">
        <v>0</v>
      </c>
      <c r="J170" t="n">
        <v>0</v>
      </c>
      <c r="K170" t="n">
        <v>0</v>
      </c>
      <c r="L170" t="n">
        <v>0</v>
      </c>
      <c r="M170" t="n">
        <v>0</v>
      </c>
      <c r="N170" t="n">
        <v>0</v>
      </c>
      <c r="O170" t="n">
        <v>0</v>
      </c>
      <c r="P170" t="n">
        <v>0</v>
      </c>
      <c r="Q170" t="n">
        <v>0</v>
      </c>
      <c r="R170" s="2" t="inlineStr"/>
    </row>
    <row r="171" ht="15" customHeight="1">
      <c r="A171" t="inlineStr">
        <is>
          <t>A 34038-2024</t>
        </is>
      </c>
      <c r="B171" s="1" t="n">
        <v>45523.59578703704</v>
      </c>
      <c r="C171" s="1" t="n">
        <v>45936</v>
      </c>
      <c r="D171" t="inlineStr">
        <is>
          <t>DALARNAS LÄN</t>
        </is>
      </c>
      <c r="E171" t="inlineStr">
        <is>
          <t>LEKSAND</t>
        </is>
      </c>
      <c r="G171" t="n">
        <v>0.3</v>
      </c>
      <c r="H171" t="n">
        <v>0</v>
      </c>
      <c r="I171" t="n">
        <v>0</v>
      </c>
      <c r="J171" t="n">
        <v>0</v>
      </c>
      <c r="K171" t="n">
        <v>0</v>
      </c>
      <c r="L171" t="n">
        <v>0</v>
      </c>
      <c r="M171" t="n">
        <v>0</v>
      </c>
      <c r="N171" t="n">
        <v>0</v>
      </c>
      <c r="O171" t="n">
        <v>0</v>
      </c>
      <c r="P171" t="n">
        <v>0</v>
      </c>
      <c r="Q171" t="n">
        <v>0</v>
      </c>
      <c r="R171" s="2" t="inlineStr"/>
    </row>
    <row r="172" ht="15" customHeight="1">
      <c r="A172" t="inlineStr">
        <is>
          <t>A 34041-2024</t>
        </is>
      </c>
      <c r="B172" s="1" t="n">
        <v>45523.59895833334</v>
      </c>
      <c r="C172" s="1" t="n">
        <v>45936</v>
      </c>
      <c r="D172" t="inlineStr">
        <is>
          <t>DALARNAS LÄN</t>
        </is>
      </c>
      <c r="E172" t="inlineStr">
        <is>
          <t>LEKSAND</t>
        </is>
      </c>
      <c r="G172" t="n">
        <v>4</v>
      </c>
      <c r="H172" t="n">
        <v>0</v>
      </c>
      <c r="I172" t="n">
        <v>0</v>
      </c>
      <c r="J172" t="n">
        <v>0</v>
      </c>
      <c r="K172" t="n">
        <v>0</v>
      </c>
      <c r="L172" t="n">
        <v>0</v>
      </c>
      <c r="M172" t="n">
        <v>0</v>
      </c>
      <c r="N172" t="n">
        <v>0</v>
      </c>
      <c r="O172" t="n">
        <v>0</v>
      </c>
      <c r="P172" t="n">
        <v>0</v>
      </c>
      <c r="Q172" t="n">
        <v>0</v>
      </c>
      <c r="R172" s="2" t="inlineStr"/>
    </row>
    <row r="173" ht="15" customHeight="1">
      <c r="A173" t="inlineStr">
        <is>
          <t>A 43222-2024</t>
        </is>
      </c>
      <c r="B173" s="1" t="n">
        <v>45567.87177083334</v>
      </c>
      <c r="C173" s="1" t="n">
        <v>45936</v>
      </c>
      <c r="D173" t="inlineStr">
        <is>
          <t>DALARNAS LÄN</t>
        </is>
      </c>
      <c r="E173" t="inlineStr">
        <is>
          <t>LEKSAND</t>
        </is>
      </c>
      <c r="F173" t="inlineStr">
        <is>
          <t>Bergvik skog väst AB</t>
        </is>
      </c>
      <c r="G173" t="n">
        <v>8.6</v>
      </c>
      <c r="H173" t="n">
        <v>0</v>
      </c>
      <c r="I173" t="n">
        <v>0</v>
      </c>
      <c r="J173" t="n">
        <v>0</v>
      </c>
      <c r="K173" t="n">
        <v>0</v>
      </c>
      <c r="L173" t="n">
        <v>0</v>
      </c>
      <c r="M173" t="n">
        <v>0</v>
      </c>
      <c r="N173" t="n">
        <v>0</v>
      </c>
      <c r="O173" t="n">
        <v>0</v>
      </c>
      <c r="P173" t="n">
        <v>0</v>
      </c>
      <c r="Q173" t="n">
        <v>0</v>
      </c>
      <c r="R173" s="2" t="inlineStr"/>
    </row>
    <row r="174" ht="15" customHeight="1">
      <c r="A174" t="inlineStr">
        <is>
          <t>A 43231-2024</t>
        </is>
      </c>
      <c r="B174" s="1" t="n">
        <v>45567.89709490741</v>
      </c>
      <c r="C174" s="1" t="n">
        <v>45936</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17533-2023</t>
        </is>
      </c>
      <c r="B175" s="1" t="n">
        <v>45036</v>
      </c>
      <c r="C175" s="1" t="n">
        <v>45936</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23896-2024</t>
        </is>
      </c>
      <c r="B176" s="1" t="n">
        <v>45455.6758449074</v>
      </c>
      <c r="C176" s="1" t="n">
        <v>45936</v>
      </c>
      <c r="D176" t="inlineStr">
        <is>
          <t>DALARNAS LÄN</t>
        </is>
      </c>
      <c r="E176" t="inlineStr">
        <is>
          <t>LEKSAND</t>
        </is>
      </c>
      <c r="F176" t="inlineStr">
        <is>
          <t>Övriga Aktiebolag</t>
        </is>
      </c>
      <c r="G176" t="n">
        <v>0.9</v>
      </c>
      <c r="H176" t="n">
        <v>0</v>
      </c>
      <c r="I176" t="n">
        <v>0</v>
      </c>
      <c r="J176" t="n">
        <v>0</v>
      </c>
      <c r="K176" t="n">
        <v>0</v>
      </c>
      <c r="L176" t="n">
        <v>0</v>
      </c>
      <c r="M176" t="n">
        <v>0</v>
      </c>
      <c r="N176" t="n">
        <v>0</v>
      </c>
      <c r="O176" t="n">
        <v>0</v>
      </c>
      <c r="P176" t="n">
        <v>0</v>
      </c>
      <c r="Q176" t="n">
        <v>0</v>
      </c>
      <c r="R176" s="2" t="inlineStr"/>
    </row>
    <row r="177" ht="15" customHeight="1">
      <c r="A177" t="inlineStr">
        <is>
          <t>A 54914-2024</t>
        </is>
      </c>
      <c r="B177" s="1" t="n">
        <v>45618.69380787037</v>
      </c>
      <c r="C177" s="1" t="n">
        <v>45936</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39921-2024</t>
        </is>
      </c>
      <c r="B178" s="1" t="n">
        <v>45553</v>
      </c>
      <c r="C178" s="1" t="n">
        <v>45936</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45936</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58244-2024</t>
        </is>
      </c>
      <c r="B180" s="1" t="n">
        <v>45631</v>
      </c>
      <c r="C180" s="1" t="n">
        <v>45936</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14865-2025</t>
        </is>
      </c>
      <c r="B181" s="1" t="n">
        <v>45743.43929398148</v>
      </c>
      <c r="C181" s="1" t="n">
        <v>45936</v>
      </c>
      <c r="D181" t="inlineStr">
        <is>
          <t>DALARNAS LÄN</t>
        </is>
      </c>
      <c r="E181" t="inlineStr">
        <is>
          <t>LEKSAND</t>
        </is>
      </c>
      <c r="G181" t="n">
        <v>0.9</v>
      </c>
      <c r="H181" t="n">
        <v>0</v>
      </c>
      <c r="I181" t="n">
        <v>0</v>
      </c>
      <c r="J181" t="n">
        <v>0</v>
      </c>
      <c r="K181" t="n">
        <v>0</v>
      </c>
      <c r="L181" t="n">
        <v>0</v>
      </c>
      <c r="M181" t="n">
        <v>0</v>
      </c>
      <c r="N181" t="n">
        <v>0</v>
      </c>
      <c r="O181" t="n">
        <v>0</v>
      </c>
      <c r="P181" t="n">
        <v>0</v>
      </c>
      <c r="Q181" t="n">
        <v>0</v>
      </c>
      <c r="R181" s="2" t="inlineStr"/>
    </row>
    <row r="182" ht="15" customHeight="1">
      <c r="A182" t="inlineStr">
        <is>
          <t>A 28032-2024</t>
        </is>
      </c>
      <c r="B182" s="1" t="n">
        <v>45476.49346064815</v>
      </c>
      <c r="C182" s="1" t="n">
        <v>45936</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15257-2025</t>
        </is>
      </c>
      <c r="B183" s="1" t="n">
        <v>45744</v>
      </c>
      <c r="C183" s="1" t="n">
        <v>45936</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46834-2023</t>
        </is>
      </c>
      <c r="B184" s="1" t="n">
        <v>45199.35668981481</v>
      </c>
      <c r="C184" s="1" t="n">
        <v>45936</v>
      </c>
      <c r="D184" t="inlineStr">
        <is>
          <t>DALARNAS LÄN</t>
        </is>
      </c>
      <c r="E184" t="inlineStr">
        <is>
          <t>LEKSAND</t>
        </is>
      </c>
      <c r="G184" t="n">
        <v>16.3</v>
      </c>
      <c r="H184" t="n">
        <v>0</v>
      </c>
      <c r="I184" t="n">
        <v>0</v>
      </c>
      <c r="J184" t="n">
        <v>0</v>
      </c>
      <c r="K184" t="n">
        <v>0</v>
      </c>
      <c r="L184" t="n">
        <v>0</v>
      </c>
      <c r="M184" t="n">
        <v>0</v>
      </c>
      <c r="N184" t="n">
        <v>0</v>
      </c>
      <c r="O184" t="n">
        <v>0</v>
      </c>
      <c r="P184" t="n">
        <v>0</v>
      </c>
      <c r="Q184" t="n">
        <v>0</v>
      </c>
      <c r="R184" s="2" t="inlineStr"/>
    </row>
    <row r="185" ht="15" customHeight="1">
      <c r="A185" t="inlineStr">
        <is>
          <t>A 12851-2023</t>
        </is>
      </c>
      <c r="B185" s="1" t="n">
        <v>45001.49347222222</v>
      </c>
      <c r="C185" s="1" t="n">
        <v>45936</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61546-2021</t>
        </is>
      </c>
      <c r="B186" s="1" t="n">
        <v>44501</v>
      </c>
      <c r="C186" s="1" t="n">
        <v>45936</v>
      </c>
      <c r="D186" t="inlineStr">
        <is>
          <t>DALARNAS LÄN</t>
        </is>
      </c>
      <c r="E186" t="inlineStr">
        <is>
          <t>LEKSAND</t>
        </is>
      </c>
      <c r="G186" t="n">
        <v>3</v>
      </c>
      <c r="H186" t="n">
        <v>0</v>
      </c>
      <c r="I186" t="n">
        <v>0</v>
      </c>
      <c r="J186" t="n">
        <v>0</v>
      </c>
      <c r="K186" t="n">
        <v>0</v>
      </c>
      <c r="L186" t="n">
        <v>0</v>
      </c>
      <c r="M186" t="n">
        <v>0</v>
      </c>
      <c r="N186" t="n">
        <v>0</v>
      </c>
      <c r="O186" t="n">
        <v>0</v>
      </c>
      <c r="P186" t="n">
        <v>0</v>
      </c>
      <c r="Q186" t="n">
        <v>0</v>
      </c>
      <c r="R186" s="2" t="inlineStr"/>
    </row>
    <row r="187" ht="15" customHeight="1">
      <c r="A187" t="inlineStr">
        <is>
          <t>A 41046-2024</t>
        </is>
      </c>
      <c r="B187" s="1" t="n">
        <v>45559.36677083333</v>
      </c>
      <c r="C187" s="1" t="n">
        <v>45936</v>
      </c>
      <c r="D187" t="inlineStr">
        <is>
          <t>DALARNAS LÄN</t>
        </is>
      </c>
      <c r="E187" t="inlineStr">
        <is>
          <t>LEKSAND</t>
        </is>
      </c>
      <c r="G187" t="n">
        <v>1.9</v>
      </c>
      <c r="H187" t="n">
        <v>0</v>
      </c>
      <c r="I187" t="n">
        <v>0</v>
      </c>
      <c r="J187" t="n">
        <v>0</v>
      </c>
      <c r="K187" t="n">
        <v>0</v>
      </c>
      <c r="L187" t="n">
        <v>0</v>
      </c>
      <c r="M187" t="n">
        <v>0</v>
      </c>
      <c r="N187" t="n">
        <v>0</v>
      </c>
      <c r="O187" t="n">
        <v>0</v>
      </c>
      <c r="P187" t="n">
        <v>0</v>
      </c>
      <c r="Q187" t="n">
        <v>0</v>
      </c>
      <c r="R187" s="2" t="inlineStr"/>
    </row>
    <row r="188" ht="15" customHeight="1">
      <c r="A188" t="inlineStr">
        <is>
          <t>A 18837-2023</t>
        </is>
      </c>
      <c r="B188" s="1" t="n">
        <v>45044.42940972222</v>
      </c>
      <c r="C188" s="1" t="n">
        <v>45936</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61288-2022</t>
        </is>
      </c>
      <c r="B189" s="1" t="n">
        <v>44915</v>
      </c>
      <c r="C189" s="1" t="n">
        <v>45936</v>
      </c>
      <c r="D189" t="inlineStr">
        <is>
          <t>DALARNAS LÄN</t>
        </is>
      </c>
      <c r="E189" t="inlineStr">
        <is>
          <t>LEKSAND</t>
        </is>
      </c>
      <c r="G189" t="n">
        <v>1.7</v>
      </c>
      <c r="H189" t="n">
        <v>0</v>
      </c>
      <c r="I189" t="n">
        <v>0</v>
      </c>
      <c r="J189" t="n">
        <v>0</v>
      </c>
      <c r="K189" t="n">
        <v>0</v>
      </c>
      <c r="L189" t="n">
        <v>0</v>
      </c>
      <c r="M189" t="n">
        <v>0</v>
      </c>
      <c r="N189" t="n">
        <v>0</v>
      </c>
      <c r="O189" t="n">
        <v>0</v>
      </c>
      <c r="P189" t="n">
        <v>0</v>
      </c>
      <c r="Q189" t="n">
        <v>0</v>
      </c>
      <c r="R189" s="2" t="inlineStr"/>
    </row>
    <row r="190" ht="15" customHeight="1">
      <c r="A190" t="inlineStr">
        <is>
          <t>A 1215-2024</t>
        </is>
      </c>
      <c r="B190" s="1" t="n">
        <v>45302</v>
      </c>
      <c r="C190" s="1" t="n">
        <v>45936</v>
      </c>
      <c r="D190" t="inlineStr">
        <is>
          <t>DALARNAS LÄN</t>
        </is>
      </c>
      <c r="E190" t="inlineStr">
        <is>
          <t>LEKSAND</t>
        </is>
      </c>
      <c r="G190" t="n">
        <v>1.3</v>
      </c>
      <c r="H190" t="n">
        <v>0</v>
      </c>
      <c r="I190" t="n">
        <v>0</v>
      </c>
      <c r="J190" t="n">
        <v>0</v>
      </c>
      <c r="K190" t="n">
        <v>0</v>
      </c>
      <c r="L190" t="n">
        <v>0</v>
      </c>
      <c r="M190" t="n">
        <v>0</v>
      </c>
      <c r="N190" t="n">
        <v>0</v>
      </c>
      <c r="O190" t="n">
        <v>0</v>
      </c>
      <c r="P190" t="n">
        <v>0</v>
      </c>
      <c r="Q190" t="n">
        <v>0</v>
      </c>
      <c r="R190" s="2" t="inlineStr"/>
    </row>
    <row r="191" ht="15" customHeight="1">
      <c r="A191" t="inlineStr">
        <is>
          <t>A 61502-2023</t>
        </is>
      </c>
      <c r="B191" s="1" t="n">
        <v>45264</v>
      </c>
      <c r="C191" s="1" t="n">
        <v>45936</v>
      </c>
      <c r="D191" t="inlineStr">
        <is>
          <t>DALARNAS LÄN</t>
        </is>
      </c>
      <c r="E191" t="inlineStr">
        <is>
          <t>LEKSAND</t>
        </is>
      </c>
      <c r="G191" t="n">
        <v>5.2</v>
      </c>
      <c r="H191" t="n">
        <v>0</v>
      </c>
      <c r="I191" t="n">
        <v>0</v>
      </c>
      <c r="J191" t="n">
        <v>0</v>
      </c>
      <c r="K191" t="n">
        <v>0</v>
      </c>
      <c r="L191" t="n">
        <v>0</v>
      </c>
      <c r="M191" t="n">
        <v>0</v>
      </c>
      <c r="N191" t="n">
        <v>0</v>
      </c>
      <c r="O191" t="n">
        <v>0</v>
      </c>
      <c r="P191" t="n">
        <v>0</v>
      </c>
      <c r="Q191" t="n">
        <v>0</v>
      </c>
      <c r="R191" s="2" t="inlineStr"/>
    </row>
    <row r="192" ht="15" customHeight="1">
      <c r="A192" t="inlineStr">
        <is>
          <t>A 27317-2021</t>
        </is>
      </c>
      <c r="B192" s="1" t="n">
        <v>44351</v>
      </c>
      <c r="C192" s="1" t="n">
        <v>45936</v>
      </c>
      <c r="D192" t="inlineStr">
        <is>
          <t>DALARNAS LÄN</t>
        </is>
      </c>
      <c r="E192" t="inlineStr">
        <is>
          <t>LEKSAND</t>
        </is>
      </c>
      <c r="G192" t="n">
        <v>1</v>
      </c>
      <c r="H192" t="n">
        <v>0</v>
      </c>
      <c r="I192" t="n">
        <v>0</v>
      </c>
      <c r="J192" t="n">
        <v>0</v>
      </c>
      <c r="K192" t="n">
        <v>0</v>
      </c>
      <c r="L192" t="n">
        <v>0</v>
      </c>
      <c r="M192" t="n">
        <v>0</v>
      </c>
      <c r="N192" t="n">
        <v>0</v>
      </c>
      <c r="O192" t="n">
        <v>0</v>
      </c>
      <c r="P192" t="n">
        <v>0</v>
      </c>
      <c r="Q192" t="n">
        <v>0</v>
      </c>
      <c r="R192" s="2" t="inlineStr"/>
    </row>
    <row r="193" ht="15" customHeight="1">
      <c r="A193" t="inlineStr">
        <is>
          <t>A 60040-2023</t>
        </is>
      </c>
      <c r="B193" s="1" t="n">
        <v>45256</v>
      </c>
      <c r="C193" s="1" t="n">
        <v>45936</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16005-2025</t>
        </is>
      </c>
      <c r="B194" s="1" t="n">
        <v>45749.59765046297</v>
      </c>
      <c r="C194" s="1" t="n">
        <v>45936</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12923-2025</t>
        </is>
      </c>
      <c r="B195" s="1" t="n">
        <v>45734.29193287037</v>
      </c>
      <c r="C195" s="1" t="n">
        <v>45936</v>
      </c>
      <c r="D195" t="inlineStr">
        <is>
          <t>DALARNAS LÄN</t>
        </is>
      </c>
      <c r="E195" t="inlineStr">
        <is>
          <t>LEKSAND</t>
        </is>
      </c>
      <c r="G195" t="n">
        <v>7.2</v>
      </c>
      <c r="H195" t="n">
        <v>0</v>
      </c>
      <c r="I195" t="n">
        <v>0</v>
      </c>
      <c r="J195" t="n">
        <v>0</v>
      </c>
      <c r="K195" t="n">
        <v>0</v>
      </c>
      <c r="L195" t="n">
        <v>0</v>
      </c>
      <c r="M195" t="n">
        <v>0</v>
      </c>
      <c r="N195" t="n">
        <v>0</v>
      </c>
      <c r="O195" t="n">
        <v>0</v>
      </c>
      <c r="P195" t="n">
        <v>0</v>
      </c>
      <c r="Q195" t="n">
        <v>0</v>
      </c>
      <c r="R195" s="2" t="inlineStr"/>
    </row>
    <row r="196" ht="15" customHeight="1">
      <c r="A196" t="inlineStr">
        <is>
          <t>A 164-2023</t>
        </is>
      </c>
      <c r="B196" s="1" t="n">
        <v>44918</v>
      </c>
      <c r="C196" s="1" t="n">
        <v>45936</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44672-2025</t>
        </is>
      </c>
      <c r="B197" s="1" t="n">
        <v>45917.56780092593</v>
      </c>
      <c r="C197" s="1" t="n">
        <v>45936</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44516-2025</t>
        </is>
      </c>
      <c r="B198" s="1" t="n">
        <v>45916.70982638889</v>
      </c>
      <c r="C198" s="1" t="n">
        <v>45936</v>
      </c>
      <c r="D198" t="inlineStr">
        <is>
          <t>DALARNAS LÄN</t>
        </is>
      </c>
      <c r="E198" t="inlineStr">
        <is>
          <t>LEKSAND</t>
        </is>
      </c>
      <c r="G198" t="n">
        <v>1.8</v>
      </c>
      <c r="H198" t="n">
        <v>0</v>
      </c>
      <c r="I198" t="n">
        <v>0</v>
      </c>
      <c r="J198" t="n">
        <v>0</v>
      </c>
      <c r="K198" t="n">
        <v>0</v>
      </c>
      <c r="L198" t="n">
        <v>0</v>
      </c>
      <c r="M198" t="n">
        <v>0</v>
      </c>
      <c r="N198" t="n">
        <v>0</v>
      </c>
      <c r="O198" t="n">
        <v>0</v>
      </c>
      <c r="P198" t="n">
        <v>0</v>
      </c>
      <c r="Q198" t="n">
        <v>0</v>
      </c>
      <c r="R198" s="2" t="inlineStr"/>
    </row>
    <row r="199" ht="15" customHeight="1">
      <c r="A199" t="inlineStr">
        <is>
          <t>A 44519-2025</t>
        </is>
      </c>
      <c r="B199" s="1" t="n">
        <v>45916.71483796297</v>
      </c>
      <c r="C199" s="1" t="n">
        <v>45936</v>
      </c>
      <c r="D199" t="inlineStr">
        <is>
          <t>DALARNAS LÄN</t>
        </is>
      </c>
      <c r="E199" t="inlineStr">
        <is>
          <t>LEKSAND</t>
        </is>
      </c>
      <c r="G199" t="n">
        <v>3.6</v>
      </c>
      <c r="H199" t="n">
        <v>0</v>
      </c>
      <c r="I199" t="n">
        <v>0</v>
      </c>
      <c r="J199" t="n">
        <v>0</v>
      </c>
      <c r="K199" t="n">
        <v>0</v>
      </c>
      <c r="L199" t="n">
        <v>0</v>
      </c>
      <c r="M199" t="n">
        <v>0</v>
      </c>
      <c r="N199" t="n">
        <v>0</v>
      </c>
      <c r="O199" t="n">
        <v>0</v>
      </c>
      <c r="P199" t="n">
        <v>0</v>
      </c>
      <c r="Q199" t="n">
        <v>0</v>
      </c>
      <c r="R199" s="2" t="inlineStr"/>
    </row>
    <row r="200" ht="15" customHeight="1">
      <c r="A200" t="inlineStr">
        <is>
          <t>A 52059-2024</t>
        </is>
      </c>
      <c r="B200" s="1" t="n">
        <v>45608.35609953704</v>
      </c>
      <c r="C200" s="1" t="n">
        <v>45936</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21839-2022</t>
        </is>
      </c>
      <c r="B201" s="1" t="n">
        <v>44711</v>
      </c>
      <c r="C201" s="1" t="n">
        <v>45936</v>
      </c>
      <c r="D201" t="inlineStr">
        <is>
          <t>DALARNAS LÄN</t>
        </is>
      </c>
      <c r="E201" t="inlineStr">
        <is>
          <t>LEKSAND</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34482-2022</t>
        </is>
      </c>
      <c r="B202" s="1" t="n">
        <v>44792</v>
      </c>
      <c r="C202" s="1" t="n">
        <v>45936</v>
      </c>
      <c r="D202" t="inlineStr">
        <is>
          <t>DALARNAS LÄN</t>
        </is>
      </c>
      <c r="E202" t="inlineStr">
        <is>
          <t>LEKSAND</t>
        </is>
      </c>
      <c r="G202" t="n">
        <v>2.6</v>
      </c>
      <c r="H202" t="n">
        <v>0</v>
      </c>
      <c r="I202" t="n">
        <v>0</v>
      </c>
      <c r="J202" t="n">
        <v>0</v>
      </c>
      <c r="K202" t="n">
        <v>0</v>
      </c>
      <c r="L202" t="n">
        <v>0</v>
      </c>
      <c r="M202" t="n">
        <v>0</v>
      </c>
      <c r="N202" t="n">
        <v>0</v>
      </c>
      <c r="O202" t="n">
        <v>0</v>
      </c>
      <c r="P202" t="n">
        <v>0</v>
      </c>
      <c r="Q202" t="n">
        <v>0</v>
      </c>
      <c r="R202" s="2" t="inlineStr"/>
    </row>
    <row r="203" ht="15" customHeight="1">
      <c r="A203" t="inlineStr">
        <is>
          <t>A 5738-2023</t>
        </is>
      </c>
      <c r="B203" s="1" t="n">
        <v>44962</v>
      </c>
      <c r="C203" s="1" t="n">
        <v>45936</v>
      </c>
      <c r="D203" t="inlineStr">
        <is>
          <t>DALARNAS LÄN</t>
        </is>
      </c>
      <c r="E203" t="inlineStr">
        <is>
          <t>LEKSAND</t>
        </is>
      </c>
      <c r="G203" t="n">
        <v>0.2</v>
      </c>
      <c r="H203" t="n">
        <v>0</v>
      </c>
      <c r="I203" t="n">
        <v>0</v>
      </c>
      <c r="J203" t="n">
        <v>0</v>
      </c>
      <c r="K203" t="n">
        <v>0</v>
      </c>
      <c r="L203" t="n">
        <v>0</v>
      </c>
      <c r="M203" t="n">
        <v>0</v>
      </c>
      <c r="N203" t="n">
        <v>0</v>
      </c>
      <c r="O203" t="n">
        <v>0</v>
      </c>
      <c r="P203" t="n">
        <v>0</v>
      </c>
      <c r="Q203" t="n">
        <v>0</v>
      </c>
      <c r="R203" s="2" t="inlineStr"/>
    </row>
    <row r="204" ht="15" customHeight="1">
      <c r="A204" t="inlineStr">
        <is>
          <t>A 37508-2025</t>
        </is>
      </c>
      <c r="B204" s="1" t="n">
        <v>45877.66282407408</v>
      </c>
      <c r="C204" s="1" t="n">
        <v>45936</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5584-2024</t>
        </is>
      </c>
      <c r="B205" s="1" t="n">
        <v>45334</v>
      </c>
      <c r="C205" s="1" t="n">
        <v>45936</v>
      </c>
      <c r="D205" t="inlineStr">
        <is>
          <t>DALARNAS LÄN</t>
        </is>
      </c>
      <c r="E205" t="inlineStr">
        <is>
          <t>LEKSAND</t>
        </is>
      </c>
      <c r="F205" t="inlineStr">
        <is>
          <t>Kyrkan</t>
        </is>
      </c>
      <c r="G205" t="n">
        <v>0.4</v>
      </c>
      <c r="H205" t="n">
        <v>0</v>
      </c>
      <c r="I205" t="n">
        <v>0</v>
      </c>
      <c r="J205" t="n">
        <v>0</v>
      </c>
      <c r="K205" t="n">
        <v>0</v>
      </c>
      <c r="L205" t="n">
        <v>0</v>
      </c>
      <c r="M205" t="n">
        <v>0</v>
      </c>
      <c r="N205" t="n">
        <v>0</v>
      </c>
      <c r="O205" t="n">
        <v>0</v>
      </c>
      <c r="P205" t="n">
        <v>0</v>
      </c>
      <c r="Q205" t="n">
        <v>0</v>
      </c>
      <c r="R205" s="2" t="inlineStr"/>
    </row>
    <row r="206" ht="15" customHeight="1">
      <c r="A206" t="inlineStr">
        <is>
          <t>A 51860-2024</t>
        </is>
      </c>
      <c r="B206" s="1" t="n">
        <v>45607.54511574074</v>
      </c>
      <c r="C206" s="1" t="n">
        <v>45936</v>
      </c>
      <c r="D206" t="inlineStr">
        <is>
          <t>DALARNAS LÄN</t>
        </is>
      </c>
      <c r="E206" t="inlineStr">
        <is>
          <t>LEKSAND</t>
        </is>
      </c>
      <c r="F206" t="inlineStr">
        <is>
          <t>Bergvik skog väst AB</t>
        </is>
      </c>
      <c r="G206" t="n">
        <v>3.4</v>
      </c>
      <c r="H206" t="n">
        <v>0</v>
      </c>
      <c r="I206" t="n">
        <v>0</v>
      </c>
      <c r="J206" t="n">
        <v>0</v>
      </c>
      <c r="K206" t="n">
        <v>0</v>
      </c>
      <c r="L206" t="n">
        <v>0</v>
      </c>
      <c r="M206" t="n">
        <v>0</v>
      </c>
      <c r="N206" t="n">
        <v>0</v>
      </c>
      <c r="O206" t="n">
        <v>0</v>
      </c>
      <c r="P206" t="n">
        <v>0</v>
      </c>
      <c r="Q206" t="n">
        <v>0</v>
      </c>
      <c r="R206" s="2" t="inlineStr"/>
    </row>
    <row r="207" ht="15" customHeight="1">
      <c r="A207" t="inlineStr">
        <is>
          <t>A 22681-2022</t>
        </is>
      </c>
      <c r="B207" s="1" t="n">
        <v>44714.50961805556</v>
      </c>
      <c r="C207" s="1" t="n">
        <v>45936</v>
      </c>
      <c r="D207" t="inlineStr">
        <is>
          <t>DALARNAS LÄN</t>
        </is>
      </c>
      <c r="E207" t="inlineStr">
        <is>
          <t>LEKSAND</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8940-2023</t>
        </is>
      </c>
      <c r="B208" s="1" t="n">
        <v>44974</v>
      </c>
      <c r="C208" s="1" t="n">
        <v>45936</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11128-2023</t>
        </is>
      </c>
      <c r="B209" s="1" t="n">
        <v>44992</v>
      </c>
      <c r="C209" s="1" t="n">
        <v>45936</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55268-2024</t>
        </is>
      </c>
      <c r="B210" s="1" t="n">
        <v>45621.61266203703</v>
      </c>
      <c r="C210" s="1" t="n">
        <v>45936</v>
      </c>
      <c r="D210" t="inlineStr">
        <is>
          <t>DALARNAS LÄN</t>
        </is>
      </c>
      <c r="E210" t="inlineStr">
        <is>
          <t>LEKSAND</t>
        </is>
      </c>
      <c r="G210" t="n">
        <v>4.2</v>
      </c>
      <c r="H210" t="n">
        <v>0</v>
      </c>
      <c r="I210" t="n">
        <v>0</v>
      </c>
      <c r="J210" t="n">
        <v>0</v>
      </c>
      <c r="K210" t="n">
        <v>0</v>
      </c>
      <c r="L210" t="n">
        <v>0</v>
      </c>
      <c r="M210" t="n">
        <v>0</v>
      </c>
      <c r="N210" t="n">
        <v>0</v>
      </c>
      <c r="O210" t="n">
        <v>0</v>
      </c>
      <c r="P210" t="n">
        <v>0</v>
      </c>
      <c r="Q210" t="n">
        <v>0</v>
      </c>
      <c r="R210" s="2" t="inlineStr"/>
    </row>
    <row r="211" ht="15" customHeight="1">
      <c r="A211" t="inlineStr">
        <is>
          <t>A 8743-2023</t>
        </is>
      </c>
      <c r="B211" s="1" t="n">
        <v>44978</v>
      </c>
      <c r="C211" s="1" t="n">
        <v>45936</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15020-2023</t>
        </is>
      </c>
      <c r="B212" s="1" t="n">
        <v>45015.6196412037</v>
      </c>
      <c r="C212" s="1" t="n">
        <v>45936</v>
      </c>
      <c r="D212" t="inlineStr">
        <is>
          <t>DALARNAS LÄN</t>
        </is>
      </c>
      <c r="E212" t="inlineStr">
        <is>
          <t>LEKSAND</t>
        </is>
      </c>
      <c r="G212" t="n">
        <v>2.6</v>
      </c>
      <c r="H212" t="n">
        <v>0</v>
      </c>
      <c r="I212" t="n">
        <v>0</v>
      </c>
      <c r="J212" t="n">
        <v>0</v>
      </c>
      <c r="K212" t="n">
        <v>0</v>
      </c>
      <c r="L212" t="n">
        <v>0</v>
      </c>
      <c r="M212" t="n">
        <v>0</v>
      </c>
      <c r="N212" t="n">
        <v>0</v>
      </c>
      <c r="O212" t="n">
        <v>0</v>
      </c>
      <c r="P212" t="n">
        <v>0</v>
      </c>
      <c r="Q212" t="n">
        <v>0</v>
      </c>
      <c r="R212" s="2" t="inlineStr"/>
    </row>
    <row r="213" ht="15" customHeight="1">
      <c r="A213" t="inlineStr">
        <is>
          <t>A 44948-2025</t>
        </is>
      </c>
      <c r="B213" s="1" t="n">
        <v>45918.60555555556</v>
      </c>
      <c r="C213" s="1" t="n">
        <v>45936</v>
      </c>
      <c r="D213" t="inlineStr">
        <is>
          <t>DALARNAS LÄN</t>
        </is>
      </c>
      <c r="E213" t="inlineStr">
        <is>
          <t>LEKSAND</t>
        </is>
      </c>
      <c r="G213" t="n">
        <v>5.1</v>
      </c>
      <c r="H213" t="n">
        <v>0</v>
      </c>
      <c r="I213" t="n">
        <v>0</v>
      </c>
      <c r="J213" t="n">
        <v>0</v>
      </c>
      <c r="K213" t="n">
        <v>0</v>
      </c>
      <c r="L213" t="n">
        <v>0</v>
      </c>
      <c r="M213" t="n">
        <v>0</v>
      </c>
      <c r="N213" t="n">
        <v>0</v>
      </c>
      <c r="O213" t="n">
        <v>0</v>
      </c>
      <c r="P213" t="n">
        <v>0</v>
      </c>
      <c r="Q213" t="n">
        <v>0</v>
      </c>
      <c r="R213" s="2" t="inlineStr"/>
    </row>
    <row r="214" ht="15" customHeight="1">
      <c r="A214" t="inlineStr">
        <is>
          <t>A 1458-2024</t>
        </is>
      </c>
      <c r="B214" s="1" t="n">
        <v>45303</v>
      </c>
      <c r="C214" s="1" t="n">
        <v>45936</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1457-2024</t>
        </is>
      </c>
      <c r="B215" s="1" t="n">
        <v>45303</v>
      </c>
      <c r="C215" s="1" t="n">
        <v>45936</v>
      </c>
      <c r="D215" t="inlineStr">
        <is>
          <t>DALARNAS LÄN</t>
        </is>
      </c>
      <c r="E215" t="inlineStr">
        <is>
          <t>LEKSAND</t>
        </is>
      </c>
      <c r="G215" t="n">
        <v>4.4</v>
      </c>
      <c r="H215" t="n">
        <v>0</v>
      </c>
      <c r="I215" t="n">
        <v>0</v>
      </c>
      <c r="J215" t="n">
        <v>0</v>
      </c>
      <c r="K215" t="n">
        <v>0</v>
      </c>
      <c r="L215" t="n">
        <v>0</v>
      </c>
      <c r="M215" t="n">
        <v>0</v>
      </c>
      <c r="N215" t="n">
        <v>0</v>
      </c>
      <c r="O215" t="n">
        <v>0</v>
      </c>
      <c r="P215" t="n">
        <v>0</v>
      </c>
      <c r="Q215" t="n">
        <v>0</v>
      </c>
      <c r="R215" s="2" t="inlineStr"/>
    </row>
    <row r="216" ht="15" customHeight="1">
      <c r="A216" t="inlineStr">
        <is>
          <t>A 1461-2024</t>
        </is>
      </c>
      <c r="B216" s="1" t="n">
        <v>45303</v>
      </c>
      <c r="C216" s="1" t="n">
        <v>45936</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45101-2025</t>
        </is>
      </c>
      <c r="B217" s="1" t="n">
        <v>45919.39679398148</v>
      </c>
      <c r="C217" s="1" t="n">
        <v>45936</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38001-2023</t>
        </is>
      </c>
      <c r="B218" s="1" t="n">
        <v>45160</v>
      </c>
      <c r="C218" s="1" t="n">
        <v>45936</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40007-2024</t>
        </is>
      </c>
      <c r="B219" s="1" t="n">
        <v>45553.6516550926</v>
      </c>
      <c r="C219" s="1" t="n">
        <v>45936</v>
      </c>
      <c r="D219" t="inlineStr">
        <is>
          <t>DALARNAS LÄN</t>
        </is>
      </c>
      <c r="E219" t="inlineStr">
        <is>
          <t>LEKSAND</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47673-2023</t>
        </is>
      </c>
      <c r="B220" s="1" t="n">
        <v>45203</v>
      </c>
      <c r="C220" s="1" t="n">
        <v>45936</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19820-2024</t>
        </is>
      </c>
      <c r="B221" s="1" t="n">
        <v>45433.33907407407</v>
      </c>
      <c r="C221" s="1" t="n">
        <v>45936</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19823-2024</t>
        </is>
      </c>
      <c r="B222" s="1" t="n">
        <v>45433.34469907408</v>
      </c>
      <c r="C222" s="1" t="n">
        <v>45936</v>
      </c>
      <c r="D222" t="inlineStr">
        <is>
          <t>DALARNAS LÄN</t>
        </is>
      </c>
      <c r="E222" t="inlineStr">
        <is>
          <t>LEKSAND</t>
        </is>
      </c>
      <c r="G222" t="n">
        <v>0.3</v>
      </c>
      <c r="H222" t="n">
        <v>0</v>
      </c>
      <c r="I222" t="n">
        <v>0</v>
      </c>
      <c r="J222" t="n">
        <v>0</v>
      </c>
      <c r="K222" t="n">
        <v>0</v>
      </c>
      <c r="L222" t="n">
        <v>0</v>
      </c>
      <c r="M222" t="n">
        <v>0</v>
      </c>
      <c r="N222" t="n">
        <v>0</v>
      </c>
      <c r="O222" t="n">
        <v>0</v>
      </c>
      <c r="P222" t="n">
        <v>0</v>
      </c>
      <c r="Q222" t="n">
        <v>0</v>
      </c>
      <c r="R222" s="2" t="inlineStr"/>
    </row>
    <row r="223" ht="15" customHeight="1">
      <c r="A223" t="inlineStr">
        <is>
          <t>A 45318-2025</t>
        </is>
      </c>
      <c r="B223" s="1" t="n">
        <v>45921.85230324074</v>
      </c>
      <c r="C223" s="1" t="n">
        <v>45936</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17759-2023</t>
        </is>
      </c>
      <c r="B224" s="1" t="n">
        <v>45037.48765046296</v>
      </c>
      <c r="C224" s="1" t="n">
        <v>45936</v>
      </c>
      <c r="D224" t="inlineStr">
        <is>
          <t>DALARNAS LÄN</t>
        </is>
      </c>
      <c r="E224" t="inlineStr">
        <is>
          <t>LEKSAND</t>
        </is>
      </c>
      <c r="G224" t="n">
        <v>2.1</v>
      </c>
      <c r="H224" t="n">
        <v>0</v>
      </c>
      <c r="I224" t="n">
        <v>0</v>
      </c>
      <c r="J224" t="n">
        <v>0</v>
      </c>
      <c r="K224" t="n">
        <v>0</v>
      </c>
      <c r="L224" t="n">
        <v>0</v>
      </c>
      <c r="M224" t="n">
        <v>0</v>
      </c>
      <c r="N224" t="n">
        <v>0</v>
      </c>
      <c r="O224" t="n">
        <v>0</v>
      </c>
      <c r="P224" t="n">
        <v>0</v>
      </c>
      <c r="Q224" t="n">
        <v>0</v>
      </c>
      <c r="R224" s="2" t="inlineStr"/>
    </row>
    <row r="225" ht="15" customHeight="1">
      <c r="A225" t="inlineStr">
        <is>
          <t>A 33198-2022</t>
        </is>
      </c>
      <c r="B225" s="1" t="n">
        <v>44785.68597222222</v>
      </c>
      <c r="C225" s="1" t="n">
        <v>45936</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7653-2025</t>
        </is>
      </c>
      <c r="B226" s="1" t="n">
        <v>45705.95238425926</v>
      </c>
      <c r="C226" s="1" t="n">
        <v>45936</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6039-2023</t>
        </is>
      </c>
      <c r="B227" s="1" t="n">
        <v>44959</v>
      </c>
      <c r="C227" s="1" t="n">
        <v>45936</v>
      </c>
      <c r="D227" t="inlineStr">
        <is>
          <t>DALARNAS LÄN</t>
        </is>
      </c>
      <c r="E227" t="inlineStr">
        <is>
          <t>LEKSAND</t>
        </is>
      </c>
      <c r="G227" t="n">
        <v>1.3</v>
      </c>
      <c r="H227" t="n">
        <v>0</v>
      </c>
      <c r="I227" t="n">
        <v>0</v>
      </c>
      <c r="J227" t="n">
        <v>0</v>
      </c>
      <c r="K227" t="n">
        <v>0</v>
      </c>
      <c r="L227" t="n">
        <v>0</v>
      </c>
      <c r="M227" t="n">
        <v>0</v>
      </c>
      <c r="N227" t="n">
        <v>0</v>
      </c>
      <c r="O227" t="n">
        <v>0</v>
      </c>
      <c r="P227" t="n">
        <v>0</v>
      </c>
      <c r="Q227" t="n">
        <v>0</v>
      </c>
      <c r="R227" s="2" t="inlineStr"/>
    </row>
    <row r="228" ht="15" customHeight="1">
      <c r="A228" t="inlineStr">
        <is>
          <t>A 6758-2024</t>
        </is>
      </c>
      <c r="B228" s="1" t="n">
        <v>45342.46857638889</v>
      </c>
      <c r="C228" s="1" t="n">
        <v>45936</v>
      </c>
      <c r="D228" t="inlineStr">
        <is>
          <t>DALARNAS LÄN</t>
        </is>
      </c>
      <c r="E228" t="inlineStr">
        <is>
          <t>LEKSAND</t>
        </is>
      </c>
      <c r="F228" t="inlineStr">
        <is>
          <t>Bergvik skog väst AB</t>
        </is>
      </c>
      <c r="G228" t="n">
        <v>6.2</v>
      </c>
      <c r="H228" t="n">
        <v>0</v>
      </c>
      <c r="I228" t="n">
        <v>0</v>
      </c>
      <c r="J228" t="n">
        <v>0</v>
      </c>
      <c r="K228" t="n">
        <v>0</v>
      </c>
      <c r="L228" t="n">
        <v>0</v>
      </c>
      <c r="M228" t="n">
        <v>0</v>
      </c>
      <c r="N228" t="n">
        <v>0</v>
      </c>
      <c r="O228" t="n">
        <v>0</v>
      </c>
      <c r="P228" t="n">
        <v>0</v>
      </c>
      <c r="Q228" t="n">
        <v>0</v>
      </c>
      <c r="R228" s="2" t="inlineStr"/>
    </row>
    <row r="229" ht="15" customHeight="1">
      <c r="A229" t="inlineStr">
        <is>
          <t>A 9938-2023</t>
        </is>
      </c>
      <c r="B229" s="1" t="n">
        <v>44985</v>
      </c>
      <c r="C229" s="1" t="n">
        <v>45936</v>
      </c>
      <c r="D229" t="inlineStr">
        <is>
          <t>DALARNAS LÄN</t>
        </is>
      </c>
      <c r="E229" t="inlineStr">
        <is>
          <t>LEKSAND</t>
        </is>
      </c>
      <c r="G229" t="n">
        <v>3.1</v>
      </c>
      <c r="H229" t="n">
        <v>0</v>
      </c>
      <c r="I229" t="n">
        <v>0</v>
      </c>
      <c r="J229" t="n">
        <v>0</v>
      </c>
      <c r="K229" t="n">
        <v>0</v>
      </c>
      <c r="L229" t="n">
        <v>0</v>
      </c>
      <c r="M229" t="n">
        <v>0</v>
      </c>
      <c r="N229" t="n">
        <v>0</v>
      </c>
      <c r="O229" t="n">
        <v>0</v>
      </c>
      <c r="P229" t="n">
        <v>0</v>
      </c>
      <c r="Q229" t="n">
        <v>0</v>
      </c>
      <c r="R229" s="2" t="inlineStr"/>
    </row>
    <row r="230" ht="15" customHeight="1">
      <c r="A230" t="inlineStr">
        <is>
          <t>A 4257-2022</t>
        </is>
      </c>
      <c r="B230" s="1" t="n">
        <v>44588</v>
      </c>
      <c r="C230" s="1" t="n">
        <v>45936</v>
      </c>
      <c r="D230" t="inlineStr">
        <is>
          <t>DALARNAS LÄN</t>
        </is>
      </c>
      <c r="E230" t="inlineStr">
        <is>
          <t>LEKSAND</t>
        </is>
      </c>
      <c r="G230" t="n">
        <v>6.8</v>
      </c>
      <c r="H230" t="n">
        <v>0</v>
      </c>
      <c r="I230" t="n">
        <v>0</v>
      </c>
      <c r="J230" t="n">
        <v>0</v>
      </c>
      <c r="K230" t="n">
        <v>0</v>
      </c>
      <c r="L230" t="n">
        <v>0</v>
      </c>
      <c r="M230" t="n">
        <v>0</v>
      </c>
      <c r="N230" t="n">
        <v>0</v>
      </c>
      <c r="O230" t="n">
        <v>0</v>
      </c>
      <c r="P230" t="n">
        <v>0</v>
      </c>
      <c r="Q230" t="n">
        <v>0</v>
      </c>
      <c r="R230" s="2" t="inlineStr"/>
    </row>
    <row r="231" ht="15" customHeight="1">
      <c r="A231" t="inlineStr">
        <is>
          <t>A 72575-2021</t>
        </is>
      </c>
      <c r="B231" s="1" t="n">
        <v>44546</v>
      </c>
      <c r="C231" s="1" t="n">
        <v>45936</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72581-2021</t>
        </is>
      </c>
      <c r="B232" s="1" t="n">
        <v>44546.46354166666</v>
      </c>
      <c r="C232" s="1" t="n">
        <v>45936</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33143-2024</t>
        </is>
      </c>
      <c r="B233" s="1" t="n">
        <v>45518</v>
      </c>
      <c r="C233" s="1" t="n">
        <v>45936</v>
      </c>
      <c r="D233" t="inlineStr">
        <is>
          <t>DALARNAS LÄN</t>
        </is>
      </c>
      <c r="E233" t="inlineStr">
        <is>
          <t>LEKSAND</t>
        </is>
      </c>
      <c r="G233" t="n">
        <v>0.6</v>
      </c>
      <c r="H233" t="n">
        <v>0</v>
      </c>
      <c r="I233" t="n">
        <v>0</v>
      </c>
      <c r="J233" t="n">
        <v>0</v>
      </c>
      <c r="K233" t="n">
        <v>0</v>
      </c>
      <c r="L233" t="n">
        <v>0</v>
      </c>
      <c r="M233" t="n">
        <v>0</v>
      </c>
      <c r="N233" t="n">
        <v>0</v>
      </c>
      <c r="O233" t="n">
        <v>0</v>
      </c>
      <c r="P233" t="n">
        <v>0</v>
      </c>
      <c r="Q233" t="n">
        <v>0</v>
      </c>
      <c r="R233" s="2" t="inlineStr"/>
    </row>
    <row r="234" ht="15" customHeight="1">
      <c r="A234" t="inlineStr">
        <is>
          <t>A 45381-2025</t>
        </is>
      </c>
      <c r="B234" s="1" t="n">
        <v>45922.39989583333</v>
      </c>
      <c r="C234" s="1" t="n">
        <v>45936</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31726-2024</t>
        </is>
      </c>
      <c r="B235" s="1" t="n">
        <v>45509.33908564815</v>
      </c>
      <c r="C235" s="1" t="n">
        <v>45936</v>
      </c>
      <c r="D235" t="inlineStr">
        <is>
          <t>DALARNAS LÄN</t>
        </is>
      </c>
      <c r="E235" t="inlineStr">
        <is>
          <t>LEKSAND</t>
        </is>
      </c>
      <c r="G235" t="n">
        <v>1.1</v>
      </c>
      <c r="H235" t="n">
        <v>0</v>
      </c>
      <c r="I235" t="n">
        <v>0</v>
      </c>
      <c r="J235" t="n">
        <v>0</v>
      </c>
      <c r="K235" t="n">
        <v>0</v>
      </c>
      <c r="L235" t="n">
        <v>0</v>
      </c>
      <c r="M235" t="n">
        <v>0</v>
      </c>
      <c r="N235" t="n">
        <v>0</v>
      </c>
      <c r="O235" t="n">
        <v>0</v>
      </c>
      <c r="P235" t="n">
        <v>0</v>
      </c>
      <c r="Q235" t="n">
        <v>0</v>
      </c>
      <c r="R235" s="2" t="inlineStr"/>
    </row>
    <row r="236" ht="15" customHeight="1">
      <c r="A236" t="inlineStr">
        <is>
          <t>A 26957-2023</t>
        </is>
      </c>
      <c r="B236" s="1" t="n">
        <v>45093</v>
      </c>
      <c r="C236" s="1" t="n">
        <v>45936</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39595-2023</t>
        </is>
      </c>
      <c r="B237" s="1" t="n">
        <v>45167</v>
      </c>
      <c r="C237" s="1" t="n">
        <v>45936</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45300-2025</t>
        </is>
      </c>
      <c r="B238" s="1" t="n">
        <v>45921.30490740741</v>
      </c>
      <c r="C238" s="1" t="n">
        <v>45936</v>
      </c>
      <c r="D238" t="inlineStr">
        <is>
          <t>DALARNAS LÄN</t>
        </is>
      </c>
      <c r="E238" t="inlineStr">
        <is>
          <t>LEKSAND</t>
        </is>
      </c>
      <c r="G238" t="n">
        <v>2.3</v>
      </c>
      <c r="H238" t="n">
        <v>0</v>
      </c>
      <c r="I238" t="n">
        <v>0</v>
      </c>
      <c r="J238" t="n">
        <v>0</v>
      </c>
      <c r="K238" t="n">
        <v>0</v>
      </c>
      <c r="L238" t="n">
        <v>0</v>
      </c>
      <c r="M238" t="n">
        <v>0</v>
      </c>
      <c r="N238" t="n">
        <v>0</v>
      </c>
      <c r="O238" t="n">
        <v>0</v>
      </c>
      <c r="P238" t="n">
        <v>0</v>
      </c>
      <c r="Q238" t="n">
        <v>0</v>
      </c>
      <c r="R238" s="2" t="inlineStr"/>
    </row>
    <row r="239" ht="15" customHeight="1">
      <c r="A239" t="inlineStr">
        <is>
          <t>A 28921-2023</t>
        </is>
      </c>
      <c r="B239" s="1" t="n">
        <v>45104</v>
      </c>
      <c r="C239" s="1" t="n">
        <v>45936</v>
      </c>
      <c r="D239" t="inlineStr">
        <is>
          <t>DALARNAS LÄN</t>
        </is>
      </c>
      <c r="E239" t="inlineStr">
        <is>
          <t>LEKSAND</t>
        </is>
      </c>
      <c r="G239" t="n">
        <v>4.4</v>
      </c>
      <c r="H239" t="n">
        <v>0</v>
      </c>
      <c r="I239" t="n">
        <v>0</v>
      </c>
      <c r="J239" t="n">
        <v>0</v>
      </c>
      <c r="K239" t="n">
        <v>0</v>
      </c>
      <c r="L239" t="n">
        <v>0</v>
      </c>
      <c r="M239" t="n">
        <v>0</v>
      </c>
      <c r="N239" t="n">
        <v>0</v>
      </c>
      <c r="O239" t="n">
        <v>0</v>
      </c>
      <c r="P239" t="n">
        <v>0</v>
      </c>
      <c r="Q239" t="n">
        <v>0</v>
      </c>
      <c r="R239" s="2" t="inlineStr"/>
    </row>
    <row r="240" ht="15" customHeight="1">
      <c r="A240" t="inlineStr">
        <is>
          <t>A 30998-2023</t>
        </is>
      </c>
      <c r="B240" s="1" t="n">
        <v>45113.54193287037</v>
      </c>
      <c r="C240" s="1" t="n">
        <v>45936</v>
      </c>
      <c r="D240" t="inlineStr">
        <is>
          <t>DALARNAS LÄN</t>
        </is>
      </c>
      <c r="E240" t="inlineStr">
        <is>
          <t>LEKSAND</t>
        </is>
      </c>
      <c r="G240" t="n">
        <v>0.5</v>
      </c>
      <c r="H240" t="n">
        <v>0</v>
      </c>
      <c r="I240" t="n">
        <v>0</v>
      </c>
      <c r="J240" t="n">
        <v>0</v>
      </c>
      <c r="K240" t="n">
        <v>0</v>
      </c>
      <c r="L240" t="n">
        <v>0</v>
      </c>
      <c r="M240" t="n">
        <v>0</v>
      </c>
      <c r="N240" t="n">
        <v>0</v>
      </c>
      <c r="O240" t="n">
        <v>0</v>
      </c>
      <c r="P240" t="n">
        <v>0</v>
      </c>
      <c r="Q240" t="n">
        <v>0</v>
      </c>
      <c r="R240" s="2" t="inlineStr"/>
    </row>
    <row r="241" ht="15" customHeight="1">
      <c r="A241" t="inlineStr">
        <is>
          <t>A 40642-2023</t>
        </is>
      </c>
      <c r="B241" s="1" t="n">
        <v>45169</v>
      </c>
      <c r="C241" s="1" t="n">
        <v>45936</v>
      </c>
      <c r="D241" t="inlineStr">
        <is>
          <t>DALARNAS LÄN</t>
        </is>
      </c>
      <c r="E241" t="inlineStr">
        <is>
          <t>LEKSAND</t>
        </is>
      </c>
      <c r="G241" t="n">
        <v>1.9</v>
      </c>
      <c r="H241" t="n">
        <v>0</v>
      </c>
      <c r="I241" t="n">
        <v>0</v>
      </c>
      <c r="J241" t="n">
        <v>0</v>
      </c>
      <c r="K241" t="n">
        <v>0</v>
      </c>
      <c r="L241" t="n">
        <v>0</v>
      </c>
      <c r="M241" t="n">
        <v>0</v>
      </c>
      <c r="N241" t="n">
        <v>0</v>
      </c>
      <c r="O241" t="n">
        <v>0</v>
      </c>
      <c r="P241" t="n">
        <v>0</v>
      </c>
      <c r="Q241" t="n">
        <v>0</v>
      </c>
      <c r="R241" s="2" t="inlineStr"/>
    </row>
    <row r="242" ht="15" customHeight="1">
      <c r="A242" t="inlineStr">
        <is>
          <t>A 31254-2023</t>
        </is>
      </c>
      <c r="B242" s="1" t="n">
        <v>45114</v>
      </c>
      <c r="C242" s="1" t="n">
        <v>45936</v>
      </c>
      <c r="D242" t="inlineStr">
        <is>
          <t>DALARNAS LÄN</t>
        </is>
      </c>
      <c r="E242" t="inlineStr">
        <is>
          <t>LEKSAND</t>
        </is>
      </c>
      <c r="G242" t="n">
        <v>1.4</v>
      </c>
      <c r="H242" t="n">
        <v>0</v>
      </c>
      <c r="I242" t="n">
        <v>0</v>
      </c>
      <c r="J242" t="n">
        <v>0</v>
      </c>
      <c r="K242" t="n">
        <v>0</v>
      </c>
      <c r="L242" t="n">
        <v>0</v>
      </c>
      <c r="M242" t="n">
        <v>0</v>
      </c>
      <c r="N242" t="n">
        <v>0</v>
      </c>
      <c r="O242" t="n">
        <v>0</v>
      </c>
      <c r="P242" t="n">
        <v>0</v>
      </c>
      <c r="Q242" t="n">
        <v>0</v>
      </c>
      <c r="R242" s="2" t="inlineStr"/>
    </row>
    <row r="243" ht="15" customHeight="1">
      <c r="A243" t="inlineStr">
        <is>
          <t>A 23283-2024</t>
        </is>
      </c>
      <c r="B243" s="1" t="n">
        <v>45453</v>
      </c>
      <c r="C243" s="1" t="n">
        <v>45936</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57933-2024</t>
        </is>
      </c>
      <c r="B244" s="1" t="n">
        <v>45630</v>
      </c>
      <c r="C244" s="1" t="n">
        <v>45936</v>
      </c>
      <c r="D244" t="inlineStr">
        <is>
          <t>DALARNAS LÄN</t>
        </is>
      </c>
      <c r="E244" t="inlineStr">
        <is>
          <t>LEKSAND</t>
        </is>
      </c>
      <c r="G244" t="n">
        <v>1.1</v>
      </c>
      <c r="H244" t="n">
        <v>0</v>
      </c>
      <c r="I244" t="n">
        <v>0</v>
      </c>
      <c r="J244" t="n">
        <v>0</v>
      </c>
      <c r="K244" t="n">
        <v>0</v>
      </c>
      <c r="L244" t="n">
        <v>0</v>
      </c>
      <c r="M244" t="n">
        <v>0</v>
      </c>
      <c r="N244" t="n">
        <v>0</v>
      </c>
      <c r="O244" t="n">
        <v>0</v>
      </c>
      <c r="P244" t="n">
        <v>0</v>
      </c>
      <c r="Q244" t="n">
        <v>0</v>
      </c>
      <c r="R244" s="2" t="inlineStr"/>
    </row>
    <row r="245" ht="15" customHeight="1">
      <c r="A245" t="inlineStr">
        <is>
          <t>A 39807-2024</t>
        </is>
      </c>
      <c r="B245" s="1" t="n">
        <v>45553.35763888889</v>
      </c>
      <c r="C245" s="1" t="n">
        <v>45936</v>
      </c>
      <c r="D245" t="inlineStr">
        <is>
          <t>DALARNAS LÄN</t>
        </is>
      </c>
      <c r="E245" t="inlineStr">
        <is>
          <t>LEKSAND</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1463-2024</t>
        </is>
      </c>
      <c r="B246" s="1" t="n">
        <v>45303</v>
      </c>
      <c r="C246" s="1" t="n">
        <v>45936</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16611-2024</t>
        </is>
      </c>
      <c r="B247" s="1" t="n">
        <v>45408.55504629629</v>
      </c>
      <c r="C247" s="1" t="n">
        <v>45936</v>
      </c>
      <c r="D247" t="inlineStr">
        <is>
          <t>DALARNAS LÄN</t>
        </is>
      </c>
      <c r="E247" t="inlineStr">
        <is>
          <t>LEKSAND</t>
        </is>
      </c>
      <c r="G247" t="n">
        <v>5.9</v>
      </c>
      <c r="H247" t="n">
        <v>0</v>
      </c>
      <c r="I247" t="n">
        <v>0</v>
      </c>
      <c r="J247" t="n">
        <v>0</v>
      </c>
      <c r="K247" t="n">
        <v>0</v>
      </c>
      <c r="L247" t="n">
        <v>0</v>
      </c>
      <c r="M247" t="n">
        <v>0</v>
      </c>
      <c r="N247" t="n">
        <v>0</v>
      </c>
      <c r="O247" t="n">
        <v>0</v>
      </c>
      <c r="P247" t="n">
        <v>0</v>
      </c>
      <c r="Q247" t="n">
        <v>0</v>
      </c>
      <c r="R247" s="2" t="inlineStr"/>
    </row>
    <row r="248" ht="15" customHeight="1">
      <c r="A248" t="inlineStr">
        <is>
          <t>A 60095-2022</t>
        </is>
      </c>
      <c r="B248" s="1" t="n">
        <v>44909</v>
      </c>
      <c r="C248" s="1" t="n">
        <v>45936</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30595-2023</t>
        </is>
      </c>
      <c r="B249" s="1" t="n">
        <v>45112</v>
      </c>
      <c r="C249" s="1" t="n">
        <v>45936</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47503-2024</t>
        </is>
      </c>
      <c r="B250" s="1" t="n">
        <v>45587.60262731482</v>
      </c>
      <c r="C250" s="1" t="n">
        <v>45936</v>
      </c>
      <c r="D250" t="inlineStr">
        <is>
          <t>DALARNAS LÄN</t>
        </is>
      </c>
      <c r="E250" t="inlineStr">
        <is>
          <t>LEKSAND</t>
        </is>
      </c>
      <c r="G250" t="n">
        <v>3.6</v>
      </c>
      <c r="H250" t="n">
        <v>0</v>
      </c>
      <c r="I250" t="n">
        <v>0</v>
      </c>
      <c r="J250" t="n">
        <v>0</v>
      </c>
      <c r="K250" t="n">
        <v>0</v>
      </c>
      <c r="L250" t="n">
        <v>0</v>
      </c>
      <c r="M250" t="n">
        <v>0</v>
      </c>
      <c r="N250" t="n">
        <v>0</v>
      </c>
      <c r="O250" t="n">
        <v>0</v>
      </c>
      <c r="P250" t="n">
        <v>0</v>
      </c>
      <c r="Q250" t="n">
        <v>0</v>
      </c>
      <c r="R250" s="2" t="inlineStr"/>
    </row>
    <row r="251" ht="15" customHeight="1">
      <c r="A251" t="inlineStr">
        <is>
          <t>A 45768-2023</t>
        </is>
      </c>
      <c r="B251" s="1" t="n">
        <v>45195</v>
      </c>
      <c r="C251" s="1" t="n">
        <v>45936</v>
      </c>
      <c r="D251" t="inlineStr">
        <is>
          <t>DALARNAS LÄN</t>
        </is>
      </c>
      <c r="E251" t="inlineStr">
        <is>
          <t>LEKSAND</t>
        </is>
      </c>
      <c r="G251" t="n">
        <v>0.4</v>
      </c>
      <c r="H251" t="n">
        <v>0</v>
      </c>
      <c r="I251" t="n">
        <v>0</v>
      </c>
      <c r="J251" t="n">
        <v>0</v>
      </c>
      <c r="K251" t="n">
        <v>0</v>
      </c>
      <c r="L251" t="n">
        <v>0</v>
      </c>
      <c r="M251" t="n">
        <v>0</v>
      </c>
      <c r="N251" t="n">
        <v>0</v>
      </c>
      <c r="O251" t="n">
        <v>0</v>
      </c>
      <c r="P251" t="n">
        <v>0</v>
      </c>
      <c r="Q251" t="n">
        <v>0</v>
      </c>
      <c r="R251" s="2" t="inlineStr"/>
    </row>
    <row r="252" ht="15" customHeight="1">
      <c r="A252" t="inlineStr">
        <is>
          <t>A 402-2024</t>
        </is>
      </c>
      <c r="B252" s="1" t="n">
        <v>45296.45545138889</v>
      </c>
      <c r="C252" s="1" t="n">
        <v>45936</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25025-2023</t>
        </is>
      </c>
      <c r="B253" s="1" t="n">
        <v>45085.92146990741</v>
      </c>
      <c r="C253" s="1" t="n">
        <v>45936</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25038-2023</t>
        </is>
      </c>
      <c r="B254" s="1" t="n">
        <v>45085</v>
      </c>
      <c r="C254" s="1" t="n">
        <v>45936</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6519-2025</t>
        </is>
      </c>
      <c r="B255" s="1" t="n">
        <v>45699</v>
      </c>
      <c r="C255" s="1" t="n">
        <v>45936</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37996-2025</t>
        </is>
      </c>
      <c r="B256" s="1" t="n">
        <v>45881.8299537037</v>
      </c>
      <c r="C256" s="1" t="n">
        <v>45936</v>
      </c>
      <c r="D256" t="inlineStr">
        <is>
          <t>DALARNAS LÄN</t>
        </is>
      </c>
      <c r="E256" t="inlineStr">
        <is>
          <t>LEKSAND</t>
        </is>
      </c>
      <c r="G256" t="n">
        <v>4.2</v>
      </c>
      <c r="H256" t="n">
        <v>0</v>
      </c>
      <c r="I256" t="n">
        <v>0</v>
      </c>
      <c r="J256" t="n">
        <v>0</v>
      </c>
      <c r="K256" t="n">
        <v>0</v>
      </c>
      <c r="L256" t="n">
        <v>0</v>
      </c>
      <c r="M256" t="n">
        <v>0</v>
      </c>
      <c r="N256" t="n">
        <v>0</v>
      </c>
      <c r="O256" t="n">
        <v>0</v>
      </c>
      <c r="P256" t="n">
        <v>0</v>
      </c>
      <c r="Q256" t="n">
        <v>0</v>
      </c>
      <c r="R256" s="2" t="inlineStr"/>
    </row>
    <row r="257" ht="15" customHeight="1">
      <c r="A257" t="inlineStr">
        <is>
          <t>A 11277-2025</t>
        </is>
      </c>
      <c r="B257" s="1" t="n">
        <v>45726.41565972222</v>
      </c>
      <c r="C257" s="1" t="n">
        <v>45936</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46176-2025</t>
        </is>
      </c>
      <c r="B258" s="1" t="n">
        <v>45924.65101851852</v>
      </c>
      <c r="C258" s="1" t="n">
        <v>45936</v>
      </c>
      <c r="D258" t="inlineStr">
        <is>
          <t>DALARNAS LÄN</t>
        </is>
      </c>
      <c r="E258" t="inlineStr">
        <is>
          <t>LEKSAND</t>
        </is>
      </c>
      <c r="G258" t="n">
        <v>2.4</v>
      </c>
      <c r="H258" t="n">
        <v>0</v>
      </c>
      <c r="I258" t="n">
        <v>0</v>
      </c>
      <c r="J258" t="n">
        <v>0</v>
      </c>
      <c r="K258" t="n">
        <v>0</v>
      </c>
      <c r="L258" t="n">
        <v>0</v>
      </c>
      <c r="M258" t="n">
        <v>0</v>
      </c>
      <c r="N258" t="n">
        <v>0</v>
      </c>
      <c r="O258" t="n">
        <v>0</v>
      </c>
      <c r="P258" t="n">
        <v>0</v>
      </c>
      <c r="Q258" t="n">
        <v>0</v>
      </c>
      <c r="R258" s="2" t="inlineStr"/>
    </row>
    <row r="259" ht="15" customHeight="1">
      <c r="A259" t="inlineStr">
        <is>
          <t>A 40755-2024</t>
        </is>
      </c>
      <c r="B259" s="1" t="n">
        <v>45558.45815972222</v>
      </c>
      <c r="C259" s="1" t="n">
        <v>45936</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19296-2024</t>
        </is>
      </c>
      <c r="B260" s="1" t="n">
        <v>45428.69438657408</v>
      </c>
      <c r="C260" s="1" t="n">
        <v>45936</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2517-2024</t>
        </is>
      </c>
      <c r="B261" s="1" t="n">
        <v>45313</v>
      </c>
      <c r="C261" s="1" t="n">
        <v>45936</v>
      </c>
      <c r="D261" t="inlineStr">
        <is>
          <t>DALARNAS LÄN</t>
        </is>
      </c>
      <c r="E261" t="inlineStr">
        <is>
          <t>LEKSAND</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11218-2023</t>
        </is>
      </c>
      <c r="B262" s="1" t="n">
        <v>44992.62401620371</v>
      </c>
      <c r="C262" s="1" t="n">
        <v>45936</v>
      </c>
      <c r="D262" t="inlineStr">
        <is>
          <t>DALARNAS LÄN</t>
        </is>
      </c>
      <c r="E262" t="inlineStr">
        <is>
          <t>LEKSAND</t>
        </is>
      </c>
      <c r="G262" t="n">
        <v>2.6</v>
      </c>
      <c r="H262" t="n">
        <v>0</v>
      </c>
      <c r="I262" t="n">
        <v>0</v>
      </c>
      <c r="J262" t="n">
        <v>0</v>
      </c>
      <c r="K262" t="n">
        <v>0</v>
      </c>
      <c r="L262" t="n">
        <v>0</v>
      </c>
      <c r="M262" t="n">
        <v>0</v>
      </c>
      <c r="N262" t="n">
        <v>0</v>
      </c>
      <c r="O262" t="n">
        <v>0</v>
      </c>
      <c r="P262" t="n">
        <v>0</v>
      </c>
      <c r="Q262" t="n">
        <v>0</v>
      </c>
      <c r="R262" s="2" t="inlineStr"/>
    </row>
    <row r="263" ht="15" customHeight="1">
      <c r="A263" t="inlineStr">
        <is>
          <t>A 5570-2024</t>
        </is>
      </c>
      <c r="B263" s="1" t="n">
        <v>45334</v>
      </c>
      <c r="C263" s="1" t="n">
        <v>45936</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54917-2024</t>
        </is>
      </c>
      <c r="B264" s="1" t="n">
        <v>45618.69581018519</v>
      </c>
      <c r="C264" s="1" t="n">
        <v>45936</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61680-2024</t>
        </is>
      </c>
      <c r="B265" s="1" t="n">
        <v>45647.42890046296</v>
      </c>
      <c r="C265" s="1" t="n">
        <v>45936</v>
      </c>
      <c r="D265" t="inlineStr">
        <is>
          <t>DALARNAS LÄN</t>
        </is>
      </c>
      <c r="E265" t="inlineStr">
        <is>
          <t>LEKSAND</t>
        </is>
      </c>
      <c r="G265" t="n">
        <v>3.6</v>
      </c>
      <c r="H265" t="n">
        <v>0</v>
      </c>
      <c r="I265" t="n">
        <v>0</v>
      </c>
      <c r="J265" t="n">
        <v>0</v>
      </c>
      <c r="K265" t="n">
        <v>0</v>
      </c>
      <c r="L265" t="n">
        <v>0</v>
      </c>
      <c r="M265" t="n">
        <v>0</v>
      </c>
      <c r="N265" t="n">
        <v>0</v>
      </c>
      <c r="O265" t="n">
        <v>0</v>
      </c>
      <c r="P265" t="n">
        <v>0</v>
      </c>
      <c r="Q265" t="n">
        <v>0</v>
      </c>
      <c r="R265" s="2" t="inlineStr"/>
    </row>
    <row r="266" ht="15" customHeight="1">
      <c r="A266" t="inlineStr">
        <is>
          <t>A 11403-2023</t>
        </is>
      </c>
      <c r="B266" s="1" t="n">
        <v>44993</v>
      </c>
      <c r="C266" s="1" t="n">
        <v>45936</v>
      </c>
      <c r="D266" t="inlineStr">
        <is>
          <t>DALARNAS LÄN</t>
        </is>
      </c>
      <c r="E266" t="inlineStr">
        <is>
          <t>LEKSAND</t>
        </is>
      </c>
      <c r="G266" t="n">
        <v>0.1</v>
      </c>
      <c r="H266" t="n">
        <v>0</v>
      </c>
      <c r="I266" t="n">
        <v>0</v>
      </c>
      <c r="J266" t="n">
        <v>0</v>
      </c>
      <c r="K266" t="n">
        <v>0</v>
      </c>
      <c r="L266" t="n">
        <v>0</v>
      </c>
      <c r="M266" t="n">
        <v>0</v>
      </c>
      <c r="N266" t="n">
        <v>0</v>
      </c>
      <c r="O266" t="n">
        <v>0</v>
      </c>
      <c r="P266" t="n">
        <v>0</v>
      </c>
      <c r="Q266" t="n">
        <v>0</v>
      </c>
      <c r="R266" s="2" t="inlineStr"/>
    </row>
    <row r="267" ht="15" customHeight="1">
      <c r="A267" t="inlineStr">
        <is>
          <t>A 46405-2025</t>
        </is>
      </c>
      <c r="B267" s="1" t="n">
        <v>45925.56306712963</v>
      </c>
      <c r="C267" s="1" t="n">
        <v>45936</v>
      </c>
      <c r="D267" t="inlineStr">
        <is>
          <t>DALARNAS LÄN</t>
        </is>
      </c>
      <c r="E267" t="inlineStr">
        <is>
          <t>LEKSAND</t>
        </is>
      </c>
      <c r="G267" t="n">
        <v>5.7</v>
      </c>
      <c r="H267" t="n">
        <v>0</v>
      </c>
      <c r="I267" t="n">
        <v>0</v>
      </c>
      <c r="J267" t="n">
        <v>0</v>
      </c>
      <c r="K267" t="n">
        <v>0</v>
      </c>
      <c r="L267" t="n">
        <v>0</v>
      </c>
      <c r="M267" t="n">
        <v>0</v>
      </c>
      <c r="N267" t="n">
        <v>0</v>
      </c>
      <c r="O267" t="n">
        <v>0</v>
      </c>
      <c r="P267" t="n">
        <v>0</v>
      </c>
      <c r="Q267" t="n">
        <v>0</v>
      </c>
      <c r="R267" s="2" t="inlineStr"/>
    </row>
    <row r="268" ht="15" customHeight="1">
      <c r="A268" t="inlineStr">
        <is>
          <t>A 62295-2023</t>
        </is>
      </c>
      <c r="B268" s="1" t="n">
        <v>45267</v>
      </c>
      <c r="C268" s="1" t="n">
        <v>45936</v>
      </c>
      <c r="D268" t="inlineStr">
        <is>
          <t>DALARNAS LÄN</t>
        </is>
      </c>
      <c r="E268" t="inlineStr">
        <is>
          <t>LEKSAND</t>
        </is>
      </c>
      <c r="G268" t="n">
        <v>2.5</v>
      </c>
      <c r="H268" t="n">
        <v>0</v>
      </c>
      <c r="I268" t="n">
        <v>0</v>
      </c>
      <c r="J268" t="n">
        <v>0</v>
      </c>
      <c r="K268" t="n">
        <v>0</v>
      </c>
      <c r="L268" t="n">
        <v>0</v>
      </c>
      <c r="M268" t="n">
        <v>0</v>
      </c>
      <c r="N268" t="n">
        <v>0</v>
      </c>
      <c r="O268" t="n">
        <v>0</v>
      </c>
      <c r="P268" t="n">
        <v>0</v>
      </c>
      <c r="Q268" t="n">
        <v>0</v>
      </c>
      <c r="R268" s="2" t="inlineStr"/>
    </row>
    <row r="269" ht="15" customHeight="1">
      <c r="A269" t="inlineStr">
        <is>
          <t>A 46483-2025</t>
        </is>
      </c>
      <c r="B269" s="1" t="n">
        <v>45925.70248842592</v>
      </c>
      <c r="C269" s="1" t="n">
        <v>45936</v>
      </c>
      <c r="D269" t="inlineStr">
        <is>
          <t>DALARNAS LÄN</t>
        </is>
      </c>
      <c r="E269" t="inlineStr">
        <is>
          <t>LEKSAND</t>
        </is>
      </c>
      <c r="G269" t="n">
        <v>3.6</v>
      </c>
      <c r="H269" t="n">
        <v>0</v>
      </c>
      <c r="I269" t="n">
        <v>0</v>
      </c>
      <c r="J269" t="n">
        <v>0</v>
      </c>
      <c r="K269" t="n">
        <v>0</v>
      </c>
      <c r="L269" t="n">
        <v>0</v>
      </c>
      <c r="M269" t="n">
        <v>0</v>
      </c>
      <c r="N269" t="n">
        <v>0</v>
      </c>
      <c r="O269" t="n">
        <v>0</v>
      </c>
      <c r="P269" t="n">
        <v>0</v>
      </c>
      <c r="Q269" t="n">
        <v>0</v>
      </c>
      <c r="R269" s="2" t="inlineStr"/>
    </row>
    <row r="270" ht="15" customHeight="1">
      <c r="A270" t="inlineStr">
        <is>
          <t>A 43830-2025</t>
        </is>
      </c>
      <c r="B270" s="1" t="n">
        <v>45912</v>
      </c>
      <c r="C270" s="1" t="n">
        <v>45936</v>
      </c>
      <c r="D270" t="inlineStr">
        <is>
          <t>DALARNAS LÄN</t>
        </is>
      </c>
      <c r="E270" t="inlineStr">
        <is>
          <t>LEKSAND</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59199-2024</t>
        </is>
      </c>
      <c r="B271" s="1" t="n">
        <v>45637</v>
      </c>
      <c r="C271" s="1" t="n">
        <v>45936</v>
      </c>
      <c r="D271" t="inlineStr">
        <is>
          <t>DALARNAS LÄN</t>
        </is>
      </c>
      <c r="E271" t="inlineStr">
        <is>
          <t>LEKSAND</t>
        </is>
      </c>
      <c r="G271" t="n">
        <v>5.4</v>
      </c>
      <c r="H271" t="n">
        <v>0</v>
      </c>
      <c r="I271" t="n">
        <v>0</v>
      </c>
      <c r="J271" t="n">
        <v>0</v>
      </c>
      <c r="K271" t="n">
        <v>0</v>
      </c>
      <c r="L271" t="n">
        <v>0</v>
      </c>
      <c r="M271" t="n">
        <v>0</v>
      </c>
      <c r="N271" t="n">
        <v>0</v>
      </c>
      <c r="O271" t="n">
        <v>0</v>
      </c>
      <c r="P271" t="n">
        <v>0</v>
      </c>
      <c r="Q271" t="n">
        <v>0</v>
      </c>
      <c r="R271" s="2" t="inlineStr"/>
    </row>
    <row r="272" ht="15" customHeight="1">
      <c r="A272" t="inlineStr">
        <is>
          <t>A 15173-2025</t>
        </is>
      </c>
      <c r="B272" s="1" t="n">
        <v>45744.50858796296</v>
      </c>
      <c r="C272" s="1" t="n">
        <v>45936</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61054-2023</t>
        </is>
      </c>
      <c r="B273" s="1" t="n">
        <v>45261</v>
      </c>
      <c r="C273" s="1" t="n">
        <v>45936</v>
      </c>
      <c r="D273" t="inlineStr">
        <is>
          <t>DALARNAS LÄN</t>
        </is>
      </c>
      <c r="E273" t="inlineStr">
        <is>
          <t>LEKSAND</t>
        </is>
      </c>
      <c r="G273" t="n">
        <v>0.4</v>
      </c>
      <c r="H273" t="n">
        <v>0</v>
      </c>
      <c r="I273" t="n">
        <v>0</v>
      </c>
      <c r="J273" t="n">
        <v>0</v>
      </c>
      <c r="K273" t="n">
        <v>0</v>
      </c>
      <c r="L273" t="n">
        <v>0</v>
      </c>
      <c r="M273" t="n">
        <v>0</v>
      </c>
      <c r="N273" t="n">
        <v>0</v>
      </c>
      <c r="O273" t="n">
        <v>0</v>
      </c>
      <c r="P273" t="n">
        <v>0</v>
      </c>
      <c r="Q273" t="n">
        <v>0</v>
      </c>
      <c r="R273" s="2" t="inlineStr"/>
    </row>
    <row r="274" ht="15" customHeight="1">
      <c r="A274" t="inlineStr">
        <is>
          <t>A 61056-2023</t>
        </is>
      </c>
      <c r="B274" s="1" t="n">
        <v>45261</v>
      </c>
      <c r="C274" s="1" t="n">
        <v>45936</v>
      </c>
      <c r="D274" t="inlineStr">
        <is>
          <t>DALARNAS LÄN</t>
        </is>
      </c>
      <c r="E274" t="inlineStr">
        <is>
          <t>LEKSAND</t>
        </is>
      </c>
      <c r="G274" t="n">
        <v>0.3</v>
      </c>
      <c r="H274" t="n">
        <v>0</v>
      </c>
      <c r="I274" t="n">
        <v>0</v>
      </c>
      <c r="J274" t="n">
        <v>0</v>
      </c>
      <c r="K274" t="n">
        <v>0</v>
      </c>
      <c r="L274" t="n">
        <v>0</v>
      </c>
      <c r="M274" t="n">
        <v>0</v>
      </c>
      <c r="N274" t="n">
        <v>0</v>
      </c>
      <c r="O274" t="n">
        <v>0</v>
      </c>
      <c r="P274" t="n">
        <v>0</v>
      </c>
      <c r="Q274" t="n">
        <v>0</v>
      </c>
      <c r="R274" s="2" t="inlineStr"/>
    </row>
    <row r="275" ht="15" customHeight="1">
      <c r="A275" t="inlineStr">
        <is>
          <t>A 23892-2025</t>
        </is>
      </c>
      <c r="B275" s="1" t="n">
        <v>45793</v>
      </c>
      <c r="C275" s="1" t="n">
        <v>45936</v>
      </c>
      <c r="D275" t="inlineStr">
        <is>
          <t>DALARNAS LÄN</t>
        </is>
      </c>
      <c r="E275" t="inlineStr">
        <is>
          <t>LEKSAND</t>
        </is>
      </c>
      <c r="F275" t="inlineStr">
        <is>
          <t>Kommuner</t>
        </is>
      </c>
      <c r="G275" t="n">
        <v>1.5</v>
      </c>
      <c r="H275" t="n">
        <v>0</v>
      </c>
      <c r="I275" t="n">
        <v>0</v>
      </c>
      <c r="J275" t="n">
        <v>0</v>
      </c>
      <c r="K275" t="n">
        <v>0</v>
      </c>
      <c r="L275" t="n">
        <v>0</v>
      </c>
      <c r="M275" t="n">
        <v>0</v>
      </c>
      <c r="N275" t="n">
        <v>0</v>
      </c>
      <c r="O275" t="n">
        <v>0</v>
      </c>
      <c r="P275" t="n">
        <v>0</v>
      </c>
      <c r="Q275" t="n">
        <v>0</v>
      </c>
      <c r="R275" s="2" t="inlineStr"/>
    </row>
    <row r="276" ht="15" customHeight="1">
      <c r="A276" t="inlineStr">
        <is>
          <t>A 60129-2023</t>
        </is>
      </c>
      <c r="B276" s="1" t="n">
        <v>45258.49056712963</v>
      </c>
      <c r="C276" s="1" t="n">
        <v>45936</v>
      </c>
      <c r="D276" t="inlineStr">
        <is>
          <t>DALARNAS LÄN</t>
        </is>
      </c>
      <c r="E276" t="inlineStr">
        <is>
          <t>LEKSAND</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36932-2023</t>
        </is>
      </c>
      <c r="B277" s="1" t="n">
        <v>45154</v>
      </c>
      <c r="C277" s="1" t="n">
        <v>45936</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2579-2022</t>
        </is>
      </c>
      <c r="B278" s="1" t="n">
        <v>44580</v>
      </c>
      <c r="C278" s="1" t="n">
        <v>45936</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3737-2023</t>
        </is>
      </c>
      <c r="B279" s="1" t="n">
        <v>44951.42983796296</v>
      </c>
      <c r="C279" s="1" t="n">
        <v>45936</v>
      </c>
      <c r="D279" t="inlineStr">
        <is>
          <t>DALARNAS LÄN</t>
        </is>
      </c>
      <c r="E279" t="inlineStr">
        <is>
          <t>LEKSAND</t>
        </is>
      </c>
      <c r="G279" t="n">
        <v>3.1</v>
      </c>
      <c r="H279" t="n">
        <v>0</v>
      </c>
      <c r="I279" t="n">
        <v>0</v>
      </c>
      <c r="J279" t="n">
        <v>0</v>
      </c>
      <c r="K279" t="n">
        <v>0</v>
      </c>
      <c r="L279" t="n">
        <v>0</v>
      </c>
      <c r="M279" t="n">
        <v>0</v>
      </c>
      <c r="N279" t="n">
        <v>0</v>
      </c>
      <c r="O279" t="n">
        <v>0</v>
      </c>
      <c r="P279" t="n">
        <v>0</v>
      </c>
      <c r="Q279" t="n">
        <v>0</v>
      </c>
      <c r="R279" s="2" t="inlineStr"/>
    </row>
    <row r="280" ht="15" customHeight="1">
      <c r="A280" t="inlineStr">
        <is>
          <t>A 43237-2024</t>
        </is>
      </c>
      <c r="B280" s="1" t="n">
        <v>45567</v>
      </c>
      <c r="C280" s="1" t="n">
        <v>45936</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6846-2023</t>
        </is>
      </c>
      <c r="B281" s="1" t="n">
        <v>44967.43953703704</v>
      </c>
      <c r="C281" s="1" t="n">
        <v>45936</v>
      </c>
      <c r="D281" t="inlineStr">
        <is>
          <t>DALARNAS LÄN</t>
        </is>
      </c>
      <c r="E281" t="inlineStr">
        <is>
          <t>LEKSAND</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38090-2025</t>
        </is>
      </c>
      <c r="B282" s="1" t="n">
        <v>45882.48440972222</v>
      </c>
      <c r="C282" s="1" t="n">
        <v>45936</v>
      </c>
      <c r="D282" t="inlineStr">
        <is>
          <t>DALARNAS LÄN</t>
        </is>
      </c>
      <c r="E282" t="inlineStr">
        <is>
          <t>LEKSAND</t>
        </is>
      </c>
      <c r="G282" t="n">
        <v>1.6</v>
      </c>
      <c r="H282" t="n">
        <v>0</v>
      </c>
      <c r="I282" t="n">
        <v>0</v>
      </c>
      <c r="J282" t="n">
        <v>0</v>
      </c>
      <c r="K282" t="n">
        <v>0</v>
      </c>
      <c r="L282" t="n">
        <v>0</v>
      </c>
      <c r="M282" t="n">
        <v>0</v>
      </c>
      <c r="N282" t="n">
        <v>0</v>
      </c>
      <c r="O282" t="n">
        <v>0</v>
      </c>
      <c r="P282" t="n">
        <v>0</v>
      </c>
      <c r="Q282" t="n">
        <v>0</v>
      </c>
      <c r="R282" s="2" t="inlineStr"/>
    </row>
    <row r="283" ht="15" customHeight="1">
      <c r="A283" t="inlineStr">
        <is>
          <t>A 57013-2023</t>
        </is>
      </c>
      <c r="B283" s="1" t="n">
        <v>45244</v>
      </c>
      <c r="C283" s="1" t="n">
        <v>45936</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23068-2024</t>
        </is>
      </c>
      <c r="B284" s="1" t="n">
        <v>45450.45521990741</v>
      </c>
      <c r="C284" s="1" t="n">
        <v>45936</v>
      </c>
      <c r="D284" t="inlineStr">
        <is>
          <t>DALARNAS LÄN</t>
        </is>
      </c>
      <c r="E284" t="inlineStr">
        <is>
          <t>LEKSAND</t>
        </is>
      </c>
      <c r="G284" t="n">
        <v>2.4</v>
      </c>
      <c r="H284" t="n">
        <v>0</v>
      </c>
      <c r="I284" t="n">
        <v>0</v>
      </c>
      <c r="J284" t="n">
        <v>0</v>
      </c>
      <c r="K284" t="n">
        <v>0</v>
      </c>
      <c r="L284" t="n">
        <v>0</v>
      </c>
      <c r="M284" t="n">
        <v>0</v>
      </c>
      <c r="N284" t="n">
        <v>0</v>
      </c>
      <c r="O284" t="n">
        <v>0</v>
      </c>
      <c r="P284" t="n">
        <v>0</v>
      </c>
      <c r="Q284" t="n">
        <v>0</v>
      </c>
      <c r="R284" s="2" t="inlineStr"/>
    </row>
    <row r="285" ht="15" customHeight="1">
      <c r="A285" t="inlineStr">
        <is>
          <t>A 43888-2025</t>
        </is>
      </c>
      <c r="B285" s="1" t="n">
        <v>45912</v>
      </c>
      <c r="C285" s="1" t="n">
        <v>45936</v>
      </c>
      <c r="D285" t="inlineStr">
        <is>
          <t>DALARNAS LÄN</t>
        </is>
      </c>
      <c r="E285" t="inlineStr">
        <is>
          <t>LEKSAND</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2140-2024</t>
        </is>
      </c>
      <c r="B286" s="1" t="n">
        <v>45309</v>
      </c>
      <c r="C286" s="1" t="n">
        <v>45936</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7894-2025</t>
        </is>
      </c>
      <c r="B287" s="1" t="n">
        <v>45707.30268518518</v>
      </c>
      <c r="C287" s="1" t="n">
        <v>45936</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17413-2023</t>
        </is>
      </c>
      <c r="B288" s="1" t="n">
        <v>45035</v>
      </c>
      <c r="C288" s="1" t="n">
        <v>45936</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1775-2022</t>
        </is>
      </c>
      <c r="B289" s="1" t="n">
        <v>44574</v>
      </c>
      <c r="C289" s="1" t="n">
        <v>45936</v>
      </c>
      <c r="D289" t="inlineStr">
        <is>
          <t>DALARNAS LÄN</t>
        </is>
      </c>
      <c r="E289" t="inlineStr">
        <is>
          <t>LEKSAND</t>
        </is>
      </c>
      <c r="G289" t="n">
        <v>2</v>
      </c>
      <c r="H289" t="n">
        <v>0</v>
      </c>
      <c r="I289" t="n">
        <v>0</v>
      </c>
      <c r="J289" t="n">
        <v>0</v>
      </c>
      <c r="K289" t="n">
        <v>0</v>
      </c>
      <c r="L289" t="n">
        <v>0</v>
      </c>
      <c r="M289" t="n">
        <v>0</v>
      </c>
      <c r="N289" t="n">
        <v>0</v>
      </c>
      <c r="O289" t="n">
        <v>0</v>
      </c>
      <c r="P289" t="n">
        <v>0</v>
      </c>
      <c r="Q289" t="n">
        <v>0</v>
      </c>
      <c r="R289" s="2" t="inlineStr"/>
    </row>
    <row r="290" ht="15" customHeight="1">
      <c r="A290" t="inlineStr">
        <is>
          <t>A 23615-2024</t>
        </is>
      </c>
      <c r="B290" s="1" t="n">
        <v>45454.43050925926</v>
      </c>
      <c r="C290" s="1" t="n">
        <v>45936</v>
      </c>
      <c r="D290" t="inlineStr">
        <is>
          <t>DALARNAS LÄN</t>
        </is>
      </c>
      <c r="E290" t="inlineStr">
        <is>
          <t>LEKSAND</t>
        </is>
      </c>
      <c r="G290" t="n">
        <v>1.7</v>
      </c>
      <c r="H290" t="n">
        <v>0</v>
      </c>
      <c r="I290" t="n">
        <v>0</v>
      </c>
      <c r="J290" t="n">
        <v>0</v>
      </c>
      <c r="K290" t="n">
        <v>0</v>
      </c>
      <c r="L290" t="n">
        <v>0</v>
      </c>
      <c r="M290" t="n">
        <v>0</v>
      </c>
      <c r="N290" t="n">
        <v>0</v>
      </c>
      <c r="O290" t="n">
        <v>0</v>
      </c>
      <c r="P290" t="n">
        <v>0</v>
      </c>
      <c r="Q290" t="n">
        <v>0</v>
      </c>
      <c r="R290" s="2" t="inlineStr"/>
    </row>
    <row r="291" ht="15" customHeight="1">
      <c r="A291" t="inlineStr">
        <is>
          <t>A 56753-2023</t>
        </is>
      </c>
      <c r="B291" s="1" t="n">
        <v>45244.37094907407</v>
      </c>
      <c r="C291" s="1" t="n">
        <v>45936</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22349-2024</t>
        </is>
      </c>
      <c r="B292" s="1" t="n">
        <v>45446</v>
      </c>
      <c r="C292" s="1" t="n">
        <v>45936</v>
      </c>
      <c r="D292" t="inlineStr">
        <is>
          <t>DALARNAS LÄN</t>
        </is>
      </c>
      <c r="E292" t="inlineStr">
        <is>
          <t>LEKSAND</t>
        </is>
      </c>
      <c r="G292" t="n">
        <v>0.6</v>
      </c>
      <c r="H292" t="n">
        <v>0</v>
      </c>
      <c r="I292" t="n">
        <v>0</v>
      </c>
      <c r="J292" t="n">
        <v>0</v>
      </c>
      <c r="K292" t="n">
        <v>0</v>
      </c>
      <c r="L292" t="n">
        <v>0</v>
      </c>
      <c r="M292" t="n">
        <v>0</v>
      </c>
      <c r="N292" t="n">
        <v>0</v>
      </c>
      <c r="O292" t="n">
        <v>0</v>
      </c>
      <c r="P292" t="n">
        <v>0</v>
      </c>
      <c r="Q292" t="n">
        <v>0</v>
      </c>
      <c r="R292" s="2" t="inlineStr"/>
    </row>
    <row r="293" ht="15" customHeight="1">
      <c r="A293" t="inlineStr">
        <is>
          <t>A 43077-2024</t>
        </is>
      </c>
      <c r="B293" s="1" t="n">
        <v>45567.50030092592</v>
      </c>
      <c r="C293" s="1" t="n">
        <v>45936</v>
      </c>
      <c r="D293" t="inlineStr">
        <is>
          <t>DALARNAS LÄN</t>
        </is>
      </c>
      <c r="E293" t="inlineStr">
        <is>
          <t>LEKSAND</t>
        </is>
      </c>
      <c r="G293" t="n">
        <v>1.6</v>
      </c>
      <c r="H293" t="n">
        <v>0</v>
      </c>
      <c r="I293" t="n">
        <v>0</v>
      </c>
      <c r="J293" t="n">
        <v>0</v>
      </c>
      <c r="K293" t="n">
        <v>0</v>
      </c>
      <c r="L293" t="n">
        <v>0</v>
      </c>
      <c r="M293" t="n">
        <v>0</v>
      </c>
      <c r="N293" t="n">
        <v>0</v>
      </c>
      <c r="O293" t="n">
        <v>0</v>
      </c>
      <c r="P293" t="n">
        <v>0</v>
      </c>
      <c r="Q293" t="n">
        <v>0</v>
      </c>
      <c r="R293" s="2" t="inlineStr"/>
    </row>
    <row r="294" ht="15" customHeight="1">
      <c r="A294" t="inlineStr">
        <is>
          <t>A 53717-2023</t>
        </is>
      </c>
      <c r="B294" s="1" t="n">
        <v>45230</v>
      </c>
      <c r="C294" s="1" t="n">
        <v>45936</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57899-2024</t>
        </is>
      </c>
      <c r="B295" s="1" t="n">
        <v>45630</v>
      </c>
      <c r="C295" s="1" t="n">
        <v>45936</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60873-2023</t>
        </is>
      </c>
      <c r="B296" s="1" t="n">
        <v>45261.03266203704</v>
      </c>
      <c r="C296" s="1" t="n">
        <v>45936</v>
      </c>
      <c r="D296" t="inlineStr">
        <is>
          <t>DALARNAS LÄN</t>
        </is>
      </c>
      <c r="E296" t="inlineStr">
        <is>
          <t>LEKSAND</t>
        </is>
      </c>
      <c r="G296" t="n">
        <v>5.2</v>
      </c>
      <c r="H296" t="n">
        <v>0</v>
      </c>
      <c r="I296" t="n">
        <v>0</v>
      </c>
      <c r="J296" t="n">
        <v>0</v>
      </c>
      <c r="K296" t="n">
        <v>0</v>
      </c>
      <c r="L296" t="n">
        <v>0</v>
      </c>
      <c r="M296" t="n">
        <v>0</v>
      </c>
      <c r="N296" t="n">
        <v>0</v>
      </c>
      <c r="O296" t="n">
        <v>0</v>
      </c>
      <c r="P296" t="n">
        <v>0</v>
      </c>
      <c r="Q296" t="n">
        <v>0</v>
      </c>
      <c r="R296" s="2" t="inlineStr"/>
    </row>
    <row r="297" ht="15" customHeight="1">
      <c r="A297" t="inlineStr">
        <is>
          <t>A 28965-2023</t>
        </is>
      </c>
      <c r="B297" s="1" t="n">
        <v>45104</v>
      </c>
      <c r="C297" s="1" t="n">
        <v>45936</v>
      </c>
      <c r="D297" t="inlineStr">
        <is>
          <t>DALARNAS LÄN</t>
        </is>
      </c>
      <c r="E297" t="inlineStr">
        <is>
          <t>LEKSAND</t>
        </is>
      </c>
      <c r="F297" t="inlineStr">
        <is>
          <t>Bergvik skog väst AB</t>
        </is>
      </c>
      <c r="G297" t="n">
        <v>0.9</v>
      </c>
      <c r="H297" t="n">
        <v>0</v>
      </c>
      <c r="I297" t="n">
        <v>0</v>
      </c>
      <c r="J297" t="n">
        <v>0</v>
      </c>
      <c r="K297" t="n">
        <v>0</v>
      </c>
      <c r="L297" t="n">
        <v>0</v>
      </c>
      <c r="M297" t="n">
        <v>0</v>
      </c>
      <c r="N297" t="n">
        <v>0</v>
      </c>
      <c r="O297" t="n">
        <v>0</v>
      </c>
      <c r="P297" t="n">
        <v>0</v>
      </c>
      <c r="Q297" t="n">
        <v>0</v>
      </c>
      <c r="R297" s="2" t="inlineStr"/>
    </row>
    <row r="298" ht="15" customHeight="1">
      <c r="A298" t="inlineStr">
        <is>
          <t>A 16293-2025</t>
        </is>
      </c>
      <c r="B298" s="1" t="n">
        <v>45751.33447916667</v>
      </c>
      <c r="C298" s="1" t="n">
        <v>45936</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6027-2025</t>
        </is>
      </c>
      <c r="B299" s="1" t="n">
        <v>45695</v>
      </c>
      <c r="C299" s="1" t="n">
        <v>45936</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12581-2025</t>
        </is>
      </c>
      <c r="B300" s="1" t="n">
        <v>45732.62201388889</v>
      </c>
      <c r="C300" s="1" t="n">
        <v>45936</v>
      </c>
      <c r="D300" t="inlineStr">
        <is>
          <t>DALARNAS LÄN</t>
        </is>
      </c>
      <c r="E300" t="inlineStr">
        <is>
          <t>LEKSAND</t>
        </is>
      </c>
      <c r="G300" t="n">
        <v>5.1</v>
      </c>
      <c r="H300" t="n">
        <v>0</v>
      </c>
      <c r="I300" t="n">
        <v>0</v>
      </c>
      <c r="J300" t="n">
        <v>0</v>
      </c>
      <c r="K300" t="n">
        <v>0</v>
      </c>
      <c r="L300" t="n">
        <v>0</v>
      </c>
      <c r="M300" t="n">
        <v>0</v>
      </c>
      <c r="N300" t="n">
        <v>0</v>
      </c>
      <c r="O300" t="n">
        <v>0</v>
      </c>
      <c r="P300" t="n">
        <v>0</v>
      </c>
      <c r="Q300" t="n">
        <v>0</v>
      </c>
      <c r="R300" s="2" t="inlineStr"/>
    </row>
    <row r="301" ht="15" customHeight="1">
      <c r="A301" t="inlineStr">
        <is>
          <t>A 12620-2025</t>
        </is>
      </c>
      <c r="B301" s="1" t="n">
        <v>45733.35498842593</v>
      </c>
      <c r="C301" s="1" t="n">
        <v>45936</v>
      </c>
      <c r="D301" t="inlineStr">
        <is>
          <t>DALARNAS LÄN</t>
        </is>
      </c>
      <c r="E301" t="inlineStr">
        <is>
          <t>LEKSAND</t>
        </is>
      </c>
      <c r="F301" t="inlineStr">
        <is>
          <t>Bergvik skog väst AB</t>
        </is>
      </c>
      <c r="G301" t="n">
        <v>3.9</v>
      </c>
      <c r="H301" t="n">
        <v>0</v>
      </c>
      <c r="I301" t="n">
        <v>0</v>
      </c>
      <c r="J301" t="n">
        <v>0</v>
      </c>
      <c r="K301" t="n">
        <v>0</v>
      </c>
      <c r="L301" t="n">
        <v>0</v>
      </c>
      <c r="M301" t="n">
        <v>0</v>
      </c>
      <c r="N301" t="n">
        <v>0</v>
      </c>
      <c r="O301" t="n">
        <v>0</v>
      </c>
      <c r="P301" t="n">
        <v>0</v>
      </c>
      <c r="Q301" t="n">
        <v>0</v>
      </c>
      <c r="R301" s="2" t="inlineStr"/>
    </row>
    <row r="302" ht="15" customHeight="1">
      <c r="A302" t="inlineStr">
        <is>
          <t>A 12623-2025</t>
        </is>
      </c>
      <c r="B302" s="1" t="n">
        <v>45733.36079861111</v>
      </c>
      <c r="C302" s="1" t="n">
        <v>45936</v>
      </c>
      <c r="D302" t="inlineStr">
        <is>
          <t>DALARNAS LÄN</t>
        </is>
      </c>
      <c r="E302" t="inlineStr">
        <is>
          <t>LEKSAND</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57925-2024</t>
        </is>
      </c>
      <c r="B303" s="1" t="n">
        <v>45630</v>
      </c>
      <c r="C303" s="1" t="n">
        <v>45936</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27445-2024</t>
        </is>
      </c>
      <c r="B304" s="1" t="n">
        <v>45474.42474537037</v>
      </c>
      <c r="C304" s="1" t="n">
        <v>45936</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11004-2023</t>
        </is>
      </c>
      <c r="B305" s="1" t="n">
        <v>44986</v>
      </c>
      <c r="C305" s="1" t="n">
        <v>45936</v>
      </c>
      <c r="D305" t="inlineStr">
        <is>
          <t>DALARNAS LÄN</t>
        </is>
      </c>
      <c r="E305" t="inlineStr">
        <is>
          <t>LEKSAND</t>
        </is>
      </c>
      <c r="G305" t="n">
        <v>1.3</v>
      </c>
      <c r="H305" t="n">
        <v>0</v>
      </c>
      <c r="I305" t="n">
        <v>0</v>
      </c>
      <c r="J305" t="n">
        <v>0</v>
      </c>
      <c r="K305" t="n">
        <v>0</v>
      </c>
      <c r="L305" t="n">
        <v>0</v>
      </c>
      <c r="M305" t="n">
        <v>0</v>
      </c>
      <c r="N305" t="n">
        <v>0</v>
      </c>
      <c r="O305" t="n">
        <v>0</v>
      </c>
      <c r="P305" t="n">
        <v>0</v>
      </c>
      <c r="Q305" t="n">
        <v>0</v>
      </c>
      <c r="R305" s="2" t="inlineStr"/>
    </row>
    <row r="306" ht="15" customHeight="1">
      <c r="A306" t="inlineStr">
        <is>
          <t>A 32688-2024</t>
        </is>
      </c>
      <c r="B306" s="1" t="n">
        <v>45515.83091435185</v>
      </c>
      <c r="C306" s="1" t="n">
        <v>45936</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43419-2024</t>
        </is>
      </c>
      <c r="B307" s="1" t="n">
        <v>45568</v>
      </c>
      <c r="C307" s="1" t="n">
        <v>45936</v>
      </c>
      <c r="D307" t="inlineStr">
        <is>
          <t>DALARNAS LÄN</t>
        </is>
      </c>
      <c r="E307" t="inlineStr">
        <is>
          <t>LEKSAND</t>
        </is>
      </c>
      <c r="G307" t="n">
        <v>0.4</v>
      </c>
      <c r="H307" t="n">
        <v>0</v>
      </c>
      <c r="I307" t="n">
        <v>0</v>
      </c>
      <c r="J307" t="n">
        <v>0</v>
      </c>
      <c r="K307" t="n">
        <v>0</v>
      </c>
      <c r="L307" t="n">
        <v>0</v>
      </c>
      <c r="M307" t="n">
        <v>0</v>
      </c>
      <c r="N307" t="n">
        <v>0</v>
      </c>
      <c r="O307" t="n">
        <v>0</v>
      </c>
      <c r="P307" t="n">
        <v>0</v>
      </c>
      <c r="Q307" t="n">
        <v>0</v>
      </c>
      <c r="R307" s="2" t="inlineStr"/>
    </row>
    <row r="308" ht="15" customHeight="1">
      <c r="A308" t="inlineStr">
        <is>
          <t>A 47854-2023</t>
        </is>
      </c>
      <c r="B308" s="1" t="n">
        <v>45198</v>
      </c>
      <c r="C308" s="1" t="n">
        <v>45936</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28633-2023</t>
        </is>
      </c>
      <c r="B309" s="1" t="n">
        <v>45103.61575231481</v>
      </c>
      <c r="C309" s="1" t="n">
        <v>45936</v>
      </c>
      <c r="D309" t="inlineStr">
        <is>
          <t>DALARNAS LÄN</t>
        </is>
      </c>
      <c r="E309" t="inlineStr">
        <is>
          <t>LEKSAND</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47068-2025</t>
        </is>
      </c>
      <c r="B310" s="1" t="n">
        <v>45929.63511574074</v>
      </c>
      <c r="C310" s="1" t="n">
        <v>45936</v>
      </c>
      <c r="D310" t="inlineStr">
        <is>
          <t>DALARNAS LÄN</t>
        </is>
      </c>
      <c r="E310" t="inlineStr">
        <is>
          <t>LEKSAND</t>
        </is>
      </c>
      <c r="G310" t="n">
        <v>3.4</v>
      </c>
      <c r="H310" t="n">
        <v>0</v>
      </c>
      <c r="I310" t="n">
        <v>0</v>
      </c>
      <c r="J310" t="n">
        <v>0</v>
      </c>
      <c r="K310" t="n">
        <v>0</v>
      </c>
      <c r="L310" t="n">
        <v>0</v>
      </c>
      <c r="M310" t="n">
        <v>0</v>
      </c>
      <c r="N310" t="n">
        <v>0</v>
      </c>
      <c r="O310" t="n">
        <v>0</v>
      </c>
      <c r="P310" t="n">
        <v>0</v>
      </c>
      <c r="Q310" t="n">
        <v>0</v>
      </c>
      <c r="R310" s="2" t="inlineStr"/>
    </row>
    <row r="311" ht="15" customHeight="1">
      <c r="A311" t="inlineStr">
        <is>
          <t>A 9459-2023</t>
        </is>
      </c>
      <c r="B311" s="1" t="n">
        <v>44977</v>
      </c>
      <c r="C311" s="1" t="n">
        <v>45936</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30198-2024</t>
        </is>
      </c>
      <c r="B312" s="1" t="n">
        <v>45490.34765046297</v>
      </c>
      <c r="C312" s="1" t="n">
        <v>45936</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59718-2023</t>
        </is>
      </c>
      <c r="B313" s="1" t="n">
        <v>45257</v>
      </c>
      <c r="C313" s="1" t="n">
        <v>45936</v>
      </c>
      <c r="D313" t="inlineStr">
        <is>
          <t>DALARNAS LÄN</t>
        </is>
      </c>
      <c r="E313" t="inlineStr">
        <is>
          <t>LEKSAND</t>
        </is>
      </c>
      <c r="G313" t="n">
        <v>2.2</v>
      </c>
      <c r="H313" t="n">
        <v>0</v>
      </c>
      <c r="I313" t="n">
        <v>0</v>
      </c>
      <c r="J313" t="n">
        <v>0</v>
      </c>
      <c r="K313" t="n">
        <v>0</v>
      </c>
      <c r="L313" t="n">
        <v>0</v>
      </c>
      <c r="M313" t="n">
        <v>0</v>
      </c>
      <c r="N313" t="n">
        <v>0</v>
      </c>
      <c r="O313" t="n">
        <v>0</v>
      </c>
      <c r="P313" t="n">
        <v>0</v>
      </c>
      <c r="Q313" t="n">
        <v>0</v>
      </c>
      <c r="R313" s="2" t="inlineStr"/>
    </row>
    <row r="314" ht="15" customHeight="1">
      <c r="A314" t="inlineStr">
        <is>
          <t>A 7395-2025</t>
        </is>
      </c>
      <c r="B314" s="1" t="n">
        <v>45705.34516203704</v>
      </c>
      <c r="C314" s="1" t="n">
        <v>45936</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16744-2025</t>
        </is>
      </c>
      <c r="B315" s="1" t="n">
        <v>45754</v>
      </c>
      <c r="C315" s="1" t="n">
        <v>45936</v>
      </c>
      <c r="D315" t="inlineStr">
        <is>
          <t>DALARNAS LÄN</t>
        </is>
      </c>
      <c r="E315" t="inlineStr">
        <is>
          <t>LEKSAND</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53799-2023</t>
        </is>
      </c>
      <c r="B316" s="1" t="n">
        <v>45231.35564814815</v>
      </c>
      <c r="C316" s="1" t="n">
        <v>45936</v>
      </c>
      <c r="D316" t="inlineStr">
        <is>
          <t>DALARNAS LÄN</t>
        </is>
      </c>
      <c r="E316" t="inlineStr">
        <is>
          <t>LEKSAND</t>
        </is>
      </c>
      <c r="F316" t="inlineStr">
        <is>
          <t>Bergvik skog väst AB</t>
        </is>
      </c>
      <c r="G316" t="n">
        <v>0.9</v>
      </c>
      <c r="H316" t="n">
        <v>0</v>
      </c>
      <c r="I316" t="n">
        <v>0</v>
      </c>
      <c r="J316" t="n">
        <v>0</v>
      </c>
      <c r="K316" t="n">
        <v>0</v>
      </c>
      <c r="L316" t="n">
        <v>0</v>
      </c>
      <c r="M316" t="n">
        <v>0</v>
      </c>
      <c r="N316" t="n">
        <v>0</v>
      </c>
      <c r="O316" t="n">
        <v>0</v>
      </c>
      <c r="P316" t="n">
        <v>0</v>
      </c>
      <c r="Q316" t="n">
        <v>0</v>
      </c>
      <c r="R316" s="2" t="inlineStr"/>
    </row>
    <row r="317" ht="15" customHeight="1">
      <c r="A317" t="inlineStr">
        <is>
          <t>A 38498-2025</t>
        </is>
      </c>
      <c r="B317" s="1" t="n">
        <v>45884.3706712963</v>
      </c>
      <c r="C317" s="1" t="n">
        <v>45936</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62130-2024</t>
        </is>
      </c>
      <c r="B318" s="1" t="n">
        <v>45656.61827546296</v>
      </c>
      <c r="C318" s="1" t="n">
        <v>45936</v>
      </c>
      <c r="D318" t="inlineStr">
        <is>
          <t>DALARNAS LÄN</t>
        </is>
      </c>
      <c r="E318" t="inlineStr">
        <is>
          <t>LEKSAND</t>
        </is>
      </c>
      <c r="G318" t="n">
        <v>11.4</v>
      </c>
      <c r="H318" t="n">
        <v>0</v>
      </c>
      <c r="I318" t="n">
        <v>0</v>
      </c>
      <c r="J318" t="n">
        <v>0</v>
      </c>
      <c r="K318" t="n">
        <v>0</v>
      </c>
      <c r="L318" t="n">
        <v>0</v>
      </c>
      <c r="M318" t="n">
        <v>0</v>
      </c>
      <c r="N318" t="n">
        <v>0</v>
      </c>
      <c r="O318" t="n">
        <v>0</v>
      </c>
      <c r="P318" t="n">
        <v>0</v>
      </c>
      <c r="Q318" t="n">
        <v>0</v>
      </c>
      <c r="R318" s="2" t="inlineStr"/>
    </row>
    <row r="319" ht="15" customHeight="1">
      <c r="A319" t="inlineStr">
        <is>
          <t>A 11859-2024</t>
        </is>
      </c>
      <c r="B319" s="1" t="n">
        <v>45376.44569444445</v>
      </c>
      <c r="C319" s="1" t="n">
        <v>45936</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63513-2023</t>
        </is>
      </c>
      <c r="B320" s="1" t="n">
        <v>45274</v>
      </c>
      <c r="C320" s="1" t="n">
        <v>45936</v>
      </c>
      <c r="D320" t="inlineStr">
        <is>
          <t>DALARNAS LÄN</t>
        </is>
      </c>
      <c r="E320" t="inlineStr">
        <is>
          <t>LEKSAND</t>
        </is>
      </c>
      <c r="G320" t="n">
        <v>2.3</v>
      </c>
      <c r="H320" t="n">
        <v>0</v>
      </c>
      <c r="I320" t="n">
        <v>0</v>
      </c>
      <c r="J320" t="n">
        <v>0</v>
      </c>
      <c r="K320" t="n">
        <v>0</v>
      </c>
      <c r="L320" t="n">
        <v>0</v>
      </c>
      <c r="M320" t="n">
        <v>0</v>
      </c>
      <c r="N320" t="n">
        <v>0</v>
      </c>
      <c r="O320" t="n">
        <v>0</v>
      </c>
      <c r="P320" t="n">
        <v>0</v>
      </c>
      <c r="Q320" t="n">
        <v>0</v>
      </c>
      <c r="R320" s="2" t="inlineStr"/>
    </row>
    <row r="321" ht="15" customHeight="1">
      <c r="A321" t="inlineStr">
        <is>
          <t>A 51320-2023</t>
        </is>
      </c>
      <c r="B321" s="1" t="n">
        <v>45219.57456018519</v>
      </c>
      <c r="C321" s="1" t="n">
        <v>45936</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28630-2023</t>
        </is>
      </c>
      <c r="B322" s="1" t="n">
        <v>45103.61003472222</v>
      </c>
      <c r="C322" s="1" t="n">
        <v>45936</v>
      </c>
      <c r="D322" t="inlineStr">
        <is>
          <t>DALARNAS LÄN</t>
        </is>
      </c>
      <c r="E322" t="inlineStr">
        <is>
          <t>LEKSAND</t>
        </is>
      </c>
      <c r="F322" t="inlineStr">
        <is>
          <t>Bergvik skog väst AB</t>
        </is>
      </c>
      <c r="G322" t="n">
        <v>0.3</v>
      </c>
      <c r="H322" t="n">
        <v>0</v>
      </c>
      <c r="I322" t="n">
        <v>0</v>
      </c>
      <c r="J322" t="n">
        <v>0</v>
      </c>
      <c r="K322" t="n">
        <v>0</v>
      </c>
      <c r="L322" t="n">
        <v>0</v>
      </c>
      <c r="M322" t="n">
        <v>0</v>
      </c>
      <c r="N322" t="n">
        <v>0</v>
      </c>
      <c r="O322" t="n">
        <v>0</v>
      </c>
      <c r="P322" t="n">
        <v>0</v>
      </c>
      <c r="Q322" t="n">
        <v>0</v>
      </c>
      <c r="R322" s="2" t="inlineStr"/>
    </row>
    <row r="323" ht="15" customHeight="1">
      <c r="A323" t="inlineStr">
        <is>
          <t>A 19590-2023</t>
        </is>
      </c>
      <c r="B323" s="1" t="n">
        <v>45049</v>
      </c>
      <c r="C323" s="1" t="n">
        <v>45936</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30860-2024</t>
        </is>
      </c>
      <c r="B324" s="1" t="n">
        <v>45497.69108796296</v>
      </c>
      <c r="C324" s="1" t="n">
        <v>45936</v>
      </c>
      <c r="D324" t="inlineStr">
        <is>
          <t>DALARNAS LÄN</t>
        </is>
      </c>
      <c r="E324" t="inlineStr">
        <is>
          <t>LEKSAND</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30000-2023</t>
        </is>
      </c>
      <c r="B325" s="1" t="n">
        <v>45109.71128472222</v>
      </c>
      <c r="C325" s="1" t="n">
        <v>45936</v>
      </c>
      <c r="D325" t="inlineStr">
        <is>
          <t>DALARNAS LÄN</t>
        </is>
      </c>
      <c r="E325" t="inlineStr">
        <is>
          <t>LEKSAND</t>
        </is>
      </c>
      <c r="G325" t="n">
        <v>1.1</v>
      </c>
      <c r="H325" t="n">
        <v>0</v>
      </c>
      <c r="I325" t="n">
        <v>0</v>
      </c>
      <c r="J325" t="n">
        <v>0</v>
      </c>
      <c r="K325" t="n">
        <v>0</v>
      </c>
      <c r="L325" t="n">
        <v>0</v>
      </c>
      <c r="M325" t="n">
        <v>0</v>
      </c>
      <c r="N325" t="n">
        <v>0</v>
      </c>
      <c r="O325" t="n">
        <v>0</v>
      </c>
      <c r="P325" t="n">
        <v>0</v>
      </c>
      <c r="Q325" t="n">
        <v>0</v>
      </c>
      <c r="R325" s="2" t="inlineStr"/>
    </row>
    <row r="326" ht="15" customHeight="1">
      <c r="A326" t="inlineStr">
        <is>
          <t>A 30864-2024</t>
        </is>
      </c>
      <c r="B326" s="1" t="n">
        <v>45497.71550925926</v>
      </c>
      <c r="C326" s="1" t="n">
        <v>45936</v>
      </c>
      <c r="D326" t="inlineStr">
        <is>
          <t>DALARNAS LÄN</t>
        </is>
      </c>
      <c r="E326" t="inlineStr">
        <is>
          <t>LEKSAND</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61933-2023</t>
        </is>
      </c>
      <c r="B327" s="1" t="n">
        <v>45266</v>
      </c>
      <c r="C327" s="1" t="n">
        <v>45936</v>
      </c>
      <c r="D327" t="inlineStr">
        <is>
          <t>DALARNAS LÄN</t>
        </is>
      </c>
      <c r="E327" t="inlineStr">
        <is>
          <t>LEKSAND</t>
        </is>
      </c>
      <c r="G327" t="n">
        <v>0.2</v>
      </c>
      <c r="H327" t="n">
        <v>0</v>
      </c>
      <c r="I327" t="n">
        <v>0</v>
      </c>
      <c r="J327" t="n">
        <v>0</v>
      </c>
      <c r="K327" t="n">
        <v>0</v>
      </c>
      <c r="L327" t="n">
        <v>0</v>
      </c>
      <c r="M327" t="n">
        <v>0</v>
      </c>
      <c r="N327" t="n">
        <v>0</v>
      </c>
      <c r="O327" t="n">
        <v>0</v>
      </c>
      <c r="P327" t="n">
        <v>0</v>
      </c>
      <c r="Q327" t="n">
        <v>0</v>
      </c>
      <c r="R327" s="2" t="inlineStr"/>
    </row>
    <row r="328" ht="15" customHeight="1">
      <c r="A328" t="inlineStr">
        <is>
          <t>A 11678-2023</t>
        </is>
      </c>
      <c r="B328" s="1" t="n">
        <v>44994</v>
      </c>
      <c r="C328" s="1" t="n">
        <v>45936</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41015-2024</t>
        </is>
      </c>
      <c r="B329" s="1" t="n">
        <v>45559.32537037037</v>
      </c>
      <c r="C329" s="1" t="n">
        <v>45936</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18107-2025</t>
        </is>
      </c>
      <c r="B330" s="1" t="n">
        <v>45761.55939814815</v>
      </c>
      <c r="C330" s="1" t="n">
        <v>45936</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49395-2024</t>
        </is>
      </c>
      <c r="B331" s="1" t="n">
        <v>45595</v>
      </c>
      <c r="C331" s="1" t="n">
        <v>45936</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8755-2023</t>
        </is>
      </c>
      <c r="B332" s="1" t="n">
        <v>44978</v>
      </c>
      <c r="C332" s="1" t="n">
        <v>45936</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5582-2024</t>
        </is>
      </c>
      <c r="B333" s="1" t="n">
        <v>45334</v>
      </c>
      <c r="C333" s="1" t="n">
        <v>45936</v>
      </c>
      <c r="D333" t="inlineStr">
        <is>
          <t>DALARNAS LÄN</t>
        </is>
      </c>
      <c r="E333" t="inlineStr">
        <is>
          <t>LEKSAND</t>
        </is>
      </c>
      <c r="G333" t="n">
        <v>0.5</v>
      </c>
      <c r="H333" t="n">
        <v>0</v>
      </c>
      <c r="I333" t="n">
        <v>0</v>
      </c>
      <c r="J333" t="n">
        <v>0</v>
      </c>
      <c r="K333" t="n">
        <v>0</v>
      </c>
      <c r="L333" t="n">
        <v>0</v>
      </c>
      <c r="M333" t="n">
        <v>0</v>
      </c>
      <c r="N333" t="n">
        <v>0</v>
      </c>
      <c r="O333" t="n">
        <v>0</v>
      </c>
      <c r="P333" t="n">
        <v>0</v>
      </c>
      <c r="Q333" t="n">
        <v>0</v>
      </c>
      <c r="R333" s="2" t="inlineStr"/>
    </row>
    <row r="334" ht="15" customHeight="1">
      <c r="A334" t="inlineStr">
        <is>
          <t>A 481-2024</t>
        </is>
      </c>
      <c r="B334" s="1" t="n">
        <v>45298</v>
      </c>
      <c r="C334" s="1" t="n">
        <v>45936</v>
      </c>
      <c r="D334" t="inlineStr">
        <is>
          <t>DALARNAS LÄN</t>
        </is>
      </c>
      <c r="E334" t="inlineStr">
        <is>
          <t>LEKSAND</t>
        </is>
      </c>
      <c r="G334" t="n">
        <v>7</v>
      </c>
      <c r="H334" t="n">
        <v>0</v>
      </c>
      <c r="I334" t="n">
        <v>0</v>
      </c>
      <c r="J334" t="n">
        <v>0</v>
      </c>
      <c r="K334" t="n">
        <v>0</v>
      </c>
      <c r="L334" t="n">
        <v>0</v>
      </c>
      <c r="M334" t="n">
        <v>0</v>
      </c>
      <c r="N334" t="n">
        <v>0</v>
      </c>
      <c r="O334" t="n">
        <v>0</v>
      </c>
      <c r="P334" t="n">
        <v>0</v>
      </c>
      <c r="Q334" t="n">
        <v>0</v>
      </c>
      <c r="R334" s="2" t="inlineStr"/>
    </row>
    <row r="335" ht="15" customHeight="1">
      <c r="A335" t="inlineStr">
        <is>
          <t>A 61252-2023</t>
        </is>
      </c>
      <c r="B335" s="1" t="n">
        <v>45261</v>
      </c>
      <c r="C335" s="1" t="n">
        <v>45936</v>
      </c>
      <c r="D335" t="inlineStr">
        <is>
          <t>DALARNAS LÄN</t>
        </is>
      </c>
      <c r="E335" t="inlineStr">
        <is>
          <t>LEKSAND</t>
        </is>
      </c>
      <c r="G335" t="n">
        <v>1.9</v>
      </c>
      <c r="H335" t="n">
        <v>0</v>
      </c>
      <c r="I335" t="n">
        <v>0</v>
      </c>
      <c r="J335" t="n">
        <v>0</v>
      </c>
      <c r="K335" t="n">
        <v>0</v>
      </c>
      <c r="L335" t="n">
        <v>0</v>
      </c>
      <c r="M335" t="n">
        <v>0</v>
      </c>
      <c r="N335" t="n">
        <v>0</v>
      </c>
      <c r="O335" t="n">
        <v>0</v>
      </c>
      <c r="P335" t="n">
        <v>0</v>
      </c>
      <c r="Q335" t="n">
        <v>0</v>
      </c>
      <c r="R335" s="2" t="inlineStr"/>
    </row>
    <row r="336" ht="15" customHeight="1">
      <c r="A336" t="inlineStr">
        <is>
          <t>A 6778-2025</t>
        </is>
      </c>
      <c r="B336" s="1" t="n">
        <v>45700.64615740741</v>
      </c>
      <c r="C336" s="1" t="n">
        <v>45936</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46505-2023</t>
        </is>
      </c>
      <c r="B337" s="1" t="n">
        <v>45197</v>
      </c>
      <c r="C337" s="1" t="n">
        <v>45936</v>
      </c>
      <c r="D337" t="inlineStr">
        <is>
          <t>DALARNAS LÄN</t>
        </is>
      </c>
      <c r="E337" t="inlineStr">
        <is>
          <t>LEKSAND</t>
        </is>
      </c>
      <c r="G337" t="n">
        <v>2.3</v>
      </c>
      <c r="H337" t="n">
        <v>0</v>
      </c>
      <c r="I337" t="n">
        <v>0</v>
      </c>
      <c r="J337" t="n">
        <v>0</v>
      </c>
      <c r="K337" t="n">
        <v>0</v>
      </c>
      <c r="L337" t="n">
        <v>0</v>
      </c>
      <c r="M337" t="n">
        <v>0</v>
      </c>
      <c r="N337" t="n">
        <v>0</v>
      </c>
      <c r="O337" t="n">
        <v>0</v>
      </c>
      <c r="P337" t="n">
        <v>0</v>
      </c>
      <c r="Q337" t="n">
        <v>0</v>
      </c>
      <c r="R337" s="2" t="inlineStr"/>
    </row>
    <row r="338" ht="15" customHeight="1">
      <c r="A338" t="inlineStr">
        <is>
          <t>A 50278-2023</t>
        </is>
      </c>
      <c r="B338" s="1" t="n">
        <v>45216.43444444444</v>
      </c>
      <c r="C338" s="1" t="n">
        <v>45936</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58619-2022</t>
        </is>
      </c>
      <c r="B339" s="1" t="n">
        <v>44902.59579861111</v>
      </c>
      <c r="C339" s="1" t="n">
        <v>45936</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13401-2023</t>
        </is>
      </c>
      <c r="B340" s="1" t="n">
        <v>45005</v>
      </c>
      <c r="C340" s="1" t="n">
        <v>45936</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46978-2025</t>
        </is>
      </c>
      <c r="B341" s="1" t="n">
        <v>45929.51811342593</v>
      </c>
      <c r="C341" s="1" t="n">
        <v>45936</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45512-2023</t>
        </is>
      </c>
      <c r="B342" s="1" t="n">
        <v>45194.49178240741</v>
      </c>
      <c r="C342" s="1" t="n">
        <v>45936</v>
      </c>
      <c r="D342" t="inlineStr">
        <is>
          <t>DALARNAS LÄN</t>
        </is>
      </c>
      <c r="E342" t="inlineStr">
        <is>
          <t>LEKSAND</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23323-2023</t>
        </is>
      </c>
      <c r="B343" s="1" t="n">
        <v>45076</v>
      </c>
      <c r="C343" s="1" t="n">
        <v>45936</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7897-2025</t>
        </is>
      </c>
      <c r="B344" s="1" t="n">
        <v>45707.30969907407</v>
      </c>
      <c r="C344" s="1" t="n">
        <v>45936</v>
      </c>
      <c r="D344" t="inlineStr">
        <is>
          <t>DALARNAS LÄN</t>
        </is>
      </c>
      <c r="E344" t="inlineStr">
        <is>
          <t>LEKSAND</t>
        </is>
      </c>
      <c r="G344" t="n">
        <v>3.1</v>
      </c>
      <c r="H344" t="n">
        <v>0</v>
      </c>
      <c r="I344" t="n">
        <v>0</v>
      </c>
      <c r="J344" t="n">
        <v>0</v>
      </c>
      <c r="K344" t="n">
        <v>0</v>
      </c>
      <c r="L344" t="n">
        <v>0</v>
      </c>
      <c r="M344" t="n">
        <v>0</v>
      </c>
      <c r="N344" t="n">
        <v>0</v>
      </c>
      <c r="O344" t="n">
        <v>0</v>
      </c>
      <c r="P344" t="n">
        <v>0</v>
      </c>
      <c r="Q344" t="n">
        <v>0</v>
      </c>
      <c r="R344" s="2" t="inlineStr"/>
    </row>
    <row r="345" ht="15" customHeight="1">
      <c r="A345" t="inlineStr">
        <is>
          <t>A 776-2021</t>
        </is>
      </c>
      <c r="B345" s="1" t="n">
        <v>44203</v>
      </c>
      <c r="C345" s="1" t="n">
        <v>45936</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38721-2025</t>
        </is>
      </c>
      <c r="B346" s="1" t="n">
        <v>45886.83605324074</v>
      </c>
      <c r="C346" s="1" t="n">
        <v>45936</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17485-2025</t>
        </is>
      </c>
      <c r="B347" s="1" t="n">
        <v>45757.49976851852</v>
      </c>
      <c r="C347" s="1" t="n">
        <v>45936</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18176-2024</t>
        </is>
      </c>
      <c r="B348" s="1" t="n">
        <v>45420.63901620371</v>
      </c>
      <c r="C348" s="1" t="n">
        <v>45936</v>
      </c>
      <c r="D348" t="inlineStr">
        <is>
          <t>DALARNAS LÄN</t>
        </is>
      </c>
      <c r="E348" t="inlineStr">
        <is>
          <t>LEKSAND</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8045-2024</t>
        </is>
      </c>
      <c r="B349" s="1" t="n">
        <v>45351.31371527778</v>
      </c>
      <c r="C349" s="1" t="n">
        <v>45936</v>
      </c>
      <c r="D349" t="inlineStr">
        <is>
          <t>DALARNAS LÄN</t>
        </is>
      </c>
      <c r="E349" t="inlineStr">
        <is>
          <t>LEKSAND</t>
        </is>
      </c>
      <c r="G349" t="n">
        <v>6.7</v>
      </c>
      <c r="H349" t="n">
        <v>0</v>
      </c>
      <c r="I349" t="n">
        <v>0</v>
      </c>
      <c r="J349" t="n">
        <v>0</v>
      </c>
      <c r="K349" t="n">
        <v>0</v>
      </c>
      <c r="L349" t="n">
        <v>0</v>
      </c>
      <c r="M349" t="n">
        <v>0</v>
      </c>
      <c r="N349" t="n">
        <v>0</v>
      </c>
      <c r="O349" t="n">
        <v>0</v>
      </c>
      <c r="P349" t="n">
        <v>0</v>
      </c>
      <c r="Q349" t="n">
        <v>0</v>
      </c>
      <c r="R349" s="2" t="inlineStr"/>
    </row>
    <row r="350" ht="15" customHeight="1">
      <c r="A350" t="inlineStr">
        <is>
          <t>A 33001-2023</t>
        </is>
      </c>
      <c r="B350" s="1" t="n">
        <v>45125</v>
      </c>
      <c r="C350" s="1" t="n">
        <v>45936</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1946-2024</t>
        </is>
      </c>
      <c r="B351" s="1" t="n">
        <v>45308</v>
      </c>
      <c r="C351" s="1" t="n">
        <v>45936</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33072-2021</t>
        </is>
      </c>
      <c r="B352" s="1" t="n">
        <v>44375</v>
      </c>
      <c r="C352" s="1" t="n">
        <v>45936</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412-2024</t>
        </is>
      </c>
      <c r="B353" s="1" t="n">
        <v>45296</v>
      </c>
      <c r="C353" s="1" t="n">
        <v>45936</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60024-2023</t>
        </is>
      </c>
      <c r="B354" s="1" t="n">
        <v>45258</v>
      </c>
      <c r="C354" s="1" t="n">
        <v>45936</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19330-2025</t>
        </is>
      </c>
      <c r="B355" s="1" t="n">
        <v>45769</v>
      </c>
      <c r="C355" s="1" t="n">
        <v>45936</v>
      </c>
      <c r="D355" t="inlineStr">
        <is>
          <t>DALARNAS LÄN</t>
        </is>
      </c>
      <c r="E355" t="inlineStr">
        <is>
          <t>LEKSAND</t>
        </is>
      </c>
      <c r="G355" t="n">
        <v>1.6</v>
      </c>
      <c r="H355" t="n">
        <v>0</v>
      </c>
      <c r="I355" t="n">
        <v>0</v>
      </c>
      <c r="J355" t="n">
        <v>0</v>
      </c>
      <c r="K355" t="n">
        <v>0</v>
      </c>
      <c r="L355" t="n">
        <v>0</v>
      </c>
      <c r="M355" t="n">
        <v>0</v>
      </c>
      <c r="N355" t="n">
        <v>0</v>
      </c>
      <c r="O355" t="n">
        <v>0</v>
      </c>
      <c r="P355" t="n">
        <v>0</v>
      </c>
      <c r="Q355" t="n">
        <v>0</v>
      </c>
      <c r="R355" s="2" t="inlineStr"/>
    </row>
    <row r="356" ht="15" customHeight="1">
      <c r="A356" t="inlineStr">
        <is>
          <t>A 46949-2025</t>
        </is>
      </c>
      <c r="B356" s="1" t="n">
        <v>45929.46811342592</v>
      </c>
      <c r="C356" s="1" t="n">
        <v>45936</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59826-2023</t>
        </is>
      </c>
      <c r="B357" s="1" t="n">
        <v>45254</v>
      </c>
      <c r="C357" s="1" t="n">
        <v>45936</v>
      </c>
      <c r="D357" t="inlineStr">
        <is>
          <t>DALARNAS LÄN</t>
        </is>
      </c>
      <c r="E357" t="inlineStr">
        <is>
          <t>LEKSAND</t>
        </is>
      </c>
      <c r="G357" t="n">
        <v>1.1</v>
      </c>
      <c r="H357" t="n">
        <v>0</v>
      </c>
      <c r="I357" t="n">
        <v>0</v>
      </c>
      <c r="J357" t="n">
        <v>0</v>
      </c>
      <c r="K357" t="n">
        <v>0</v>
      </c>
      <c r="L357" t="n">
        <v>0</v>
      </c>
      <c r="M357" t="n">
        <v>0</v>
      </c>
      <c r="N357" t="n">
        <v>0</v>
      </c>
      <c r="O357" t="n">
        <v>0</v>
      </c>
      <c r="P357" t="n">
        <v>0</v>
      </c>
      <c r="Q357" t="n">
        <v>0</v>
      </c>
      <c r="R357" s="2" t="inlineStr"/>
    </row>
    <row r="358" ht="15" customHeight="1">
      <c r="A358" t="inlineStr">
        <is>
          <t>A 56330-2022</t>
        </is>
      </c>
      <c r="B358" s="1" t="n">
        <v>44890.62630787037</v>
      </c>
      <c r="C358" s="1" t="n">
        <v>45936</v>
      </c>
      <c r="D358" t="inlineStr">
        <is>
          <t>DALARNAS LÄN</t>
        </is>
      </c>
      <c r="E358" t="inlineStr">
        <is>
          <t>LEKSAND</t>
        </is>
      </c>
      <c r="G358" t="n">
        <v>4.9</v>
      </c>
      <c r="H358" t="n">
        <v>0</v>
      </c>
      <c r="I358" t="n">
        <v>0</v>
      </c>
      <c r="J358" t="n">
        <v>0</v>
      </c>
      <c r="K358" t="n">
        <v>0</v>
      </c>
      <c r="L358" t="n">
        <v>0</v>
      </c>
      <c r="M358" t="n">
        <v>0</v>
      </c>
      <c r="N358" t="n">
        <v>0</v>
      </c>
      <c r="O358" t="n">
        <v>0</v>
      </c>
      <c r="P358" t="n">
        <v>0</v>
      </c>
      <c r="Q358" t="n">
        <v>0</v>
      </c>
      <c r="R358" s="2" t="inlineStr"/>
    </row>
    <row r="359" ht="15" customHeight="1">
      <c r="A359" t="inlineStr">
        <is>
          <t>A 28913-2024</t>
        </is>
      </c>
      <c r="B359" s="1" t="n">
        <v>45480.75318287037</v>
      </c>
      <c r="C359" s="1" t="n">
        <v>45936</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14617-2024</t>
        </is>
      </c>
      <c r="B360" s="1" t="n">
        <v>45397</v>
      </c>
      <c r="C360" s="1" t="n">
        <v>45936</v>
      </c>
      <c r="D360" t="inlineStr">
        <is>
          <t>DALARNAS LÄN</t>
        </is>
      </c>
      <c r="E360" t="inlineStr">
        <is>
          <t>LEKSAND</t>
        </is>
      </c>
      <c r="G360" t="n">
        <v>0.2</v>
      </c>
      <c r="H360" t="n">
        <v>0</v>
      </c>
      <c r="I360" t="n">
        <v>0</v>
      </c>
      <c r="J360" t="n">
        <v>0</v>
      </c>
      <c r="K360" t="n">
        <v>0</v>
      </c>
      <c r="L360" t="n">
        <v>0</v>
      </c>
      <c r="M360" t="n">
        <v>0</v>
      </c>
      <c r="N360" t="n">
        <v>0</v>
      </c>
      <c r="O360" t="n">
        <v>0</v>
      </c>
      <c r="P360" t="n">
        <v>0</v>
      </c>
      <c r="Q360" t="n">
        <v>0</v>
      </c>
      <c r="R360" s="2" t="inlineStr"/>
    </row>
    <row r="361" ht="15" customHeight="1">
      <c r="A361" t="inlineStr">
        <is>
          <t>A 32394-2024</t>
        </is>
      </c>
      <c r="B361" s="1" t="n">
        <v>45512.64349537037</v>
      </c>
      <c r="C361" s="1" t="n">
        <v>45936</v>
      </c>
      <c r="D361" t="inlineStr">
        <is>
          <t>DALARNAS LÄN</t>
        </is>
      </c>
      <c r="E361" t="inlineStr">
        <is>
          <t>LEKSAND</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11015-2022</t>
        </is>
      </c>
      <c r="B362" s="1" t="n">
        <v>44628.52340277778</v>
      </c>
      <c r="C362" s="1" t="n">
        <v>45936</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60945-2024</t>
        </is>
      </c>
      <c r="B363" s="1" t="n">
        <v>45645.37893518519</v>
      </c>
      <c r="C363" s="1" t="n">
        <v>45936</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60692-2023</t>
        </is>
      </c>
      <c r="B364" s="1" t="n">
        <v>45260.50008101852</v>
      </c>
      <c r="C364" s="1" t="n">
        <v>45936</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45936</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47640-2024</t>
        </is>
      </c>
      <c r="B366" s="1" t="n">
        <v>45588.36508101852</v>
      </c>
      <c r="C366" s="1" t="n">
        <v>45936</v>
      </c>
      <c r="D366" t="inlineStr">
        <is>
          <t>DALARNAS LÄN</t>
        </is>
      </c>
      <c r="E366" t="inlineStr">
        <is>
          <t>LEKSAND</t>
        </is>
      </c>
      <c r="G366" t="n">
        <v>9.1</v>
      </c>
      <c r="H366" t="n">
        <v>0</v>
      </c>
      <c r="I366" t="n">
        <v>0</v>
      </c>
      <c r="J366" t="n">
        <v>0</v>
      </c>
      <c r="K366" t="n">
        <v>0</v>
      </c>
      <c r="L366" t="n">
        <v>0</v>
      </c>
      <c r="M366" t="n">
        <v>0</v>
      </c>
      <c r="N366" t="n">
        <v>0</v>
      </c>
      <c r="O366" t="n">
        <v>0</v>
      </c>
      <c r="P366" t="n">
        <v>0</v>
      </c>
      <c r="Q366" t="n">
        <v>0</v>
      </c>
      <c r="R366" s="2" t="inlineStr"/>
    </row>
    <row r="367" ht="15" customHeight="1">
      <c r="A367" t="inlineStr">
        <is>
          <t>A 40752-2024</t>
        </is>
      </c>
      <c r="B367" s="1" t="n">
        <v>45558.45638888889</v>
      </c>
      <c r="C367" s="1" t="n">
        <v>45936</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44491-2023</t>
        </is>
      </c>
      <c r="B368" s="1" t="n">
        <v>45183</v>
      </c>
      <c r="C368" s="1" t="n">
        <v>45936</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15882-2023</t>
        </is>
      </c>
      <c r="B369" s="1" t="n">
        <v>45022</v>
      </c>
      <c r="C369" s="1" t="n">
        <v>45936</v>
      </c>
      <c r="D369" t="inlineStr">
        <is>
          <t>DALARNAS LÄN</t>
        </is>
      </c>
      <c r="E369" t="inlineStr">
        <is>
          <t>LEKSAND</t>
        </is>
      </c>
      <c r="G369" t="n">
        <v>0.1</v>
      </c>
      <c r="H369" t="n">
        <v>0</v>
      </c>
      <c r="I369" t="n">
        <v>0</v>
      </c>
      <c r="J369" t="n">
        <v>0</v>
      </c>
      <c r="K369" t="n">
        <v>0</v>
      </c>
      <c r="L369" t="n">
        <v>0</v>
      </c>
      <c r="M369" t="n">
        <v>0</v>
      </c>
      <c r="N369" t="n">
        <v>0</v>
      </c>
      <c r="O369" t="n">
        <v>0</v>
      </c>
      <c r="P369" t="n">
        <v>0</v>
      </c>
      <c r="Q369" t="n">
        <v>0</v>
      </c>
      <c r="R369" s="2" t="inlineStr"/>
    </row>
    <row r="370" ht="15" customHeight="1">
      <c r="A370" t="inlineStr">
        <is>
          <t>A 59673-2023</t>
        </is>
      </c>
      <c r="B370" s="1" t="n">
        <v>45255.44603009259</v>
      </c>
      <c r="C370" s="1" t="n">
        <v>45936</v>
      </c>
      <c r="D370" t="inlineStr">
        <is>
          <t>DALARNAS LÄN</t>
        </is>
      </c>
      <c r="E370" t="inlineStr">
        <is>
          <t>LEKSAND</t>
        </is>
      </c>
      <c r="G370" t="n">
        <v>12.2</v>
      </c>
      <c r="H370" t="n">
        <v>0</v>
      </c>
      <c r="I370" t="n">
        <v>0</v>
      </c>
      <c r="J370" t="n">
        <v>0</v>
      </c>
      <c r="K370" t="n">
        <v>0</v>
      </c>
      <c r="L370" t="n">
        <v>0</v>
      </c>
      <c r="M370" t="n">
        <v>0</v>
      </c>
      <c r="N370" t="n">
        <v>0</v>
      </c>
      <c r="O370" t="n">
        <v>0</v>
      </c>
      <c r="P370" t="n">
        <v>0</v>
      </c>
      <c r="Q370" t="n">
        <v>0</v>
      </c>
      <c r="R370" s="2" t="inlineStr"/>
    </row>
    <row r="371" ht="15" customHeight="1">
      <c r="A371" t="inlineStr">
        <is>
          <t>A 17726-2024</t>
        </is>
      </c>
      <c r="B371" s="1" t="n">
        <v>45418.55609953704</v>
      </c>
      <c r="C371" s="1" t="n">
        <v>45936</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32-2024</t>
        </is>
      </c>
      <c r="B372" s="1" t="n">
        <v>45293</v>
      </c>
      <c r="C372" s="1" t="n">
        <v>45936</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1719-2024</t>
        </is>
      </c>
      <c r="B373" s="1" t="n">
        <v>45307</v>
      </c>
      <c r="C373" s="1" t="n">
        <v>45936</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60920-2020</t>
        </is>
      </c>
      <c r="B374" s="1" t="n">
        <v>44153</v>
      </c>
      <c r="C374" s="1" t="n">
        <v>45936</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61614-2023</t>
        </is>
      </c>
      <c r="B375" s="1" t="n">
        <v>45261</v>
      </c>
      <c r="C375" s="1" t="n">
        <v>45936</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33463-2023</t>
        </is>
      </c>
      <c r="B376" s="1" t="n">
        <v>45131</v>
      </c>
      <c r="C376" s="1" t="n">
        <v>45936</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55516-2024</t>
        </is>
      </c>
      <c r="B377" s="1" t="n">
        <v>45621</v>
      </c>
      <c r="C377" s="1" t="n">
        <v>45936</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5583-2024</t>
        </is>
      </c>
      <c r="B378" s="1" t="n">
        <v>45334</v>
      </c>
      <c r="C378" s="1" t="n">
        <v>45936</v>
      </c>
      <c r="D378" t="inlineStr">
        <is>
          <t>DALARNAS LÄN</t>
        </is>
      </c>
      <c r="E378" t="inlineStr">
        <is>
          <t>LEKSAND</t>
        </is>
      </c>
      <c r="F378" t="inlineStr">
        <is>
          <t>Kyrkan</t>
        </is>
      </c>
      <c r="G378" t="n">
        <v>0.4</v>
      </c>
      <c r="H378" t="n">
        <v>0</v>
      </c>
      <c r="I378" t="n">
        <v>0</v>
      </c>
      <c r="J378" t="n">
        <v>0</v>
      </c>
      <c r="K378" t="n">
        <v>0</v>
      </c>
      <c r="L378" t="n">
        <v>0</v>
      </c>
      <c r="M378" t="n">
        <v>0</v>
      </c>
      <c r="N378" t="n">
        <v>0</v>
      </c>
      <c r="O378" t="n">
        <v>0</v>
      </c>
      <c r="P378" t="n">
        <v>0</v>
      </c>
      <c r="Q378" t="n">
        <v>0</v>
      </c>
      <c r="R378" s="2" t="inlineStr"/>
    </row>
    <row r="379" ht="15" customHeight="1">
      <c r="A379" t="inlineStr">
        <is>
          <t>A 56950-2024</t>
        </is>
      </c>
      <c r="B379" s="1" t="n">
        <v>45625</v>
      </c>
      <c r="C379" s="1" t="n">
        <v>45936</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51857-2022</t>
        </is>
      </c>
      <c r="B380" s="1" t="n">
        <v>44867</v>
      </c>
      <c r="C380" s="1" t="n">
        <v>45936</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12992-2022</t>
        </is>
      </c>
      <c r="B381" s="1" t="n">
        <v>44643</v>
      </c>
      <c r="C381" s="1" t="n">
        <v>45936</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15120-2023</t>
        </is>
      </c>
      <c r="B382" s="1" t="n">
        <v>45016.46484953703</v>
      </c>
      <c r="C382" s="1" t="n">
        <v>45936</v>
      </c>
      <c r="D382" t="inlineStr">
        <is>
          <t>DALARNAS LÄN</t>
        </is>
      </c>
      <c r="E382" t="inlineStr">
        <is>
          <t>LEKSAND</t>
        </is>
      </c>
      <c r="G382" t="n">
        <v>2.7</v>
      </c>
      <c r="H382" t="n">
        <v>0</v>
      </c>
      <c r="I382" t="n">
        <v>0</v>
      </c>
      <c r="J382" t="n">
        <v>0</v>
      </c>
      <c r="K382" t="n">
        <v>0</v>
      </c>
      <c r="L382" t="n">
        <v>0</v>
      </c>
      <c r="M382" t="n">
        <v>0</v>
      </c>
      <c r="N382" t="n">
        <v>0</v>
      </c>
      <c r="O382" t="n">
        <v>0</v>
      </c>
      <c r="P382" t="n">
        <v>0</v>
      </c>
      <c r="Q382" t="n">
        <v>0</v>
      </c>
      <c r="R382" s="2" t="inlineStr"/>
    </row>
    <row r="383" ht="15" customHeight="1">
      <c r="A383" t="inlineStr">
        <is>
          <t>A 43693-2022</t>
        </is>
      </c>
      <c r="B383" s="1" t="n">
        <v>44837.6369212963</v>
      </c>
      <c r="C383" s="1" t="n">
        <v>45936</v>
      </c>
      <c r="D383" t="inlineStr">
        <is>
          <t>DALARNAS LÄN</t>
        </is>
      </c>
      <c r="E383" t="inlineStr">
        <is>
          <t>LEKSAND</t>
        </is>
      </c>
      <c r="G383" t="n">
        <v>2.7</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45936</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5453-2025</t>
        </is>
      </c>
      <c r="B385" s="1" t="n">
        <v>45692.95231481481</v>
      </c>
      <c r="C385" s="1" t="n">
        <v>45936</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1267-2025</t>
        </is>
      </c>
      <c r="B386" s="1" t="n">
        <v>45667</v>
      </c>
      <c r="C386" s="1" t="n">
        <v>45936</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3352-2024</t>
        </is>
      </c>
      <c r="B387" s="1" t="n">
        <v>45317</v>
      </c>
      <c r="C387" s="1" t="n">
        <v>45936</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52755-2024</t>
        </is>
      </c>
      <c r="B388" s="1" t="n">
        <v>45610.50217592593</v>
      </c>
      <c r="C388" s="1" t="n">
        <v>45936</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13165-2023</t>
        </is>
      </c>
      <c r="B389" s="1" t="n">
        <v>45002.57731481481</v>
      </c>
      <c r="C389" s="1" t="n">
        <v>45936</v>
      </c>
      <c r="D389" t="inlineStr">
        <is>
          <t>DALARNAS LÄN</t>
        </is>
      </c>
      <c r="E389" t="inlineStr">
        <is>
          <t>LEKSAND</t>
        </is>
      </c>
      <c r="G389" t="n">
        <v>2.4</v>
      </c>
      <c r="H389" t="n">
        <v>0</v>
      </c>
      <c r="I389" t="n">
        <v>0</v>
      </c>
      <c r="J389" t="n">
        <v>0</v>
      </c>
      <c r="K389" t="n">
        <v>0</v>
      </c>
      <c r="L389" t="n">
        <v>0</v>
      </c>
      <c r="M389" t="n">
        <v>0</v>
      </c>
      <c r="N389" t="n">
        <v>0</v>
      </c>
      <c r="O389" t="n">
        <v>0</v>
      </c>
      <c r="P389" t="n">
        <v>0</v>
      </c>
      <c r="Q389" t="n">
        <v>0</v>
      </c>
      <c r="R389" s="2" t="inlineStr"/>
    </row>
    <row r="390" ht="15" customHeight="1">
      <c r="A390" t="inlineStr">
        <is>
          <t>A 39620-2024</t>
        </is>
      </c>
      <c r="B390" s="1" t="n">
        <v>45552.43163194445</v>
      </c>
      <c r="C390" s="1" t="n">
        <v>45936</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19700-2025</t>
        </is>
      </c>
      <c r="B391" s="1" t="n">
        <v>45771.32445601852</v>
      </c>
      <c r="C391" s="1" t="n">
        <v>45936</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30204-2024</t>
        </is>
      </c>
      <c r="B392" s="1" t="n">
        <v>45490.35402777778</v>
      </c>
      <c r="C392" s="1" t="n">
        <v>45936</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6050-2023</t>
        </is>
      </c>
      <c r="B393" s="1" t="n">
        <v>44959</v>
      </c>
      <c r="C393" s="1" t="n">
        <v>45936</v>
      </c>
      <c r="D393" t="inlineStr">
        <is>
          <t>DALARNAS LÄN</t>
        </is>
      </c>
      <c r="E393" t="inlineStr">
        <is>
          <t>LEKSAND</t>
        </is>
      </c>
      <c r="G393" t="n">
        <v>6.2</v>
      </c>
      <c r="H393" t="n">
        <v>0</v>
      </c>
      <c r="I393" t="n">
        <v>0</v>
      </c>
      <c r="J393" t="n">
        <v>0</v>
      </c>
      <c r="K393" t="n">
        <v>0</v>
      </c>
      <c r="L393" t="n">
        <v>0</v>
      </c>
      <c r="M393" t="n">
        <v>0</v>
      </c>
      <c r="N393" t="n">
        <v>0</v>
      </c>
      <c r="O393" t="n">
        <v>0</v>
      </c>
      <c r="P393" t="n">
        <v>0</v>
      </c>
      <c r="Q393" t="n">
        <v>0</v>
      </c>
      <c r="R393" s="2" t="inlineStr"/>
    </row>
    <row r="394" ht="15" customHeight="1">
      <c r="A394" t="inlineStr">
        <is>
          <t>A 17730-2024</t>
        </is>
      </c>
      <c r="B394" s="1" t="n">
        <v>45418</v>
      </c>
      <c r="C394" s="1" t="n">
        <v>45936</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12582-2025</t>
        </is>
      </c>
      <c r="B395" s="1" t="n">
        <v>45732.62988425926</v>
      </c>
      <c r="C395" s="1" t="n">
        <v>45936</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50447-2023</t>
        </is>
      </c>
      <c r="B396" s="1" t="n">
        <v>45216.72185185185</v>
      </c>
      <c r="C396" s="1" t="n">
        <v>45936</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46876-2023</t>
        </is>
      </c>
      <c r="B397" s="1" t="n">
        <v>45200</v>
      </c>
      <c r="C397" s="1" t="n">
        <v>45936</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20946-2023</t>
        </is>
      </c>
      <c r="B398" s="1" t="n">
        <v>45061</v>
      </c>
      <c r="C398" s="1" t="n">
        <v>45936</v>
      </c>
      <c r="D398" t="inlineStr">
        <is>
          <t>DALARNAS LÄN</t>
        </is>
      </c>
      <c r="E398" t="inlineStr">
        <is>
          <t>LEKSAND</t>
        </is>
      </c>
      <c r="G398" t="n">
        <v>2.7</v>
      </c>
      <c r="H398" t="n">
        <v>0</v>
      </c>
      <c r="I398" t="n">
        <v>0</v>
      </c>
      <c r="J398" t="n">
        <v>0</v>
      </c>
      <c r="K398" t="n">
        <v>0</v>
      </c>
      <c r="L398" t="n">
        <v>0</v>
      </c>
      <c r="M398" t="n">
        <v>0</v>
      </c>
      <c r="N398" t="n">
        <v>0</v>
      </c>
      <c r="O398" t="n">
        <v>0</v>
      </c>
      <c r="P398" t="n">
        <v>0</v>
      </c>
      <c r="Q398" t="n">
        <v>0</v>
      </c>
      <c r="R398" s="2" t="inlineStr"/>
    </row>
    <row r="399" ht="15" customHeight="1">
      <c r="A399" t="inlineStr">
        <is>
          <t>A 16748-2025</t>
        </is>
      </c>
      <c r="B399" s="1" t="n">
        <v>45754</v>
      </c>
      <c r="C399" s="1" t="n">
        <v>45936</v>
      </c>
      <c r="D399" t="inlineStr">
        <is>
          <t>DALARNAS LÄN</t>
        </is>
      </c>
      <c r="E399" t="inlineStr">
        <is>
          <t>LEKSAND</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34039-2024</t>
        </is>
      </c>
      <c r="B400" s="1" t="n">
        <v>45523.5974537037</v>
      </c>
      <c r="C400" s="1" t="n">
        <v>45936</v>
      </c>
      <c r="D400" t="inlineStr">
        <is>
          <t>DALARNAS LÄN</t>
        </is>
      </c>
      <c r="E400" t="inlineStr">
        <is>
          <t>LEKSAND</t>
        </is>
      </c>
      <c r="G400" t="n">
        <v>7.1</v>
      </c>
      <c r="H400" t="n">
        <v>0</v>
      </c>
      <c r="I400" t="n">
        <v>0</v>
      </c>
      <c r="J400" t="n">
        <v>0</v>
      </c>
      <c r="K400" t="n">
        <v>0</v>
      </c>
      <c r="L400" t="n">
        <v>0</v>
      </c>
      <c r="M400" t="n">
        <v>0</v>
      </c>
      <c r="N400" t="n">
        <v>0</v>
      </c>
      <c r="O400" t="n">
        <v>0</v>
      </c>
      <c r="P400" t="n">
        <v>0</v>
      </c>
      <c r="Q400" t="n">
        <v>0</v>
      </c>
      <c r="R400" s="2" t="inlineStr"/>
    </row>
    <row r="401" ht="15" customHeight="1">
      <c r="A401" t="inlineStr">
        <is>
          <t>A 62116-2024</t>
        </is>
      </c>
      <c r="B401" s="1" t="n">
        <v>45646</v>
      </c>
      <c r="C401" s="1" t="n">
        <v>45936</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7759-2025</t>
        </is>
      </c>
      <c r="B402" s="1" t="n">
        <v>45706.53827546296</v>
      </c>
      <c r="C402" s="1" t="n">
        <v>45936</v>
      </c>
      <c r="D402" t="inlineStr">
        <is>
          <t>DALARNAS LÄN</t>
        </is>
      </c>
      <c r="E402" t="inlineStr">
        <is>
          <t>LEKSAND</t>
        </is>
      </c>
      <c r="G402" t="n">
        <v>3.3</v>
      </c>
      <c r="H402" t="n">
        <v>0</v>
      </c>
      <c r="I402" t="n">
        <v>0</v>
      </c>
      <c r="J402" t="n">
        <v>0</v>
      </c>
      <c r="K402" t="n">
        <v>0</v>
      </c>
      <c r="L402" t="n">
        <v>0</v>
      </c>
      <c r="M402" t="n">
        <v>0</v>
      </c>
      <c r="N402" t="n">
        <v>0</v>
      </c>
      <c r="O402" t="n">
        <v>0</v>
      </c>
      <c r="P402" t="n">
        <v>0</v>
      </c>
      <c r="Q402" t="n">
        <v>0</v>
      </c>
      <c r="R402" s="2" t="inlineStr"/>
    </row>
    <row r="403" ht="15" customHeight="1">
      <c r="A403" t="inlineStr">
        <is>
          <t>A 30169-2023</t>
        </is>
      </c>
      <c r="B403" s="1" t="n">
        <v>45110</v>
      </c>
      <c r="C403" s="1" t="n">
        <v>45936</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12356-2023</t>
        </is>
      </c>
      <c r="B404" s="1" t="n">
        <v>44998</v>
      </c>
      <c r="C404" s="1" t="n">
        <v>45936</v>
      </c>
      <c r="D404" t="inlineStr">
        <is>
          <t>DALARNAS LÄN</t>
        </is>
      </c>
      <c r="E404" t="inlineStr">
        <is>
          <t>LEKSAND</t>
        </is>
      </c>
      <c r="G404" t="n">
        <v>1.6</v>
      </c>
      <c r="H404" t="n">
        <v>0</v>
      </c>
      <c r="I404" t="n">
        <v>0</v>
      </c>
      <c r="J404" t="n">
        <v>0</v>
      </c>
      <c r="K404" t="n">
        <v>0</v>
      </c>
      <c r="L404" t="n">
        <v>0</v>
      </c>
      <c r="M404" t="n">
        <v>0</v>
      </c>
      <c r="N404" t="n">
        <v>0</v>
      </c>
      <c r="O404" t="n">
        <v>0</v>
      </c>
      <c r="P404" t="n">
        <v>0</v>
      </c>
      <c r="Q404" t="n">
        <v>0</v>
      </c>
      <c r="R404" s="2" t="inlineStr"/>
    </row>
    <row r="405" ht="15" customHeight="1">
      <c r="A405" t="inlineStr">
        <is>
          <t>A 12363-2023</t>
        </is>
      </c>
      <c r="B405" s="1" t="n">
        <v>44998</v>
      </c>
      <c r="C405" s="1" t="n">
        <v>45936</v>
      </c>
      <c r="D405" t="inlineStr">
        <is>
          <t>DALARNAS LÄN</t>
        </is>
      </c>
      <c r="E405" t="inlineStr">
        <is>
          <t>LEKSAND</t>
        </is>
      </c>
      <c r="G405" t="n">
        <v>10</v>
      </c>
      <c r="H405" t="n">
        <v>0</v>
      </c>
      <c r="I405" t="n">
        <v>0</v>
      </c>
      <c r="J405" t="n">
        <v>0</v>
      </c>
      <c r="K405" t="n">
        <v>0</v>
      </c>
      <c r="L405" t="n">
        <v>0</v>
      </c>
      <c r="M405" t="n">
        <v>0</v>
      </c>
      <c r="N405" t="n">
        <v>0</v>
      </c>
      <c r="O405" t="n">
        <v>0</v>
      </c>
      <c r="P405" t="n">
        <v>0</v>
      </c>
      <c r="Q405" t="n">
        <v>0</v>
      </c>
      <c r="R405" s="2" t="inlineStr"/>
    </row>
    <row r="406" ht="15" customHeight="1">
      <c r="A406" t="inlineStr">
        <is>
          <t>A 13063-2023</t>
        </is>
      </c>
      <c r="B406" s="1" t="n">
        <v>45001</v>
      </c>
      <c r="C406" s="1" t="n">
        <v>45936</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14943-2023</t>
        </is>
      </c>
      <c r="B407" s="1" t="n">
        <v>45015</v>
      </c>
      <c r="C407" s="1" t="n">
        <v>45936</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55512-2024</t>
        </is>
      </c>
      <c r="B408" s="1" t="n">
        <v>45621</v>
      </c>
      <c r="C408" s="1" t="n">
        <v>45936</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55015-2024</t>
        </is>
      </c>
      <c r="B409" s="1" t="n">
        <v>45621.35554398148</v>
      </c>
      <c r="C409" s="1" t="n">
        <v>45936</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28674-2024</t>
        </is>
      </c>
      <c r="B410" s="1" t="n">
        <v>45478.47863425926</v>
      </c>
      <c r="C410" s="1" t="n">
        <v>45936</v>
      </c>
      <c r="D410" t="inlineStr">
        <is>
          <t>DALARNAS LÄN</t>
        </is>
      </c>
      <c r="E410" t="inlineStr">
        <is>
          <t>LEKSAND</t>
        </is>
      </c>
      <c r="G410" t="n">
        <v>4.9</v>
      </c>
      <c r="H410" t="n">
        <v>0</v>
      </c>
      <c r="I410" t="n">
        <v>0</v>
      </c>
      <c r="J410" t="n">
        <v>0</v>
      </c>
      <c r="K410" t="n">
        <v>0</v>
      </c>
      <c r="L410" t="n">
        <v>0</v>
      </c>
      <c r="M410" t="n">
        <v>0</v>
      </c>
      <c r="N410" t="n">
        <v>0</v>
      </c>
      <c r="O410" t="n">
        <v>0</v>
      </c>
      <c r="P410" t="n">
        <v>0</v>
      </c>
      <c r="Q410" t="n">
        <v>0</v>
      </c>
      <c r="R410" s="2" t="inlineStr"/>
    </row>
    <row r="411" ht="15" customHeight="1">
      <c r="A411" t="inlineStr">
        <is>
          <t>A 43470-2024</t>
        </is>
      </c>
      <c r="B411" s="1" t="n">
        <v>45568</v>
      </c>
      <c r="C411" s="1" t="n">
        <v>45936</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54289-2023</t>
        </is>
      </c>
      <c r="B412" s="1" t="n">
        <v>45232.71193287037</v>
      </c>
      <c r="C412" s="1" t="n">
        <v>45936</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16231-2021</t>
        </is>
      </c>
      <c r="B413" s="1" t="n">
        <v>44292</v>
      </c>
      <c r="C413" s="1" t="n">
        <v>45936</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11606-2025</t>
        </is>
      </c>
      <c r="B414" s="1" t="n">
        <v>45727</v>
      </c>
      <c r="C414" s="1" t="n">
        <v>45936</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56749-2024</t>
        </is>
      </c>
      <c r="B415" s="1" t="n">
        <v>45628.37487268518</v>
      </c>
      <c r="C415" s="1" t="n">
        <v>45936</v>
      </c>
      <c r="D415" t="inlineStr">
        <is>
          <t>DALARNAS LÄN</t>
        </is>
      </c>
      <c r="E415" t="inlineStr">
        <is>
          <t>LEKSAND</t>
        </is>
      </c>
      <c r="G415" t="n">
        <v>5</v>
      </c>
      <c r="H415" t="n">
        <v>0</v>
      </c>
      <c r="I415" t="n">
        <v>0</v>
      </c>
      <c r="J415" t="n">
        <v>0</v>
      </c>
      <c r="K415" t="n">
        <v>0</v>
      </c>
      <c r="L415" t="n">
        <v>0</v>
      </c>
      <c r="M415" t="n">
        <v>0</v>
      </c>
      <c r="N415" t="n">
        <v>0</v>
      </c>
      <c r="O415" t="n">
        <v>0</v>
      </c>
      <c r="P415" t="n">
        <v>0</v>
      </c>
      <c r="Q415" t="n">
        <v>0</v>
      </c>
      <c r="R415" s="2" t="inlineStr"/>
    </row>
    <row r="416" ht="15" customHeight="1">
      <c r="A416" t="inlineStr">
        <is>
          <t>A 56283-2024</t>
        </is>
      </c>
      <c r="B416" s="1" t="n">
        <v>45624.67864583333</v>
      </c>
      <c r="C416" s="1" t="n">
        <v>45936</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11869-2024</t>
        </is>
      </c>
      <c r="B417" s="1" t="n">
        <v>45376.45800925926</v>
      </c>
      <c r="C417" s="1" t="n">
        <v>45936</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32666-2023</t>
        </is>
      </c>
      <c r="B418" s="1" t="n">
        <v>45121</v>
      </c>
      <c r="C418" s="1" t="n">
        <v>45936</v>
      </c>
      <c r="D418" t="inlineStr">
        <is>
          <t>DALARNAS LÄN</t>
        </is>
      </c>
      <c r="E418" t="inlineStr">
        <is>
          <t>LEKSAND</t>
        </is>
      </c>
      <c r="G418" t="n">
        <v>9.9</v>
      </c>
      <c r="H418" t="n">
        <v>0</v>
      </c>
      <c r="I418" t="n">
        <v>0</v>
      </c>
      <c r="J418" t="n">
        <v>0</v>
      </c>
      <c r="K418" t="n">
        <v>0</v>
      </c>
      <c r="L418" t="n">
        <v>0</v>
      </c>
      <c r="M418" t="n">
        <v>0</v>
      </c>
      <c r="N418" t="n">
        <v>0</v>
      </c>
      <c r="O418" t="n">
        <v>0</v>
      </c>
      <c r="P418" t="n">
        <v>0</v>
      </c>
      <c r="Q418" t="n">
        <v>0</v>
      </c>
      <c r="R418" s="2" t="inlineStr"/>
    </row>
    <row r="419" ht="15" customHeight="1">
      <c r="A419" t="inlineStr">
        <is>
          <t>A 53122-2023</t>
        </is>
      </c>
      <c r="B419" s="1" t="n">
        <v>45228</v>
      </c>
      <c r="C419" s="1" t="n">
        <v>45936</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5231-2024</t>
        </is>
      </c>
      <c r="B420" s="1" t="n">
        <v>45330</v>
      </c>
      <c r="C420" s="1" t="n">
        <v>45936</v>
      </c>
      <c r="D420" t="inlineStr">
        <is>
          <t>DALARNAS LÄN</t>
        </is>
      </c>
      <c r="E420" t="inlineStr">
        <is>
          <t>LEKSAND</t>
        </is>
      </c>
      <c r="F420" t="inlineStr">
        <is>
          <t>Bergvik skog väst AB</t>
        </is>
      </c>
      <c r="G420" t="n">
        <v>11.2</v>
      </c>
      <c r="H420" t="n">
        <v>0</v>
      </c>
      <c r="I420" t="n">
        <v>0</v>
      </c>
      <c r="J420" t="n">
        <v>0</v>
      </c>
      <c r="K420" t="n">
        <v>0</v>
      </c>
      <c r="L420" t="n">
        <v>0</v>
      </c>
      <c r="M420" t="n">
        <v>0</v>
      </c>
      <c r="N420" t="n">
        <v>0</v>
      </c>
      <c r="O420" t="n">
        <v>0</v>
      </c>
      <c r="P420" t="n">
        <v>0</v>
      </c>
      <c r="Q420" t="n">
        <v>0</v>
      </c>
      <c r="R420" s="2" t="inlineStr"/>
    </row>
    <row r="421" ht="15" customHeight="1">
      <c r="A421" t="inlineStr">
        <is>
          <t>A 22683-2022</t>
        </is>
      </c>
      <c r="B421" s="1" t="n">
        <v>44714</v>
      </c>
      <c r="C421" s="1" t="n">
        <v>45936</v>
      </c>
      <c r="D421" t="inlineStr">
        <is>
          <t>DALARNAS LÄN</t>
        </is>
      </c>
      <c r="E421" t="inlineStr">
        <is>
          <t>LEKSAND</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16137-2023</t>
        </is>
      </c>
      <c r="B422" s="1" t="n">
        <v>45027</v>
      </c>
      <c r="C422" s="1" t="n">
        <v>45936</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13161-2024</t>
        </is>
      </c>
      <c r="B423" s="1" t="n">
        <v>45386.38972222222</v>
      </c>
      <c r="C423" s="1" t="n">
        <v>45936</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19618-2024</t>
        </is>
      </c>
      <c r="B424" s="1" t="n">
        <v>45432.32896990741</v>
      </c>
      <c r="C424" s="1" t="n">
        <v>45936</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61208-2023</t>
        </is>
      </c>
      <c r="B425" s="1" t="n">
        <v>45260</v>
      </c>
      <c r="C425" s="1" t="n">
        <v>45936</v>
      </c>
      <c r="D425" t="inlineStr">
        <is>
          <t>DALARNAS LÄN</t>
        </is>
      </c>
      <c r="E425" t="inlineStr">
        <is>
          <t>LEKSAND</t>
        </is>
      </c>
      <c r="G425" t="n">
        <v>1.7</v>
      </c>
      <c r="H425" t="n">
        <v>0</v>
      </c>
      <c r="I425" t="n">
        <v>0</v>
      </c>
      <c r="J425" t="n">
        <v>0</v>
      </c>
      <c r="K425" t="n">
        <v>0</v>
      </c>
      <c r="L425" t="n">
        <v>0</v>
      </c>
      <c r="M425" t="n">
        <v>0</v>
      </c>
      <c r="N425" t="n">
        <v>0</v>
      </c>
      <c r="O425" t="n">
        <v>0</v>
      </c>
      <c r="P425" t="n">
        <v>0</v>
      </c>
      <c r="Q425" t="n">
        <v>0</v>
      </c>
      <c r="R425" s="2" t="inlineStr"/>
    </row>
    <row r="426" ht="15" customHeight="1">
      <c r="A426" t="inlineStr">
        <is>
          <t>A 26062-2024</t>
        </is>
      </c>
      <c r="B426" s="1" t="n">
        <v>45468.3509375</v>
      </c>
      <c r="C426" s="1" t="n">
        <v>45936</v>
      </c>
      <c r="D426" t="inlineStr">
        <is>
          <t>DALARNAS LÄN</t>
        </is>
      </c>
      <c r="E426" t="inlineStr">
        <is>
          <t>LEKSAND</t>
        </is>
      </c>
      <c r="F426" t="inlineStr">
        <is>
          <t>Övriga statliga verk och myndigheter</t>
        </is>
      </c>
      <c r="G426" t="n">
        <v>6.4</v>
      </c>
      <c r="H426" t="n">
        <v>0</v>
      </c>
      <c r="I426" t="n">
        <v>0</v>
      </c>
      <c r="J426" t="n">
        <v>0</v>
      </c>
      <c r="K426" t="n">
        <v>0</v>
      </c>
      <c r="L426" t="n">
        <v>0</v>
      </c>
      <c r="M426" t="n">
        <v>0</v>
      </c>
      <c r="N426" t="n">
        <v>0</v>
      </c>
      <c r="O426" t="n">
        <v>0</v>
      </c>
      <c r="P426" t="n">
        <v>0</v>
      </c>
      <c r="Q426" t="n">
        <v>0</v>
      </c>
      <c r="R426" s="2" t="inlineStr"/>
    </row>
    <row r="427" ht="15" customHeight="1">
      <c r="A427" t="inlineStr">
        <is>
          <t>A 22517-2024</t>
        </is>
      </c>
      <c r="B427" s="1" t="n">
        <v>45447.40143518519</v>
      </c>
      <c r="C427" s="1" t="n">
        <v>45936</v>
      </c>
      <c r="D427" t="inlineStr">
        <is>
          <t>DALARNAS LÄN</t>
        </is>
      </c>
      <c r="E427" t="inlineStr">
        <is>
          <t>LEKSAND</t>
        </is>
      </c>
      <c r="G427" t="n">
        <v>0.4</v>
      </c>
      <c r="H427" t="n">
        <v>0</v>
      </c>
      <c r="I427" t="n">
        <v>0</v>
      </c>
      <c r="J427" t="n">
        <v>0</v>
      </c>
      <c r="K427" t="n">
        <v>0</v>
      </c>
      <c r="L427" t="n">
        <v>0</v>
      </c>
      <c r="M427" t="n">
        <v>0</v>
      </c>
      <c r="N427" t="n">
        <v>0</v>
      </c>
      <c r="O427" t="n">
        <v>0</v>
      </c>
      <c r="P427" t="n">
        <v>0</v>
      </c>
      <c r="Q427" t="n">
        <v>0</v>
      </c>
      <c r="R427" s="2" t="inlineStr"/>
    </row>
    <row r="428" ht="15" customHeight="1">
      <c r="A428" t="inlineStr">
        <is>
          <t>A 54682-2023</t>
        </is>
      </c>
      <c r="B428" s="1" t="n">
        <v>45235.90439814814</v>
      </c>
      <c r="C428" s="1" t="n">
        <v>45936</v>
      </c>
      <c r="D428" t="inlineStr">
        <is>
          <t>DALARNAS LÄN</t>
        </is>
      </c>
      <c r="E428" t="inlineStr">
        <is>
          <t>LEKSAND</t>
        </is>
      </c>
      <c r="G428" t="n">
        <v>1.5</v>
      </c>
      <c r="H428" t="n">
        <v>0</v>
      </c>
      <c r="I428" t="n">
        <v>0</v>
      </c>
      <c r="J428" t="n">
        <v>0</v>
      </c>
      <c r="K428" t="n">
        <v>0</v>
      </c>
      <c r="L428" t="n">
        <v>0</v>
      </c>
      <c r="M428" t="n">
        <v>0</v>
      </c>
      <c r="N428" t="n">
        <v>0</v>
      </c>
      <c r="O428" t="n">
        <v>0</v>
      </c>
      <c r="P428" t="n">
        <v>0</v>
      </c>
      <c r="Q428" t="n">
        <v>0</v>
      </c>
      <c r="R428" s="2" t="inlineStr"/>
    </row>
    <row r="429" ht="15" customHeight="1">
      <c r="A429" t="inlineStr">
        <is>
          <t>A 61953-2023</t>
        </is>
      </c>
      <c r="B429" s="1" t="n">
        <v>45266</v>
      </c>
      <c r="C429" s="1" t="n">
        <v>45936</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16815-2025</t>
        </is>
      </c>
      <c r="B430" s="1" t="n">
        <v>45754</v>
      </c>
      <c r="C430" s="1" t="n">
        <v>45936</v>
      </c>
      <c r="D430" t="inlineStr">
        <is>
          <t>DALARNAS LÄN</t>
        </is>
      </c>
      <c r="E430" t="inlineStr">
        <is>
          <t>LEKSAND</t>
        </is>
      </c>
      <c r="G430" t="n">
        <v>2.8</v>
      </c>
      <c r="H430" t="n">
        <v>0</v>
      </c>
      <c r="I430" t="n">
        <v>0</v>
      </c>
      <c r="J430" t="n">
        <v>0</v>
      </c>
      <c r="K430" t="n">
        <v>0</v>
      </c>
      <c r="L430" t="n">
        <v>0</v>
      </c>
      <c r="M430" t="n">
        <v>0</v>
      </c>
      <c r="N430" t="n">
        <v>0</v>
      </c>
      <c r="O430" t="n">
        <v>0</v>
      </c>
      <c r="P430" t="n">
        <v>0</v>
      </c>
      <c r="Q430" t="n">
        <v>0</v>
      </c>
      <c r="R430" s="2" t="inlineStr"/>
    </row>
    <row r="431" ht="15" customHeight="1">
      <c r="A431" t="inlineStr">
        <is>
          <t>A 16854-2025</t>
        </is>
      </c>
      <c r="B431" s="1" t="n">
        <v>45754.72883101852</v>
      </c>
      <c r="C431" s="1" t="n">
        <v>45936</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62133-2023</t>
        </is>
      </c>
      <c r="B432" s="1" t="n">
        <v>45267.35582175926</v>
      </c>
      <c r="C432" s="1" t="n">
        <v>45936</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40009-2024</t>
        </is>
      </c>
      <c r="B433" s="1" t="n">
        <v>45553.65361111111</v>
      </c>
      <c r="C433" s="1" t="n">
        <v>45936</v>
      </c>
      <c r="D433" t="inlineStr">
        <is>
          <t>DALARNAS LÄN</t>
        </is>
      </c>
      <c r="E433" t="inlineStr">
        <is>
          <t>LEKSAND</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5847-2025</t>
        </is>
      </c>
      <c r="B434" s="1" t="n">
        <v>45695.30824074074</v>
      </c>
      <c r="C434" s="1" t="n">
        <v>45936</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10967-2023</t>
        </is>
      </c>
      <c r="B435" s="1" t="n">
        <v>44991.58001157407</v>
      </c>
      <c r="C435" s="1" t="n">
        <v>45936</v>
      </c>
      <c r="D435" t="inlineStr">
        <is>
          <t>DALARNAS LÄN</t>
        </is>
      </c>
      <c r="E435" t="inlineStr">
        <is>
          <t>LEKSAND</t>
        </is>
      </c>
      <c r="G435" t="n">
        <v>0.5</v>
      </c>
      <c r="H435" t="n">
        <v>0</v>
      </c>
      <c r="I435" t="n">
        <v>0</v>
      </c>
      <c r="J435" t="n">
        <v>0</v>
      </c>
      <c r="K435" t="n">
        <v>0</v>
      </c>
      <c r="L435" t="n">
        <v>0</v>
      </c>
      <c r="M435" t="n">
        <v>0</v>
      </c>
      <c r="N435" t="n">
        <v>0</v>
      </c>
      <c r="O435" t="n">
        <v>0</v>
      </c>
      <c r="P435" t="n">
        <v>0</v>
      </c>
      <c r="Q435" t="n">
        <v>0</v>
      </c>
      <c r="R435" s="2" t="inlineStr"/>
    </row>
    <row r="436" ht="15" customHeight="1">
      <c r="A436" t="inlineStr">
        <is>
          <t>A 10974-2023</t>
        </is>
      </c>
      <c r="B436" s="1" t="n">
        <v>44991.59049768518</v>
      </c>
      <c r="C436" s="1" t="n">
        <v>45936</v>
      </c>
      <c r="D436" t="inlineStr">
        <is>
          <t>DALARNAS LÄN</t>
        </is>
      </c>
      <c r="E436" t="inlineStr">
        <is>
          <t>LEKSAND</t>
        </is>
      </c>
      <c r="G436" t="n">
        <v>0.3</v>
      </c>
      <c r="H436" t="n">
        <v>0</v>
      </c>
      <c r="I436" t="n">
        <v>0</v>
      </c>
      <c r="J436" t="n">
        <v>0</v>
      </c>
      <c r="K436" t="n">
        <v>0</v>
      </c>
      <c r="L436" t="n">
        <v>0</v>
      </c>
      <c r="M436" t="n">
        <v>0</v>
      </c>
      <c r="N436" t="n">
        <v>0</v>
      </c>
      <c r="O436" t="n">
        <v>0</v>
      </c>
      <c r="P436" t="n">
        <v>0</v>
      </c>
      <c r="Q436" t="n">
        <v>0</v>
      </c>
      <c r="R436" s="2" t="inlineStr"/>
    </row>
    <row r="437" ht="15" customHeight="1">
      <c r="A437" t="inlineStr">
        <is>
          <t>A 11092-2023</t>
        </is>
      </c>
      <c r="B437" s="1" t="n">
        <v>44992</v>
      </c>
      <c r="C437" s="1" t="n">
        <v>45936</v>
      </c>
      <c r="D437" t="inlineStr">
        <is>
          <t>DALARNAS LÄN</t>
        </is>
      </c>
      <c r="E437" t="inlineStr">
        <is>
          <t>LEKSAND</t>
        </is>
      </c>
      <c r="G437" t="n">
        <v>0.5</v>
      </c>
      <c r="H437" t="n">
        <v>0</v>
      </c>
      <c r="I437" t="n">
        <v>0</v>
      </c>
      <c r="J437" t="n">
        <v>0</v>
      </c>
      <c r="K437" t="n">
        <v>0</v>
      </c>
      <c r="L437" t="n">
        <v>0</v>
      </c>
      <c r="M437" t="n">
        <v>0</v>
      </c>
      <c r="N437" t="n">
        <v>0</v>
      </c>
      <c r="O437" t="n">
        <v>0</v>
      </c>
      <c r="P437" t="n">
        <v>0</v>
      </c>
      <c r="Q437" t="n">
        <v>0</v>
      </c>
      <c r="R437" s="2" t="inlineStr"/>
    </row>
    <row r="438" ht="15" customHeight="1">
      <c r="A438" t="inlineStr">
        <is>
          <t>A 28578-2023</t>
        </is>
      </c>
      <c r="B438" s="1" t="n">
        <v>45103</v>
      </c>
      <c r="C438" s="1" t="n">
        <v>45936</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47203-2023</t>
        </is>
      </c>
      <c r="B439" s="1" t="n">
        <v>45202</v>
      </c>
      <c r="C439" s="1" t="n">
        <v>45936</v>
      </c>
      <c r="D439" t="inlineStr">
        <is>
          <t>DALARNAS LÄN</t>
        </is>
      </c>
      <c r="E439" t="inlineStr">
        <is>
          <t>LEKSAND</t>
        </is>
      </c>
      <c r="G439" t="n">
        <v>2.1</v>
      </c>
      <c r="H439" t="n">
        <v>0</v>
      </c>
      <c r="I439" t="n">
        <v>0</v>
      </c>
      <c r="J439" t="n">
        <v>0</v>
      </c>
      <c r="K439" t="n">
        <v>0</v>
      </c>
      <c r="L439" t="n">
        <v>0</v>
      </c>
      <c r="M439" t="n">
        <v>0</v>
      </c>
      <c r="N439" t="n">
        <v>0</v>
      </c>
      <c r="O439" t="n">
        <v>0</v>
      </c>
      <c r="P439" t="n">
        <v>0</v>
      </c>
      <c r="Q439" t="n">
        <v>0</v>
      </c>
      <c r="R439" s="2" t="inlineStr"/>
    </row>
    <row r="440" ht="15" customHeight="1">
      <c r="A440" t="inlineStr">
        <is>
          <t>A 19371-2024</t>
        </is>
      </c>
      <c r="B440" s="1" t="n">
        <v>45429.34969907408</v>
      </c>
      <c r="C440" s="1" t="n">
        <v>45936</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60878-2023</t>
        </is>
      </c>
      <c r="B441" s="1" t="n">
        <v>45259</v>
      </c>
      <c r="C441" s="1" t="n">
        <v>45936</v>
      </c>
      <c r="D441" t="inlineStr">
        <is>
          <t>DALARNAS LÄN</t>
        </is>
      </c>
      <c r="E441" t="inlineStr">
        <is>
          <t>LEKSAND</t>
        </is>
      </c>
      <c r="G441" t="n">
        <v>0.6</v>
      </c>
      <c r="H441" t="n">
        <v>0</v>
      </c>
      <c r="I441" t="n">
        <v>0</v>
      </c>
      <c r="J441" t="n">
        <v>0</v>
      </c>
      <c r="K441" t="n">
        <v>0</v>
      </c>
      <c r="L441" t="n">
        <v>0</v>
      </c>
      <c r="M441" t="n">
        <v>0</v>
      </c>
      <c r="N441" t="n">
        <v>0</v>
      </c>
      <c r="O441" t="n">
        <v>0</v>
      </c>
      <c r="P441" t="n">
        <v>0</v>
      </c>
      <c r="Q441" t="n">
        <v>0</v>
      </c>
      <c r="R441" s="2" t="inlineStr"/>
    </row>
    <row r="442" ht="15" customHeight="1">
      <c r="A442" t="inlineStr">
        <is>
          <t>A 54911-2024</t>
        </is>
      </c>
      <c r="B442" s="1" t="n">
        <v>45618.68929398148</v>
      </c>
      <c r="C442" s="1" t="n">
        <v>45936</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40193-2024</t>
        </is>
      </c>
      <c r="B443" s="1" t="n">
        <v>45554.5734375</v>
      </c>
      <c r="C443" s="1" t="n">
        <v>45936</v>
      </c>
      <c r="D443" t="inlineStr">
        <is>
          <t>DALARNAS LÄN</t>
        </is>
      </c>
      <c r="E443" t="inlineStr">
        <is>
          <t>LEKSAND</t>
        </is>
      </c>
      <c r="F443" t="inlineStr">
        <is>
          <t>Övriga statliga verk och myndigheter</t>
        </is>
      </c>
      <c r="G443" t="n">
        <v>1</v>
      </c>
      <c r="H443" t="n">
        <v>0</v>
      </c>
      <c r="I443" t="n">
        <v>0</v>
      </c>
      <c r="J443" t="n">
        <v>0</v>
      </c>
      <c r="K443" t="n">
        <v>0</v>
      </c>
      <c r="L443" t="n">
        <v>0</v>
      </c>
      <c r="M443" t="n">
        <v>0</v>
      </c>
      <c r="N443" t="n">
        <v>0</v>
      </c>
      <c r="O443" t="n">
        <v>0</v>
      </c>
      <c r="P443" t="n">
        <v>0</v>
      </c>
      <c r="Q443" t="n">
        <v>0</v>
      </c>
      <c r="R443" s="2" t="inlineStr"/>
    </row>
    <row r="444" ht="15" customHeight="1">
      <c r="A444" t="inlineStr">
        <is>
          <t>A 36262-2023</t>
        </is>
      </c>
      <c r="B444" s="1" t="n">
        <v>45151.9096875</v>
      </c>
      <c r="C444" s="1" t="n">
        <v>45936</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42727-2024</t>
        </is>
      </c>
      <c r="B445" s="1" t="n">
        <v>45566</v>
      </c>
      <c r="C445" s="1" t="n">
        <v>45936</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39558-2023</t>
        </is>
      </c>
      <c r="B446" s="1" t="n">
        <v>45167.38664351852</v>
      </c>
      <c r="C446" s="1" t="n">
        <v>45936</v>
      </c>
      <c r="D446" t="inlineStr">
        <is>
          <t>DALARNAS LÄN</t>
        </is>
      </c>
      <c r="E446" t="inlineStr">
        <is>
          <t>LEKSAND</t>
        </is>
      </c>
      <c r="G446" t="n">
        <v>39.9</v>
      </c>
      <c r="H446" t="n">
        <v>0</v>
      </c>
      <c r="I446" t="n">
        <v>0</v>
      </c>
      <c r="J446" t="n">
        <v>0</v>
      </c>
      <c r="K446" t="n">
        <v>0</v>
      </c>
      <c r="L446" t="n">
        <v>0</v>
      </c>
      <c r="M446" t="n">
        <v>0</v>
      </c>
      <c r="N446" t="n">
        <v>0</v>
      </c>
      <c r="O446" t="n">
        <v>0</v>
      </c>
      <c r="P446" t="n">
        <v>0</v>
      </c>
      <c r="Q446" t="n">
        <v>0</v>
      </c>
      <c r="R446" s="2" t="inlineStr"/>
    </row>
    <row r="447" ht="15" customHeight="1">
      <c r="A447" t="inlineStr">
        <is>
          <t>A 19295-2024</t>
        </is>
      </c>
      <c r="B447" s="1" t="n">
        <v>45428.69106481481</v>
      </c>
      <c r="C447" s="1" t="n">
        <v>45936</v>
      </c>
      <c r="D447" t="inlineStr">
        <is>
          <t>DALARNAS LÄN</t>
        </is>
      </c>
      <c r="E447" t="inlineStr">
        <is>
          <t>LEKSAND</t>
        </is>
      </c>
      <c r="G447" t="n">
        <v>1.6</v>
      </c>
      <c r="H447" t="n">
        <v>0</v>
      </c>
      <c r="I447" t="n">
        <v>0</v>
      </c>
      <c r="J447" t="n">
        <v>0</v>
      </c>
      <c r="K447" t="n">
        <v>0</v>
      </c>
      <c r="L447" t="n">
        <v>0</v>
      </c>
      <c r="M447" t="n">
        <v>0</v>
      </c>
      <c r="N447" t="n">
        <v>0</v>
      </c>
      <c r="O447" t="n">
        <v>0</v>
      </c>
      <c r="P447" t="n">
        <v>0</v>
      </c>
      <c r="Q447" t="n">
        <v>0</v>
      </c>
      <c r="R447" s="2" t="inlineStr"/>
    </row>
    <row r="448" ht="15" customHeight="1">
      <c r="A448" t="inlineStr">
        <is>
          <t>A 10367-2023</t>
        </is>
      </c>
      <c r="B448" s="1" t="n">
        <v>44987</v>
      </c>
      <c r="C448" s="1" t="n">
        <v>45936</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16197-2024</t>
        </is>
      </c>
      <c r="B449" s="1" t="n">
        <v>45406.70356481482</v>
      </c>
      <c r="C449" s="1" t="n">
        <v>45936</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9138-2023</t>
        </is>
      </c>
      <c r="B450" s="1" t="n">
        <v>44974</v>
      </c>
      <c r="C450" s="1" t="n">
        <v>45936</v>
      </c>
      <c r="D450" t="inlineStr">
        <is>
          <t>DALARNAS LÄN</t>
        </is>
      </c>
      <c r="E450" t="inlineStr">
        <is>
          <t>LEKSAND</t>
        </is>
      </c>
      <c r="G450" t="n">
        <v>4.6</v>
      </c>
      <c r="H450" t="n">
        <v>0</v>
      </c>
      <c r="I450" t="n">
        <v>0</v>
      </c>
      <c r="J450" t="n">
        <v>0</v>
      </c>
      <c r="K450" t="n">
        <v>0</v>
      </c>
      <c r="L450" t="n">
        <v>0</v>
      </c>
      <c r="M450" t="n">
        <v>0</v>
      </c>
      <c r="N450" t="n">
        <v>0</v>
      </c>
      <c r="O450" t="n">
        <v>0</v>
      </c>
      <c r="P450" t="n">
        <v>0</v>
      </c>
      <c r="Q450" t="n">
        <v>0</v>
      </c>
      <c r="R450" s="2" t="inlineStr"/>
    </row>
    <row r="451" ht="15" customHeight="1">
      <c r="A451" t="inlineStr">
        <is>
          <t>A 9141-2023</t>
        </is>
      </c>
      <c r="B451" s="1" t="n">
        <v>44974</v>
      </c>
      <c r="C451" s="1" t="n">
        <v>45936</v>
      </c>
      <c r="D451" t="inlineStr">
        <is>
          <t>DALARNAS LÄN</t>
        </is>
      </c>
      <c r="E451" t="inlineStr">
        <is>
          <t>LEKSAND</t>
        </is>
      </c>
      <c r="G451" t="n">
        <v>1.9</v>
      </c>
      <c r="H451" t="n">
        <v>0</v>
      </c>
      <c r="I451" t="n">
        <v>0</v>
      </c>
      <c r="J451" t="n">
        <v>0</v>
      </c>
      <c r="K451" t="n">
        <v>0</v>
      </c>
      <c r="L451" t="n">
        <v>0</v>
      </c>
      <c r="M451" t="n">
        <v>0</v>
      </c>
      <c r="N451" t="n">
        <v>0</v>
      </c>
      <c r="O451" t="n">
        <v>0</v>
      </c>
      <c r="P451" t="n">
        <v>0</v>
      </c>
      <c r="Q451" t="n">
        <v>0</v>
      </c>
      <c r="R451" s="2" t="inlineStr"/>
    </row>
    <row r="452" ht="15" customHeight="1">
      <c r="A452" t="inlineStr">
        <is>
          <t>A 2630-2025</t>
        </is>
      </c>
      <c r="B452" s="1" t="n">
        <v>45675.85865740741</v>
      </c>
      <c r="C452" s="1" t="n">
        <v>45936</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15986-2025</t>
        </is>
      </c>
      <c r="B453" s="1" t="n">
        <v>45749.57331018519</v>
      </c>
      <c r="C453" s="1" t="n">
        <v>45936</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11678-2025</t>
        </is>
      </c>
      <c r="B454" s="1" t="n">
        <v>45726</v>
      </c>
      <c r="C454" s="1" t="n">
        <v>45936</v>
      </c>
      <c r="D454" t="inlineStr">
        <is>
          <t>DALARNAS LÄN</t>
        </is>
      </c>
      <c r="E454" t="inlineStr">
        <is>
          <t>LEKSAND</t>
        </is>
      </c>
      <c r="G454" t="n">
        <v>9.4</v>
      </c>
      <c r="H454" t="n">
        <v>0</v>
      </c>
      <c r="I454" t="n">
        <v>0</v>
      </c>
      <c r="J454" t="n">
        <v>0</v>
      </c>
      <c r="K454" t="n">
        <v>0</v>
      </c>
      <c r="L454" t="n">
        <v>0</v>
      </c>
      <c r="M454" t="n">
        <v>0</v>
      </c>
      <c r="N454" t="n">
        <v>0</v>
      </c>
      <c r="O454" t="n">
        <v>0</v>
      </c>
      <c r="P454" t="n">
        <v>0</v>
      </c>
      <c r="Q454" t="n">
        <v>0</v>
      </c>
      <c r="R454" s="2" t="inlineStr"/>
    </row>
    <row r="455" ht="15" customHeight="1">
      <c r="A455" t="inlineStr">
        <is>
          <t>A 20937-2025</t>
        </is>
      </c>
      <c r="B455" s="1" t="n">
        <v>45777.42769675926</v>
      </c>
      <c r="C455" s="1" t="n">
        <v>45936</v>
      </c>
      <c r="D455" t="inlineStr">
        <is>
          <t>DALARNAS LÄN</t>
        </is>
      </c>
      <c r="E455" t="inlineStr">
        <is>
          <t>LEKSAND</t>
        </is>
      </c>
      <c r="G455" t="n">
        <v>2.2</v>
      </c>
      <c r="H455" t="n">
        <v>0</v>
      </c>
      <c r="I455" t="n">
        <v>0</v>
      </c>
      <c r="J455" t="n">
        <v>0</v>
      </c>
      <c r="K455" t="n">
        <v>0</v>
      </c>
      <c r="L455" t="n">
        <v>0</v>
      </c>
      <c r="M455" t="n">
        <v>0</v>
      </c>
      <c r="N455" t="n">
        <v>0</v>
      </c>
      <c r="O455" t="n">
        <v>0</v>
      </c>
      <c r="P455" t="n">
        <v>0</v>
      </c>
      <c r="Q455" t="n">
        <v>0</v>
      </c>
      <c r="R455" s="2" t="inlineStr"/>
    </row>
    <row r="456" ht="15" customHeight="1">
      <c r="A456" t="inlineStr">
        <is>
          <t>A 62161-2024</t>
        </is>
      </c>
      <c r="B456" s="1" t="n">
        <v>45656.86009259259</v>
      </c>
      <c r="C456" s="1" t="n">
        <v>45936</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39569-2025</t>
        </is>
      </c>
      <c r="B457" s="1" t="n">
        <v>45890</v>
      </c>
      <c r="C457" s="1" t="n">
        <v>45936</v>
      </c>
      <c r="D457" t="inlineStr">
        <is>
          <t>DALARNAS LÄN</t>
        </is>
      </c>
      <c r="E457" t="inlineStr">
        <is>
          <t>LEKSAND</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30863-2024</t>
        </is>
      </c>
      <c r="B458" s="1" t="n">
        <v>45497.71074074074</v>
      </c>
      <c r="C458" s="1" t="n">
        <v>45936</v>
      </c>
      <c r="D458" t="inlineStr">
        <is>
          <t>DALARNAS LÄN</t>
        </is>
      </c>
      <c r="E458" t="inlineStr">
        <is>
          <t>LEKSAND</t>
        </is>
      </c>
      <c r="F458" t="inlineStr">
        <is>
          <t>Bergvik skog väst AB</t>
        </is>
      </c>
      <c r="G458" t="n">
        <v>0.6</v>
      </c>
      <c r="H458" t="n">
        <v>0</v>
      </c>
      <c r="I458" t="n">
        <v>0</v>
      </c>
      <c r="J458" t="n">
        <v>0</v>
      </c>
      <c r="K458" t="n">
        <v>0</v>
      </c>
      <c r="L458" t="n">
        <v>0</v>
      </c>
      <c r="M458" t="n">
        <v>0</v>
      </c>
      <c r="N458" t="n">
        <v>0</v>
      </c>
      <c r="O458" t="n">
        <v>0</v>
      </c>
      <c r="P458" t="n">
        <v>0</v>
      </c>
      <c r="Q458" t="n">
        <v>0</v>
      </c>
      <c r="R458" s="2" t="inlineStr"/>
    </row>
    <row r="459" ht="15" customHeight="1">
      <c r="A459" t="inlineStr">
        <is>
          <t>A 20683-2025</t>
        </is>
      </c>
      <c r="B459" s="1" t="n">
        <v>45776</v>
      </c>
      <c r="C459" s="1" t="n">
        <v>45936</v>
      </c>
      <c r="D459" t="inlineStr">
        <is>
          <t>DALARNAS LÄN</t>
        </is>
      </c>
      <c r="E459" t="inlineStr">
        <is>
          <t>LEKSAND</t>
        </is>
      </c>
      <c r="F459" t="inlineStr">
        <is>
          <t>Bergvik skog väst AB</t>
        </is>
      </c>
      <c r="G459" t="n">
        <v>4.1</v>
      </c>
      <c r="H459" t="n">
        <v>0</v>
      </c>
      <c r="I459" t="n">
        <v>0</v>
      </c>
      <c r="J459" t="n">
        <v>0</v>
      </c>
      <c r="K459" t="n">
        <v>0</v>
      </c>
      <c r="L459" t="n">
        <v>0</v>
      </c>
      <c r="M459" t="n">
        <v>0</v>
      </c>
      <c r="N459" t="n">
        <v>0</v>
      </c>
      <c r="O459" t="n">
        <v>0</v>
      </c>
      <c r="P459" t="n">
        <v>0</v>
      </c>
      <c r="Q459" t="n">
        <v>0</v>
      </c>
      <c r="R459" s="2" t="inlineStr"/>
    </row>
    <row r="460" ht="15" customHeight="1">
      <c r="A460" t="inlineStr">
        <is>
          <t>A 24481-2024</t>
        </is>
      </c>
      <c r="B460" s="1" t="n">
        <v>45459.36460648148</v>
      </c>
      <c r="C460" s="1" t="n">
        <v>45936</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1983-2025</t>
        </is>
      </c>
      <c r="B461" s="1" t="n">
        <v>45670</v>
      </c>
      <c r="C461" s="1" t="n">
        <v>45936</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39572-2025</t>
        </is>
      </c>
      <c r="B462" s="1" t="n">
        <v>45890</v>
      </c>
      <c r="C462" s="1" t="n">
        <v>45936</v>
      </c>
      <c r="D462" t="inlineStr">
        <is>
          <t>DALARNAS LÄN</t>
        </is>
      </c>
      <c r="E462" t="inlineStr">
        <is>
          <t>LEKSAND</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58495-2023</t>
        </is>
      </c>
      <c r="B463" s="1" t="n">
        <v>45251</v>
      </c>
      <c r="C463" s="1" t="n">
        <v>45936</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21230-2025</t>
        </is>
      </c>
      <c r="B464" s="1" t="n">
        <v>45779.54589120371</v>
      </c>
      <c r="C464" s="1" t="n">
        <v>45936</v>
      </c>
      <c r="D464" t="inlineStr">
        <is>
          <t>DALARNAS LÄN</t>
        </is>
      </c>
      <c r="E464" t="inlineStr">
        <is>
          <t>LEKSAND</t>
        </is>
      </c>
      <c r="G464" t="n">
        <v>0.5</v>
      </c>
      <c r="H464" t="n">
        <v>0</v>
      </c>
      <c r="I464" t="n">
        <v>0</v>
      </c>
      <c r="J464" t="n">
        <v>0</v>
      </c>
      <c r="K464" t="n">
        <v>0</v>
      </c>
      <c r="L464" t="n">
        <v>0</v>
      </c>
      <c r="M464" t="n">
        <v>0</v>
      </c>
      <c r="N464" t="n">
        <v>0</v>
      </c>
      <c r="O464" t="n">
        <v>0</v>
      </c>
      <c r="P464" t="n">
        <v>0</v>
      </c>
      <c r="Q464" t="n">
        <v>0</v>
      </c>
      <c r="R464" s="2" t="inlineStr"/>
    </row>
    <row r="465" ht="15" customHeight="1">
      <c r="A465" t="inlineStr">
        <is>
          <t>A 21193-2025</t>
        </is>
      </c>
      <c r="B465" s="1" t="n">
        <v>45779.46675925926</v>
      </c>
      <c r="C465" s="1" t="n">
        <v>45936</v>
      </c>
      <c r="D465" t="inlineStr">
        <is>
          <t>DALARNAS LÄN</t>
        </is>
      </c>
      <c r="E465" t="inlineStr">
        <is>
          <t>LEKSAND</t>
        </is>
      </c>
      <c r="G465" t="n">
        <v>3.7</v>
      </c>
      <c r="H465" t="n">
        <v>0</v>
      </c>
      <c r="I465" t="n">
        <v>0</v>
      </c>
      <c r="J465" t="n">
        <v>0</v>
      </c>
      <c r="K465" t="n">
        <v>0</v>
      </c>
      <c r="L465" t="n">
        <v>0</v>
      </c>
      <c r="M465" t="n">
        <v>0</v>
      </c>
      <c r="N465" t="n">
        <v>0</v>
      </c>
      <c r="O465" t="n">
        <v>0</v>
      </c>
      <c r="P465" t="n">
        <v>0</v>
      </c>
      <c r="Q465" t="n">
        <v>0</v>
      </c>
      <c r="R465" s="2" t="inlineStr"/>
    </row>
    <row r="466" ht="15" customHeight="1">
      <c r="A466" t="inlineStr">
        <is>
          <t>A 59840-2024</t>
        </is>
      </c>
      <c r="B466" s="1" t="n">
        <v>45638</v>
      </c>
      <c r="C466" s="1" t="n">
        <v>45936</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33566-2023</t>
        </is>
      </c>
      <c r="B467" s="1" t="n">
        <v>45131.64390046296</v>
      </c>
      <c r="C467" s="1" t="n">
        <v>45936</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40627-2023</t>
        </is>
      </c>
      <c r="B468" s="1" t="n">
        <v>45170</v>
      </c>
      <c r="C468" s="1" t="n">
        <v>45936</v>
      </c>
      <c r="D468" t="inlineStr">
        <is>
          <t>DALARNAS LÄN</t>
        </is>
      </c>
      <c r="E468" t="inlineStr">
        <is>
          <t>LEKSAND</t>
        </is>
      </c>
      <c r="F468" t="inlineStr">
        <is>
          <t>Bergvik skog väst AB</t>
        </is>
      </c>
      <c r="G468" t="n">
        <v>3.3</v>
      </c>
      <c r="H468" t="n">
        <v>0</v>
      </c>
      <c r="I468" t="n">
        <v>0</v>
      </c>
      <c r="J468" t="n">
        <v>0</v>
      </c>
      <c r="K468" t="n">
        <v>0</v>
      </c>
      <c r="L468" t="n">
        <v>0</v>
      </c>
      <c r="M468" t="n">
        <v>0</v>
      </c>
      <c r="N468" t="n">
        <v>0</v>
      </c>
      <c r="O468" t="n">
        <v>0</v>
      </c>
      <c r="P468" t="n">
        <v>0</v>
      </c>
      <c r="Q468" t="n">
        <v>0</v>
      </c>
      <c r="R468" s="2" t="inlineStr"/>
    </row>
    <row r="469" ht="15" customHeight="1">
      <c r="A469" t="inlineStr">
        <is>
          <t>A 21600-2025</t>
        </is>
      </c>
      <c r="B469" s="1" t="n">
        <v>45783.3521875</v>
      </c>
      <c r="C469" s="1" t="n">
        <v>45936</v>
      </c>
      <c r="D469" t="inlineStr">
        <is>
          <t>DALARNAS LÄN</t>
        </is>
      </c>
      <c r="E469" t="inlineStr">
        <is>
          <t>LEKSAND</t>
        </is>
      </c>
      <c r="G469" t="n">
        <v>7.7</v>
      </c>
      <c r="H469" t="n">
        <v>0</v>
      </c>
      <c r="I469" t="n">
        <v>0</v>
      </c>
      <c r="J469" t="n">
        <v>0</v>
      </c>
      <c r="K469" t="n">
        <v>0</v>
      </c>
      <c r="L469" t="n">
        <v>0</v>
      </c>
      <c r="M469" t="n">
        <v>0</v>
      </c>
      <c r="N469" t="n">
        <v>0</v>
      </c>
      <c r="O469" t="n">
        <v>0</v>
      </c>
      <c r="P469" t="n">
        <v>0</v>
      </c>
      <c r="Q469" t="n">
        <v>0</v>
      </c>
      <c r="R469" s="2" t="inlineStr"/>
    </row>
    <row r="470" ht="15" customHeight="1">
      <c r="A470" t="inlineStr">
        <is>
          <t>A 30611-2023</t>
        </is>
      </c>
      <c r="B470" s="1" t="n">
        <v>45112</v>
      </c>
      <c r="C470" s="1" t="n">
        <v>45936</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39660-2025</t>
        </is>
      </c>
      <c r="B471" s="1" t="n">
        <v>45890.63006944444</v>
      </c>
      <c r="C471" s="1" t="n">
        <v>45936</v>
      </c>
      <c r="D471" t="inlineStr">
        <is>
          <t>DALARNAS LÄN</t>
        </is>
      </c>
      <c r="E471" t="inlineStr">
        <is>
          <t>LEKSAND</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39693-2025</t>
        </is>
      </c>
      <c r="B472" s="1" t="n">
        <v>45890.68304398148</v>
      </c>
      <c r="C472" s="1" t="n">
        <v>45936</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11872-2024</t>
        </is>
      </c>
      <c r="B473" s="1" t="n">
        <v>45376.46833333333</v>
      </c>
      <c r="C473" s="1" t="n">
        <v>45936</v>
      </c>
      <c r="D473" t="inlineStr">
        <is>
          <t>DALARNAS LÄN</t>
        </is>
      </c>
      <c r="E473" t="inlineStr">
        <is>
          <t>LEKSAND</t>
        </is>
      </c>
      <c r="G473" t="n">
        <v>3.1</v>
      </c>
      <c r="H473" t="n">
        <v>0</v>
      </c>
      <c r="I473" t="n">
        <v>0</v>
      </c>
      <c r="J473" t="n">
        <v>0</v>
      </c>
      <c r="K473" t="n">
        <v>0</v>
      </c>
      <c r="L473" t="n">
        <v>0</v>
      </c>
      <c r="M473" t="n">
        <v>0</v>
      </c>
      <c r="N473" t="n">
        <v>0</v>
      </c>
      <c r="O473" t="n">
        <v>0</v>
      </c>
      <c r="P473" t="n">
        <v>0</v>
      </c>
      <c r="Q473" t="n">
        <v>0</v>
      </c>
      <c r="R473" s="2" t="inlineStr"/>
    </row>
    <row r="474" ht="15" customHeight="1">
      <c r="A474" t="inlineStr">
        <is>
          <t>A 1519-2024</t>
        </is>
      </c>
      <c r="B474" s="1" t="n">
        <v>45306</v>
      </c>
      <c r="C474" s="1" t="n">
        <v>45936</v>
      </c>
      <c r="D474" t="inlineStr">
        <is>
          <t>DALARNAS LÄN</t>
        </is>
      </c>
      <c r="E474" t="inlineStr">
        <is>
          <t>LEKSAND</t>
        </is>
      </c>
      <c r="G474" t="n">
        <v>3.3</v>
      </c>
      <c r="H474" t="n">
        <v>0</v>
      </c>
      <c r="I474" t="n">
        <v>0</v>
      </c>
      <c r="J474" t="n">
        <v>0</v>
      </c>
      <c r="K474" t="n">
        <v>0</v>
      </c>
      <c r="L474" t="n">
        <v>0</v>
      </c>
      <c r="M474" t="n">
        <v>0</v>
      </c>
      <c r="N474" t="n">
        <v>0</v>
      </c>
      <c r="O474" t="n">
        <v>0</v>
      </c>
      <c r="P474" t="n">
        <v>0</v>
      </c>
      <c r="Q474" t="n">
        <v>0</v>
      </c>
      <c r="R474" s="2" t="inlineStr"/>
    </row>
    <row r="475" ht="15" customHeight="1">
      <c r="A475" t="inlineStr">
        <is>
          <t>A 21457-2025</t>
        </is>
      </c>
      <c r="B475" s="1" t="n">
        <v>45782.55451388889</v>
      </c>
      <c r="C475" s="1" t="n">
        <v>45936</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61554-2024</t>
        </is>
      </c>
      <c r="B476" s="1" t="n">
        <v>45646.60748842593</v>
      </c>
      <c r="C476" s="1" t="n">
        <v>45936</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12621-2025</t>
        </is>
      </c>
      <c r="B477" s="1" t="n">
        <v>45733.3575</v>
      </c>
      <c r="C477" s="1" t="n">
        <v>45936</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2694-2025</t>
        </is>
      </c>
      <c r="B478" s="1" t="n">
        <v>45677.38246527778</v>
      </c>
      <c r="C478" s="1" t="n">
        <v>45936</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28892-2022</t>
        </is>
      </c>
      <c r="B479" s="1" t="n">
        <v>44749</v>
      </c>
      <c r="C479" s="1" t="n">
        <v>45936</v>
      </c>
      <c r="D479" t="inlineStr">
        <is>
          <t>DALARNAS LÄN</t>
        </is>
      </c>
      <c r="E479" t="inlineStr">
        <is>
          <t>LEKSAND</t>
        </is>
      </c>
      <c r="F479" t="inlineStr">
        <is>
          <t>Bergvik skog väst AB</t>
        </is>
      </c>
      <c r="G479" t="n">
        <v>9.1</v>
      </c>
      <c r="H479" t="n">
        <v>0</v>
      </c>
      <c r="I479" t="n">
        <v>0</v>
      </c>
      <c r="J479" t="n">
        <v>0</v>
      </c>
      <c r="K479" t="n">
        <v>0</v>
      </c>
      <c r="L479" t="n">
        <v>0</v>
      </c>
      <c r="M479" t="n">
        <v>0</v>
      </c>
      <c r="N479" t="n">
        <v>0</v>
      </c>
      <c r="O479" t="n">
        <v>0</v>
      </c>
      <c r="P479" t="n">
        <v>0</v>
      </c>
      <c r="Q479" t="n">
        <v>0</v>
      </c>
      <c r="R479" s="2" t="inlineStr"/>
    </row>
    <row r="480" ht="15" customHeight="1">
      <c r="A480" t="inlineStr">
        <is>
          <t>A 39546-2025</t>
        </is>
      </c>
      <c r="B480" s="1" t="n">
        <v>45890.45706018519</v>
      </c>
      <c r="C480" s="1" t="n">
        <v>45936</v>
      </c>
      <c r="D480" t="inlineStr">
        <is>
          <t>DALARNAS LÄN</t>
        </is>
      </c>
      <c r="E480" t="inlineStr">
        <is>
          <t>LEKSAND</t>
        </is>
      </c>
      <c r="G480" t="n">
        <v>4.6</v>
      </c>
      <c r="H480" t="n">
        <v>0</v>
      </c>
      <c r="I480" t="n">
        <v>0</v>
      </c>
      <c r="J480" t="n">
        <v>0</v>
      </c>
      <c r="K480" t="n">
        <v>0</v>
      </c>
      <c r="L480" t="n">
        <v>0</v>
      </c>
      <c r="M480" t="n">
        <v>0</v>
      </c>
      <c r="N480" t="n">
        <v>0</v>
      </c>
      <c r="O480" t="n">
        <v>0</v>
      </c>
      <c r="P480" t="n">
        <v>0</v>
      </c>
      <c r="Q480" t="n">
        <v>0</v>
      </c>
      <c r="R480" s="2" t="inlineStr"/>
    </row>
    <row r="481" ht="15" customHeight="1">
      <c r="A481" t="inlineStr">
        <is>
          <t>A 22080-2025</t>
        </is>
      </c>
      <c r="B481" s="1" t="n">
        <v>45785</v>
      </c>
      <c r="C481" s="1" t="n">
        <v>45936</v>
      </c>
      <c r="D481" t="inlineStr">
        <is>
          <t>DALARNAS LÄN</t>
        </is>
      </c>
      <c r="E481" t="inlineStr">
        <is>
          <t>LEKSAND</t>
        </is>
      </c>
      <c r="G481" t="n">
        <v>7</v>
      </c>
      <c r="H481" t="n">
        <v>0</v>
      </c>
      <c r="I481" t="n">
        <v>0</v>
      </c>
      <c r="J481" t="n">
        <v>0</v>
      </c>
      <c r="K481" t="n">
        <v>0</v>
      </c>
      <c r="L481" t="n">
        <v>0</v>
      </c>
      <c r="M481" t="n">
        <v>0</v>
      </c>
      <c r="N481" t="n">
        <v>0</v>
      </c>
      <c r="O481" t="n">
        <v>0</v>
      </c>
      <c r="P481" t="n">
        <v>0</v>
      </c>
      <c r="Q481" t="n">
        <v>0</v>
      </c>
      <c r="R481" s="2" t="inlineStr"/>
    </row>
    <row r="482" ht="15" customHeight="1">
      <c r="A482" t="inlineStr">
        <is>
          <t>A 39516-2025</t>
        </is>
      </c>
      <c r="B482" s="1" t="n">
        <v>45890.42633101852</v>
      </c>
      <c r="C482" s="1" t="n">
        <v>45936</v>
      </c>
      <c r="D482" t="inlineStr">
        <is>
          <t>DALARNAS LÄN</t>
        </is>
      </c>
      <c r="E482" t="inlineStr">
        <is>
          <t>LEKSAND</t>
        </is>
      </c>
      <c r="G482" t="n">
        <v>3.6</v>
      </c>
      <c r="H482" t="n">
        <v>0</v>
      </c>
      <c r="I482" t="n">
        <v>0</v>
      </c>
      <c r="J482" t="n">
        <v>0</v>
      </c>
      <c r="K482" t="n">
        <v>0</v>
      </c>
      <c r="L482" t="n">
        <v>0</v>
      </c>
      <c r="M482" t="n">
        <v>0</v>
      </c>
      <c r="N482" t="n">
        <v>0</v>
      </c>
      <c r="O482" t="n">
        <v>0</v>
      </c>
      <c r="P482" t="n">
        <v>0</v>
      </c>
      <c r="Q482" t="n">
        <v>0</v>
      </c>
      <c r="R482" s="2" t="inlineStr"/>
    </row>
    <row r="483" ht="15" customHeight="1">
      <c r="A483" t="inlineStr">
        <is>
          <t>A 21916-2025</t>
        </is>
      </c>
      <c r="B483" s="1" t="n">
        <v>45784.50115740741</v>
      </c>
      <c r="C483" s="1" t="n">
        <v>45936</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47976-2025</t>
        </is>
      </c>
      <c r="B484" s="1" t="n">
        <v>45932.60846064815</v>
      </c>
      <c r="C484" s="1" t="n">
        <v>45936</v>
      </c>
      <c r="D484" t="inlineStr">
        <is>
          <t>DALARNAS LÄN</t>
        </is>
      </c>
      <c r="E484" t="inlineStr">
        <is>
          <t>LEKSAND</t>
        </is>
      </c>
      <c r="F484" t="inlineStr">
        <is>
          <t>Bergvik skog väst AB</t>
        </is>
      </c>
      <c r="G484" t="n">
        <v>0.3</v>
      </c>
      <c r="H484" t="n">
        <v>0</v>
      </c>
      <c r="I484" t="n">
        <v>0</v>
      </c>
      <c r="J484" t="n">
        <v>0</v>
      </c>
      <c r="K484" t="n">
        <v>0</v>
      </c>
      <c r="L484" t="n">
        <v>0</v>
      </c>
      <c r="M484" t="n">
        <v>0</v>
      </c>
      <c r="N484" t="n">
        <v>0</v>
      </c>
      <c r="O484" t="n">
        <v>0</v>
      </c>
      <c r="P484" t="n">
        <v>0</v>
      </c>
      <c r="Q484" t="n">
        <v>0</v>
      </c>
      <c r="R484" s="2" t="inlineStr"/>
    </row>
    <row r="485" ht="15" customHeight="1">
      <c r="A485" t="inlineStr">
        <is>
          <t>A 47977-2025</t>
        </is>
      </c>
      <c r="B485" s="1" t="n">
        <v>45932.60920138889</v>
      </c>
      <c r="C485" s="1" t="n">
        <v>45936</v>
      </c>
      <c r="D485" t="inlineStr">
        <is>
          <t>DALARNAS LÄN</t>
        </is>
      </c>
      <c r="E485" t="inlineStr">
        <is>
          <t>LEKSAND</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33593-2024</t>
        </is>
      </c>
      <c r="B486" s="1" t="n">
        <v>45520.36055555556</v>
      </c>
      <c r="C486" s="1" t="n">
        <v>45936</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10299-2024</t>
        </is>
      </c>
      <c r="B487" s="1" t="n">
        <v>45365.50425925926</v>
      </c>
      <c r="C487" s="1" t="n">
        <v>45936</v>
      </c>
      <c r="D487" t="inlineStr">
        <is>
          <t>DALARNAS LÄN</t>
        </is>
      </c>
      <c r="E487" t="inlineStr">
        <is>
          <t>LEKSAND</t>
        </is>
      </c>
      <c r="G487" t="n">
        <v>3.6</v>
      </c>
      <c r="H487" t="n">
        <v>0</v>
      </c>
      <c r="I487" t="n">
        <v>0</v>
      </c>
      <c r="J487" t="n">
        <v>0</v>
      </c>
      <c r="K487" t="n">
        <v>0</v>
      </c>
      <c r="L487" t="n">
        <v>0</v>
      </c>
      <c r="M487" t="n">
        <v>0</v>
      </c>
      <c r="N487" t="n">
        <v>0</v>
      </c>
      <c r="O487" t="n">
        <v>0</v>
      </c>
      <c r="P487" t="n">
        <v>0</v>
      </c>
      <c r="Q487" t="n">
        <v>0</v>
      </c>
      <c r="R487" s="2" t="inlineStr"/>
    </row>
    <row r="488" ht="15" customHeight="1">
      <c r="A488" t="inlineStr">
        <is>
          <t>A 62307-2023</t>
        </is>
      </c>
      <c r="B488" s="1" t="n">
        <v>45266</v>
      </c>
      <c r="C488" s="1" t="n">
        <v>45936</v>
      </c>
      <c r="D488" t="inlineStr">
        <is>
          <t>DALARNAS LÄN</t>
        </is>
      </c>
      <c r="E488" t="inlineStr">
        <is>
          <t>LEKSAND</t>
        </is>
      </c>
      <c r="G488" t="n">
        <v>3.9</v>
      </c>
      <c r="H488" t="n">
        <v>0</v>
      </c>
      <c r="I488" t="n">
        <v>0</v>
      </c>
      <c r="J488" t="n">
        <v>0</v>
      </c>
      <c r="K488" t="n">
        <v>0</v>
      </c>
      <c r="L488" t="n">
        <v>0</v>
      </c>
      <c r="M488" t="n">
        <v>0</v>
      </c>
      <c r="N488" t="n">
        <v>0</v>
      </c>
      <c r="O488" t="n">
        <v>0</v>
      </c>
      <c r="P488" t="n">
        <v>0</v>
      </c>
      <c r="Q488" t="n">
        <v>0</v>
      </c>
      <c r="R488" s="2" t="inlineStr"/>
    </row>
    <row r="489" ht="15" customHeight="1">
      <c r="A489" t="inlineStr">
        <is>
          <t>A 7778-2025</t>
        </is>
      </c>
      <c r="B489" s="1" t="n">
        <v>45706</v>
      </c>
      <c r="C489" s="1" t="n">
        <v>45936</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14967-2023</t>
        </is>
      </c>
      <c r="B490" s="1" t="n">
        <v>45015</v>
      </c>
      <c r="C490" s="1" t="n">
        <v>45936</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7861-2024</t>
        </is>
      </c>
      <c r="B491" s="1" t="n">
        <v>45350.30831018519</v>
      </c>
      <c r="C491" s="1" t="n">
        <v>45936</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16135-2023</t>
        </is>
      </c>
      <c r="B492" s="1" t="n">
        <v>45027.63717592593</v>
      </c>
      <c r="C492" s="1" t="n">
        <v>45936</v>
      </c>
      <c r="D492" t="inlineStr">
        <is>
          <t>DALARNAS LÄN</t>
        </is>
      </c>
      <c r="E492" t="inlineStr">
        <is>
          <t>LEKSAND</t>
        </is>
      </c>
      <c r="G492" t="n">
        <v>4.9</v>
      </c>
      <c r="H492" t="n">
        <v>0</v>
      </c>
      <c r="I492" t="n">
        <v>0</v>
      </c>
      <c r="J492" t="n">
        <v>0</v>
      </c>
      <c r="K492" t="n">
        <v>0</v>
      </c>
      <c r="L492" t="n">
        <v>0</v>
      </c>
      <c r="M492" t="n">
        <v>0</v>
      </c>
      <c r="N492" t="n">
        <v>0</v>
      </c>
      <c r="O492" t="n">
        <v>0</v>
      </c>
      <c r="P492" t="n">
        <v>0</v>
      </c>
      <c r="Q492" t="n">
        <v>0</v>
      </c>
      <c r="R492" s="2" t="inlineStr"/>
    </row>
    <row r="493" ht="15" customHeight="1">
      <c r="A493" t="inlineStr">
        <is>
          <t>A 36534-2024</t>
        </is>
      </c>
      <c r="B493" s="1" t="n">
        <v>45537.45143518518</v>
      </c>
      <c r="C493" s="1" t="n">
        <v>45936</v>
      </c>
      <c r="D493" t="inlineStr">
        <is>
          <t>DALARNAS LÄN</t>
        </is>
      </c>
      <c r="E493" t="inlineStr">
        <is>
          <t>LEKSAND</t>
        </is>
      </c>
      <c r="G493" t="n">
        <v>4</v>
      </c>
      <c r="H493" t="n">
        <v>0</v>
      </c>
      <c r="I493" t="n">
        <v>0</v>
      </c>
      <c r="J493" t="n">
        <v>0</v>
      </c>
      <c r="K493" t="n">
        <v>0</v>
      </c>
      <c r="L493" t="n">
        <v>0</v>
      </c>
      <c r="M493" t="n">
        <v>0</v>
      </c>
      <c r="N493" t="n">
        <v>0</v>
      </c>
      <c r="O493" t="n">
        <v>0</v>
      </c>
      <c r="P493" t="n">
        <v>0</v>
      </c>
      <c r="Q493" t="n">
        <v>0</v>
      </c>
      <c r="R493" s="2" t="inlineStr"/>
    </row>
    <row r="494" ht="15" customHeight="1">
      <c r="A494" t="inlineStr">
        <is>
          <t>A 22536-2025</t>
        </is>
      </c>
      <c r="B494" s="1" t="n">
        <v>45787.33037037037</v>
      </c>
      <c r="C494" s="1" t="n">
        <v>45936</v>
      </c>
      <c r="D494" t="inlineStr">
        <is>
          <t>DALARNAS LÄN</t>
        </is>
      </c>
      <c r="E494" t="inlineStr">
        <is>
          <t>LEKSAND</t>
        </is>
      </c>
      <c r="G494" t="n">
        <v>1.8</v>
      </c>
      <c r="H494" t="n">
        <v>0</v>
      </c>
      <c r="I494" t="n">
        <v>0</v>
      </c>
      <c r="J494" t="n">
        <v>0</v>
      </c>
      <c r="K494" t="n">
        <v>0</v>
      </c>
      <c r="L494" t="n">
        <v>0</v>
      </c>
      <c r="M494" t="n">
        <v>0</v>
      </c>
      <c r="N494" t="n">
        <v>0</v>
      </c>
      <c r="O494" t="n">
        <v>0</v>
      </c>
      <c r="P494" t="n">
        <v>0</v>
      </c>
      <c r="Q494" t="n">
        <v>0</v>
      </c>
      <c r="R494" s="2" t="inlineStr"/>
    </row>
    <row r="495" ht="15" customHeight="1">
      <c r="A495" t="inlineStr">
        <is>
          <t>A 59859-2023</t>
        </is>
      </c>
      <c r="B495" s="1" t="n">
        <v>45257</v>
      </c>
      <c r="C495" s="1" t="n">
        <v>45936</v>
      </c>
      <c r="D495" t="inlineStr">
        <is>
          <t>DALARNAS LÄN</t>
        </is>
      </c>
      <c r="E495" t="inlineStr">
        <is>
          <t>LEKSAND</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39136-2023</t>
        </is>
      </c>
      <c r="B496" s="1" t="n">
        <v>45165</v>
      </c>
      <c r="C496" s="1" t="n">
        <v>45936</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60042-2023</t>
        </is>
      </c>
      <c r="B497" s="1" t="n">
        <v>45256</v>
      </c>
      <c r="C497" s="1" t="n">
        <v>45936</v>
      </c>
      <c r="D497" t="inlineStr">
        <is>
          <t>DALARNAS LÄN</t>
        </is>
      </c>
      <c r="E497" t="inlineStr">
        <is>
          <t>LEKSAND</t>
        </is>
      </c>
      <c r="G497" t="n">
        <v>2</v>
      </c>
      <c r="H497" t="n">
        <v>0</v>
      </c>
      <c r="I497" t="n">
        <v>0</v>
      </c>
      <c r="J497" t="n">
        <v>0</v>
      </c>
      <c r="K497" t="n">
        <v>0</v>
      </c>
      <c r="L497" t="n">
        <v>0</v>
      </c>
      <c r="M497" t="n">
        <v>0</v>
      </c>
      <c r="N497" t="n">
        <v>0</v>
      </c>
      <c r="O497" t="n">
        <v>0</v>
      </c>
      <c r="P497" t="n">
        <v>0</v>
      </c>
      <c r="Q497" t="n">
        <v>0</v>
      </c>
      <c r="R497" s="2" t="inlineStr"/>
    </row>
    <row r="498" ht="15" customHeight="1">
      <c r="A498" t="inlineStr">
        <is>
          <t>A 53193-2024</t>
        </is>
      </c>
      <c r="B498" s="1" t="n">
        <v>45610</v>
      </c>
      <c r="C498" s="1" t="n">
        <v>45936</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14615-2024</t>
        </is>
      </c>
      <c r="B499" s="1" t="n">
        <v>45397.26047453703</v>
      </c>
      <c r="C499" s="1" t="n">
        <v>45936</v>
      </c>
      <c r="D499" t="inlineStr">
        <is>
          <t>DALARNAS LÄN</t>
        </is>
      </c>
      <c r="E499" t="inlineStr">
        <is>
          <t>LEKSAND</t>
        </is>
      </c>
      <c r="G499" t="n">
        <v>0.4</v>
      </c>
      <c r="H499" t="n">
        <v>0</v>
      </c>
      <c r="I499" t="n">
        <v>0</v>
      </c>
      <c r="J499" t="n">
        <v>0</v>
      </c>
      <c r="K499" t="n">
        <v>0</v>
      </c>
      <c r="L499" t="n">
        <v>0</v>
      </c>
      <c r="M499" t="n">
        <v>0</v>
      </c>
      <c r="N499" t="n">
        <v>0</v>
      </c>
      <c r="O499" t="n">
        <v>0</v>
      </c>
      <c r="P499" t="n">
        <v>0</v>
      </c>
      <c r="Q499" t="n">
        <v>0</v>
      </c>
      <c r="R499" s="2" t="inlineStr"/>
    </row>
    <row r="500" ht="15" customHeight="1">
      <c r="A500" t="inlineStr">
        <is>
          <t>A 34244-2024</t>
        </is>
      </c>
      <c r="B500" s="1" t="n">
        <v>45524.58349537037</v>
      </c>
      <c r="C500" s="1" t="n">
        <v>45936</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23663-2024</t>
        </is>
      </c>
      <c r="B501" s="1" t="n">
        <v>45454.57049768518</v>
      </c>
      <c r="C501" s="1" t="n">
        <v>45936</v>
      </c>
      <c r="D501" t="inlineStr">
        <is>
          <t>DALARNAS LÄN</t>
        </is>
      </c>
      <c r="E501" t="inlineStr">
        <is>
          <t>LEKSAND</t>
        </is>
      </c>
      <c r="G501" t="n">
        <v>2.5</v>
      </c>
      <c r="H501" t="n">
        <v>0</v>
      </c>
      <c r="I501" t="n">
        <v>0</v>
      </c>
      <c r="J501" t="n">
        <v>0</v>
      </c>
      <c r="K501" t="n">
        <v>0</v>
      </c>
      <c r="L501" t="n">
        <v>0</v>
      </c>
      <c r="M501" t="n">
        <v>0</v>
      </c>
      <c r="N501" t="n">
        <v>0</v>
      </c>
      <c r="O501" t="n">
        <v>0</v>
      </c>
      <c r="P501" t="n">
        <v>0</v>
      </c>
      <c r="Q501" t="n">
        <v>0</v>
      </c>
      <c r="R501" s="2" t="inlineStr"/>
    </row>
    <row r="502" ht="15" customHeight="1">
      <c r="A502" t="inlineStr">
        <is>
          <t>A 57468-2023</t>
        </is>
      </c>
      <c r="B502" s="1" t="n">
        <v>45246</v>
      </c>
      <c r="C502" s="1" t="n">
        <v>45936</v>
      </c>
      <c r="D502" t="inlineStr">
        <is>
          <t>DALARNAS LÄN</t>
        </is>
      </c>
      <c r="E502" t="inlineStr">
        <is>
          <t>LEKSAND</t>
        </is>
      </c>
      <c r="G502" t="n">
        <v>4.6</v>
      </c>
      <c r="H502" t="n">
        <v>0</v>
      </c>
      <c r="I502" t="n">
        <v>0</v>
      </c>
      <c r="J502" t="n">
        <v>0</v>
      </c>
      <c r="K502" t="n">
        <v>0</v>
      </c>
      <c r="L502" t="n">
        <v>0</v>
      </c>
      <c r="M502" t="n">
        <v>0</v>
      </c>
      <c r="N502" t="n">
        <v>0</v>
      </c>
      <c r="O502" t="n">
        <v>0</v>
      </c>
      <c r="P502" t="n">
        <v>0</v>
      </c>
      <c r="Q502" t="n">
        <v>0</v>
      </c>
      <c r="R502" s="2" t="inlineStr"/>
    </row>
    <row r="503" ht="15" customHeight="1">
      <c r="A503" t="inlineStr">
        <is>
          <t>A 19622-2024</t>
        </is>
      </c>
      <c r="B503" s="1" t="n">
        <v>45432.33592592592</v>
      </c>
      <c r="C503" s="1" t="n">
        <v>45936</v>
      </c>
      <c r="D503" t="inlineStr">
        <is>
          <t>DALARNAS LÄN</t>
        </is>
      </c>
      <c r="E503" t="inlineStr">
        <is>
          <t>LEKSAND</t>
        </is>
      </c>
      <c r="G503" t="n">
        <v>1.3</v>
      </c>
      <c r="H503" t="n">
        <v>0</v>
      </c>
      <c r="I503" t="n">
        <v>0</v>
      </c>
      <c r="J503" t="n">
        <v>0</v>
      </c>
      <c r="K503" t="n">
        <v>0</v>
      </c>
      <c r="L503" t="n">
        <v>0</v>
      </c>
      <c r="M503" t="n">
        <v>0</v>
      </c>
      <c r="N503" t="n">
        <v>0</v>
      </c>
      <c r="O503" t="n">
        <v>0</v>
      </c>
      <c r="P503" t="n">
        <v>0</v>
      </c>
      <c r="Q503" t="n">
        <v>0</v>
      </c>
      <c r="R503" s="2" t="inlineStr"/>
    </row>
    <row r="504" ht="15" customHeight="1">
      <c r="A504" t="inlineStr">
        <is>
          <t>A 40230-2023</t>
        </is>
      </c>
      <c r="B504" s="1" t="n">
        <v>45169.46887731482</v>
      </c>
      <c r="C504" s="1" t="n">
        <v>45936</v>
      </c>
      <c r="D504" t="inlineStr">
        <is>
          <t>DALARNAS LÄN</t>
        </is>
      </c>
      <c r="E504" t="inlineStr">
        <is>
          <t>LEKSAND</t>
        </is>
      </c>
      <c r="G504" t="n">
        <v>0.5</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45936</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49499-2024</t>
        </is>
      </c>
      <c r="B506" s="1" t="n">
        <v>45596</v>
      </c>
      <c r="C506" s="1" t="n">
        <v>45936</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11712-2025</t>
        </is>
      </c>
      <c r="B507" s="1" t="n">
        <v>45727</v>
      </c>
      <c r="C507" s="1" t="n">
        <v>45936</v>
      </c>
      <c r="D507" t="inlineStr">
        <is>
          <t>DALARNAS LÄN</t>
        </is>
      </c>
      <c r="E507" t="inlineStr">
        <is>
          <t>LEKSAND</t>
        </is>
      </c>
      <c r="G507" t="n">
        <v>6</v>
      </c>
      <c r="H507" t="n">
        <v>0</v>
      </c>
      <c r="I507" t="n">
        <v>0</v>
      </c>
      <c r="J507" t="n">
        <v>0</v>
      </c>
      <c r="K507" t="n">
        <v>0</v>
      </c>
      <c r="L507" t="n">
        <v>0</v>
      </c>
      <c r="M507" t="n">
        <v>0</v>
      </c>
      <c r="N507" t="n">
        <v>0</v>
      </c>
      <c r="O507" t="n">
        <v>0</v>
      </c>
      <c r="P507" t="n">
        <v>0</v>
      </c>
      <c r="Q507" t="n">
        <v>0</v>
      </c>
      <c r="R507" s="2" t="inlineStr"/>
    </row>
    <row r="508" ht="15" customHeight="1">
      <c r="A508" t="inlineStr">
        <is>
          <t>A 6030-2025</t>
        </is>
      </c>
      <c r="B508" s="1" t="n">
        <v>45695</v>
      </c>
      <c r="C508" s="1" t="n">
        <v>45936</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44822-2024</t>
        </is>
      </c>
      <c r="B509" s="1" t="n">
        <v>45574.6646412037</v>
      </c>
      <c r="C509" s="1" t="n">
        <v>45936</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23058-2025</t>
        </is>
      </c>
      <c r="B510" s="1" t="n">
        <v>45790.78076388889</v>
      </c>
      <c r="C510" s="1" t="n">
        <v>45936</v>
      </c>
      <c r="D510" t="inlineStr">
        <is>
          <t>DALARNAS LÄN</t>
        </is>
      </c>
      <c r="E510" t="inlineStr">
        <is>
          <t>LEKSAND</t>
        </is>
      </c>
      <c r="G510" t="n">
        <v>6.7</v>
      </c>
      <c r="H510" t="n">
        <v>0</v>
      </c>
      <c r="I510" t="n">
        <v>0</v>
      </c>
      <c r="J510" t="n">
        <v>0</v>
      </c>
      <c r="K510" t="n">
        <v>0</v>
      </c>
      <c r="L510" t="n">
        <v>0</v>
      </c>
      <c r="M510" t="n">
        <v>0</v>
      </c>
      <c r="N510" t="n">
        <v>0</v>
      </c>
      <c r="O510" t="n">
        <v>0</v>
      </c>
      <c r="P510" t="n">
        <v>0</v>
      </c>
      <c r="Q510" t="n">
        <v>0</v>
      </c>
      <c r="R510" s="2" t="inlineStr"/>
    </row>
    <row r="511" ht="15" customHeight="1">
      <c r="A511" t="inlineStr">
        <is>
          <t>A 23076-2025</t>
        </is>
      </c>
      <c r="B511" s="1" t="n">
        <v>45790.90960648148</v>
      </c>
      <c r="C511" s="1" t="n">
        <v>45936</v>
      </c>
      <c r="D511" t="inlineStr">
        <is>
          <t>DALARNAS LÄN</t>
        </is>
      </c>
      <c r="E511" t="inlineStr">
        <is>
          <t>LEKSAND</t>
        </is>
      </c>
      <c r="G511" t="n">
        <v>0.9</v>
      </c>
      <c r="H511" t="n">
        <v>0</v>
      </c>
      <c r="I511" t="n">
        <v>0</v>
      </c>
      <c r="J511" t="n">
        <v>0</v>
      </c>
      <c r="K511" t="n">
        <v>0</v>
      </c>
      <c r="L511" t="n">
        <v>0</v>
      </c>
      <c r="M511" t="n">
        <v>0</v>
      </c>
      <c r="N511" t="n">
        <v>0</v>
      </c>
      <c r="O511" t="n">
        <v>0</v>
      </c>
      <c r="P511" t="n">
        <v>0</v>
      </c>
      <c r="Q511" t="n">
        <v>0</v>
      </c>
      <c r="R511" s="2" t="inlineStr"/>
    </row>
    <row r="512" ht="15" customHeight="1">
      <c r="A512" t="inlineStr">
        <is>
          <t>A 23855-2025</t>
        </is>
      </c>
      <c r="B512" s="1" t="n">
        <v>45793.65900462963</v>
      </c>
      <c r="C512" s="1" t="n">
        <v>45936</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23891-2025</t>
        </is>
      </c>
      <c r="B513" s="1" t="n">
        <v>45793</v>
      </c>
      <c r="C513" s="1" t="n">
        <v>45936</v>
      </c>
      <c r="D513" t="inlineStr">
        <is>
          <t>DALARNAS LÄN</t>
        </is>
      </c>
      <c r="E513" t="inlineStr">
        <is>
          <t>LEKSAND</t>
        </is>
      </c>
      <c r="F513" t="inlineStr">
        <is>
          <t>Kommuner</t>
        </is>
      </c>
      <c r="G513" t="n">
        <v>1.5</v>
      </c>
      <c r="H513" t="n">
        <v>0</v>
      </c>
      <c r="I513" t="n">
        <v>0</v>
      </c>
      <c r="J513" t="n">
        <v>0</v>
      </c>
      <c r="K513" t="n">
        <v>0</v>
      </c>
      <c r="L513" t="n">
        <v>0</v>
      </c>
      <c r="M513" t="n">
        <v>0</v>
      </c>
      <c r="N513" t="n">
        <v>0</v>
      </c>
      <c r="O513" t="n">
        <v>0</v>
      </c>
      <c r="P513" t="n">
        <v>0</v>
      </c>
      <c r="Q513" t="n">
        <v>0</v>
      </c>
      <c r="R513" s="2" t="inlineStr"/>
    </row>
    <row r="514" ht="15" customHeight="1">
      <c r="A514" t="inlineStr">
        <is>
          <t>A 23517-2025</t>
        </is>
      </c>
      <c r="B514" s="1" t="n">
        <v>45792</v>
      </c>
      <c r="C514" s="1" t="n">
        <v>45936</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42230-2023</t>
        </is>
      </c>
      <c r="B515" s="1" t="n">
        <v>45180</v>
      </c>
      <c r="C515" s="1" t="n">
        <v>45936</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24187-2025</t>
        </is>
      </c>
      <c r="B516" s="1" t="n">
        <v>45796</v>
      </c>
      <c r="C516" s="1" t="n">
        <v>45936</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24188-2025</t>
        </is>
      </c>
      <c r="B517" s="1" t="n">
        <v>45796</v>
      </c>
      <c r="C517" s="1" t="n">
        <v>45936</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7450-2023</t>
        </is>
      </c>
      <c r="B518" s="1" t="n">
        <v>44971</v>
      </c>
      <c r="C518" s="1" t="n">
        <v>45936</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55643-2024</t>
        </is>
      </c>
      <c r="B519" s="1" t="n">
        <v>45621</v>
      </c>
      <c r="C519" s="1" t="n">
        <v>45936</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24373-2025</t>
        </is>
      </c>
      <c r="B520" s="1" t="n">
        <v>45797.61113425926</v>
      </c>
      <c r="C520" s="1" t="n">
        <v>45936</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22281-2024</t>
        </is>
      </c>
      <c r="B521" s="1" t="n">
        <v>45446.54756944445</v>
      </c>
      <c r="C521" s="1" t="n">
        <v>45936</v>
      </c>
      <c r="D521" t="inlineStr">
        <is>
          <t>DALARNAS LÄN</t>
        </is>
      </c>
      <c r="E521" t="inlineStr">
        <is>
          <t>LEKSAND</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22646-2025</t>
        </is>
      </c>
      <c r="B522" s="1" t="n">
        <v>45786</v>
      </c>
      <c r="C522" s="1" t="n">
        <v>45936</v>
      </c>
      <c r="D522" t="inlineStr">
        <is>
          <t>DALARNAS LÄN</t>
        </is>
      </c>
      <c r="E522" t="inlineStr">
        <is>
          <t>LEKSAND</t>
        </is>
      </c>
      <c r="F522" t="inlineStr">
        <is>
          <t>Kommuner</t>
        </is>
      </c>
      <c r="G522" t="n">
        <v>1.6</v>
      </c>
      <c r="H522" t="n">
        <v>0</v>
      </c>
      <c r="I522" t="n">
        <v>0</v>
      </c>
      <c r="J522" t="n">
        <v>0</v>
      </c>
      <c r="K522" t="n">
        <v>0</v>
      </c>
      <c r="L522" t="n">
        <v>0</v>
      </c>
      <c r="M522" t="n">
        <v>0</v>
      </c>
      <c r="N522" t="n">
        <v>0</v>
      </c>
      <c r="O522" t="n">
        <v>0</v>
      </c>
      <c r="P522" t="n">
        <v>0</v>
      </c>
      <c r="Q522" t="n">
        <v>0</v>
      </c>
      <c r="R522" s="2" t="inlineStr"/>
    </row>
    <row r="523" ht="15" customHeight="1">
      <c r="A523" t="inlineStr">
        <is>
          <t>A 24317-2025</t>
        </is>
      </c>
      <c r="B523" s="1" t="n">
        <v>45797.53577546297</v>
      </c>
      <c r="C523" s="1" t="n">
        <v>45936</v>
      </c>
      <c r="D523" t="inlineStr">
        <is>
          <t>DALARNAS LÄN</t>
        </is>
      </c>
      <c r="E523" t="inlineStr">
        <is>
          <t>LEKSAND</t>
        </is>
      </c>
      <c r="G523" t="n">
        <v>3.4</v>
      </c>
      <c r="H523" t="n">
        <v>0</v>
      </c>
      <c r="I523" t="n">
        <v>0</v>
      </c>
      <c r="J523" t="n">
        <v>0</v>
      </c>
      <c r="K523" t="n">
        <v>0</v>
      </c>
      <c r="L523" t="n">
        <v>0</v>
      </c>
      <c r="M523" t="n">
        <v>0</v>
      </c>
      <c r="N523" t="n">
        <v>0</v>
      </c>
      <c r="O523" t="n">
        <v>0</v>
      </c>
      <c r="P523" t="n">
        <v>0</v>
      </c>
      <c r="Q523" t="n">
        <v>0</v>
      </c>
      <c r="R523" s="2" t="inlineStr"/>
    </row>
    <row r="524" ht="15" customHeight="1">
      <c r="A524" t="inlineStr">
        <is>
          <t>A 24919-2024</t>
        </is>
      </c>
      <c r="B524" s="1" t="n">
        <v>45461.60636574074</v>
      </c>
      <c r="C524" s="1" t="n">
        <v>45936</v>
      </c>
      <c r="D524" t="inlineStr">
        <is>
          <t>DALARNAS LÄN</t>
        </is>
      </c>
      <c r="E524" t="inlineStr">
        <is>
          <t>LEKSAND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56211-2023</t>
        </is>
      </c>
      <c r="B525" s="1" t="n">
        <v>45240</v>
      </c>
      <c r="C525" s="1" t="n">
        <v>45936</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24369-2025</t>
        </is>
      </c>
      <c r="B526" s="1" t="n">
        <v>45797.60731481481</v>
      </c>
      <c r="C526" s="1" t="n">
        <v>45936</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24715-2025</t>
        </is>
      </c>
      <c r="B527" s="1" t="n">
        <v>45798.97899305556</v>
      </c>
      <c r="C527" s="1" t="n">
        <v>45936</v>
      </c>
      <c r="D527" t="inlineStr">
        <is>
          <t>DALARNAS LÄN</t>
        </is>
      </c>
      <c r="E527" t="inlineStr">
        <is>
          <t>LEKSAND</t>
        </is>
      </c>
      <c r="G527" t="n">
        <v>8.4</v>
      </c>
      <c r="H527" t="n">
        <v>0</v>
      </c>
      <c r="I527" t="n">
        <v>0</v>
      </c>
      <c r="J527" t="n">
        <v>0</v>
      </c>
      <c r="K527" t="n">
        <v>0</v>
      </c>
      <c r="L527" t="n">
        <v>0</v>
      </c>
      <c r="M527" t="n">
        <v>0</v>
      </c>
      <c r="N527" t="n">
        <v>0</v>
      </c>
      <c r="O527" t="n">
        <v>0</v>
      </c>
      <c r="P527" t="n">
        <v>0</v>
      </c>
      <c r="Q527" t="n">
        <v>0</v>
      </c>
      <c r="R527" s="2" t="inlineStr"/>
    </row>
    <row r="528" ht="15" customHeight="1">
      <c r="A528" t="inlineStr">
        <is>
          <t>A 17282-2025</t>
        </is>
      </c>
      <c r="B528" s="1" t="n">
        <v>45756.57114583333</v>
      </c>
      <c r="C528" s="1" t="n">
        <v>45936</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56016-2024</t>
        </is>
      </c>
      <c r="B529" s="1" t="n">
        <v>45623.87737268519</v>
      </c>
      <c r="C529" s="1" t="n">
        <v>45936</v>
      </c>
      <c r="D529" t="inlineStr">
        <is>
          <t>DALARNAS LÄN</t>
        </is>
      </c>
      <c r="E529" t="inlineStr">
        <is>
          <t>LEKSAND</t>
        </is>
      </c>
      <c r="G529" t="n">
        <v>6.1</v>
      </c>
      <c r="H529" t="n">
        <v>0</v>
      </c>
      <c r="I529" t="n">
        <v>0</v>
      </c>
      <c r="J529" t="n">
        <v>0</v>
      </c>
      <c r="K529" t="n">
        <v>0</v>
      </c>
      <c r="L529" t="n">
        <v>0</v>
      </c>
      <c r="M529" t="n">
        <v>0</v>
      </c>
      <c r="N529" t="n">
        <v>0</v>
      </c>
      <c r="O529" t="n">
        <v>0</v>
      </c>
      <c r="P529" t="n">
        <v>0</v>
      </c>
      <c r="Q529" t="n">
        <v>0</v>
      </c>
      <c r="R529" s="2" t="inlineStr"/>
    </row>
    <row r="530" ht="15" customHeight="1">
      <c r="A530" t="inlineStr">
        <is>
          <t>A 9857-2025</t>
        </is>
      </c>
      <c r="B530" s="1" t="n">
        <v>45716.62609953704</v>
      </c>
      <c r="C530" s="1" t="n">
        <v>45936</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5873-2025</t>
        </is>
      </c>
      <c r="B531" s="1" t="n">
        <v>45695.36715277778</v>
      </c>
      <c r="C531" s="1" t="n">
        <v>45936</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30994-2023</t>
        </is>
      </c>
      <c r="B532" s="1" t="n">
        <v>45113</v>
      </c>
      <c r="C532" s="1" t="n">
        <v>45936</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40868-2024</t>
        </is>
      </c>
      <c r="B533" s="1" t="n">
        <v>45558</v>
      </c>
      <c r="C533" s="1" t="n">
        <v>45936</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33306-2023</t>
        </is>
      </c>
      <c r="B534" s="1" t="n">
        <v>45127</v>
      </c>
      <c r="C534" s="1" t="n">
        <v>45936</v>
      </c>
      <c r="D534" t="inlineStr">
        <is>
          <t>DALARNAS LÄN</t>
        </is>
      </c>
      <c r="E534" t="inlineStr">
        <is>
          <t>LEKSAND</t>
        </is>
      </c>
      <c r="G534" t="n">
        <v>2.2</v>
      </c>
      <c r="H534" t="n">
        <v>0</v>
      </c>
      <c r="I534" t="n">
        <v>0</v>
      </c>
      <c r="J534" t="n">
        <v>0</v>
      </c>
      <c r="K534" t="n">
        <v>0</v>
      </c>
      <c r="L534" t="n">
        <v>0</v>
      </c>
      <c r="M534" t="n">
        <v>0</v>
      </c>
      <c r="N534" t="n">
        <v>0</v>
      </c>
      <c r="O534" t="n">
        <v>0</v>
      </c>
      <c r="P534" t="n">
        <v>0</v>
      </c>
      <c r="Q534" t="n">
        <v>0</v>
      </c>
      <c r="R534" s="2" t="inlineStr"/>
    </row>
    <row r="535" ht="15" customHeight="1">
      <c r="A535" t="inlineStr">
        <is>
          <t>A 33316-2023</t>
        </is>
      </c>
      <c r="B535" s="1" t="n">
        <v>45127</v>
      </c>
      <c r="C535" s="1" t="n">
        <v>45936</v>
      </c>
      <c r="D535" t="inlineStr">
        <is>
          <t>DALARNAS LÄN</t>
        </is>
      </c>
      <c r="E535" t="inlineStr">
        <is>
          <t>LEKSAND</t>
        </is>
      </c>
      <c r="G535" t="n">
        <v>8.9</v>
      </c>
      <c r="H535" t="n">
        <v>0</v>
      </c>
      <c r="I535" t="n">
        <v>0</v>
      </c>
      <c r="J535" t="n">
        <v>0</v>
      </c>
      <c r="K535" t="n">
        <v>0</v>
      </c>
      <c r="L535" t="n">
        <v>0</v>
      </c>
      <c r="M535" t="n">
        <v>0</v>
      </c>
      <c r="N535" t="n">
        <v>0</v>
      </c>
      <c r="O535" t="n">
        <v>0</v>
      </c>
      <c r="P535" t="n">
        <v>0</v>
      </c>
      <c r="Q535" t="n">
        <v>0</v>
      </c>
      <c r="R535" s="2" t="inlineStr"/>
    </row>
    <row r="536" ht="15" customHeight="1">
      <c r="A536" t="inlineStr">
        <is>
          <t>A 37832-2023</t>
        </is>
      </c>
      <c r="B536" s="1" t="n">
        <v>45160.3479050926</v>
      </c>
      <c r="C536" s="1" t="n">
        <v>45936</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9143-2023</t>
        </is>
      </c>
      <c r="B537" s="1" t="n">
        <v>44974</v>
      </c>
      <c r="C537" s="1" t="n">
        <v>45936</v>
      </c>
      <c r="D537" t="inlineStr">
        <is>
          <t>DALARNAS LÄN</t>
        </is>
      </c>
      <c r="E537" t="inlineStr">
        <is>
          <t>LEKSAND</t>
        </is>
      </c>
      <c r="G537" t="n">
        <v>4.3</v>
      </c>
      <c r="H537" t="n">
        <v>0</v>
      </c>
      <c r="I537" t="n">
        <v>0</v>
      </c>
      <c r="J537" t="n">
        <v>0</v>
      </c>
      <c r="K537" t="n">
        <v>0</v>
      </c>
      <c r="L537" t="n">
        <v>0</v>
      </c>
      <c r="M537" t="n">
        <v>0</v>
      </c>
      <c r="N537" t="n">
        <v>0</v>
      </c>
      <c r="O537" t="n">
        <v>0</v>
      </c>
      <c r="P537" t="n">
        <v>0</v>
      </c>
      <c r="Q537" t="n">
        <v>0</v>
      </c>
      <c r="R537" s="2" t="inlineStr"/>
    </row>
    <row r="538" ht="15" customHeight="1">
      <c r="A538" t="inlineStr">
        <is>
          <t>A 33310-2023</t>
        </is>
      </c>
      <c r="B538" s="1" t="n">
        <v>45127.82231481482</v>
      </c>
      <c r="C538" s="1" t="n">
        <v>45936</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54844-2021</t>
        </is>
      </c>
      <c r="B539" s="1" t="n">
        <v>44474.30614583333</v>
      </c>
      <c r="C539" s="1" t="n">
        <v>45936</v>
      </c>
      <c r="D539" t="inlineStr">
        <is>
          <t>DALARNAS LÄN</t>
        </is>
      </c>
      <c r="E539" t="inlineStr">
        <is>
          <t>LEKSAND</t>
        </is>
      </c>
      <c r="G539" t="n">
        <v>1.9</v>
      </c>
      <c r="H539" t="n">
        <v>0</v>
      </c>
      <c r="I539" t="n">
        <v>0</v>
      </c>
      <c r="J539" t="n">
        <v>0</v>
      </c>
      <c r="K539" t="n">
        <v>0</v>
      </c>
      <c r="L539" t="n">
        <v>0</v>
      </c>
      <c r="M539" t="n">
        <v>0</v>
      </c>
      <c r="N539" t="n">
        <v>0</v>
      </c>
      <c r="O539" t="n">
        <v>0</v>
      </c>
      <c r="P539" t="n">
        <v>0</v>
      </c>
      <c r="Q539" t="n">
        <v>0</v>
      </c>
      <c r="R539" s="2" t="inlineStr"/>
    </row>
    <row r="540" ht="15" customHeight="1">
      <c r="A540" t="inlineStr">
        <is>
          <t>A 471-2025</t>
        </is>
      </c>
      <c r="B540" s="1" t="n">
        <v>45664.43394675926</v>
      </c>
      <c r="C540" s="1" t="n">
        <v>45936</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24714-2025</t>
        </is>
      </c>
      <c r="B541" s="1" t="n">
        <v>45798.96927083333</v>
      </c>
      <c r="C541" s="1" t="n">
        <v>45936</v>
      </c>
      <c r="D541" t="inlineStr">
        <is>
          <t>DALARNAS LÄN</t>
        </is>
      </c>
      <c r="E541" t="inlineStr">
        <is>
          <t>LEKSAND</t>
        </is>
      </c>
      <c r="F541" t="inlineStr">
        <is>
          <t>Bergvik skog väst AB</t>
        </is>
      </c>
      <c r="G541" t="n">
        <v>6.2</v>
      </c>
      <c r="H541" t="n">
        <v>0</v>
      </c>
      <c r="I541" t="n">
        <v>0</v>
      </c>
      <c r="J541" t="n">
        <v>0</v>
      </c>
      <c r="K541" t="n">
        <v>0</v>
      </c>
      <c r="L541" t="n">
        <v>0</v>
      </c>
      <c r="M541" t="n">
        <v>0</v>
      </c>
      <c r="N541" t="n">
        <v>0</v>
      </c>
      <c r="O541" t="n">
        <v>0</v>
      </c>
      <c r="P541" t="n">
        <v>0</v>
      </c>
      <c r="Q541" t="n">
        <v>0</v>
      </c>
      <c r="R541" s="2" t="inlineStr"/>
    </row>
    <row r="542" ht="15" customHeight="1">
      <c r="A542" t="inlineStr">
        <is>
          <t>A 52293-2024</t>
        </is>
      </c>
      <c r="B542" s="1" t="n">
        <v>45608.71297453704</v>
      </c>
      <c r="C542" s="1" t="n">
        <v>45936</v>
      </c>
      <c r="D542" t="inlineStr">
        <is>
          <t>DALARNAS LÄN</t>
        </is>
      </c>
      <c r="E542" t="inlineStr">
        <is>
          <t>LEKSAND</t>
        </is>
      </c>
      <c r="G542" t="n">
        <v>1.6</v>
      </c>
      <c r="H542" t="n">
        <v>0</v>
      </c>
      <c r="I542" t="n">
        <v>0</v>
      </c>
      <c r="J542" t="n">
        <v>0</v>
      </c>
      <c r="K542" t="n">
        <v>0</v>
      </c>
      <c r="L542" t="n">
        <v>0</v>
      </c>
      <c r="M542" t="n">
        <v>0</v>
      </c>
      <c r="N542" t="n">
        <v>0</v>
      </c>
      <c r="O542" t="n">
        <v>0</v>
      </c>
      <c r="P542" t="n">
        <v>0</v>
      </c>
      <c r="Q542" t="n">
        <v>0</v>
      </c>
      <c r="R542" s="2" t="inlineStr"/>
    </row>
    <row r="543" ht="15" customHeight="1">
      <c r="A543" t="inlineStr">
        <is>
          <t>A 1182-2025</t>
        </is>
      </c>
      <c r="B543" s="1" t="n">
        <v>45667.35712962963</v>
      </c>
      <c r="C543" s="1" t="n">
        <v>45936</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25610-2025</t>
        </is>
      </c>
      <c r="B544" s="1" t="n">
        <v>45803.56033564815</v>
      </c>
      <c r="C544" s="1" t="n">
        <v>45936</v>
      </c>
      <c r="D544" t="inlineStr">
        <is>
          <t>DALARNAS LÄN</t>
        </is>
      </c>
      <c r="E544" t="inlineStr">
        <is>
          <t>LEKSAND</t>
        </is>
      </c>
      <c r="G544" t="n">
        <v>5.2</v>
      </c>
      <c r="H544" t="n">
        <v>0</v>
      </c>
      <c r="I544" t="n">
        <v>0</v>
      </c>
      <c r="J544" t="n">
        <v>0</v>
      </c>
      <c r="K544" t="n">
        <v>0</v>
      </c>
      <c r="L544" t="n">
        <v>0</v>
      </c>
      <c r="M544" t="n">
        <v>0</v>
      </c>
      <c r="N544" t="n">
        <v>0</v>
      </c>
      <c r="O544" t="n">
        <v>0</v>
      </c>
      <c r="P544" t="n">
        <v>0</v>
      </c>
      <c r="Q544" t="n">
        <v>0</v>
      </c>
      <c r="R544" s="2" t="inlineStr"/>
    </row>
    <row r="545" ht="15" customHeight="1">
      <c r="A545" t="inlineStr">
        <is>
          <t>A 46665-2023</t>
        </is>
      </c>
      <c r="B545" s="1" t="n">
        <v>45198.47399305556</v>
      </c>
      <c r="C545" s="1" t="n">
        <v>45936</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56943-2024</t>
        </is>
      </c>
      <c r="B546" s="1" t="n">
        <v>45625</v>
      </c>
      <c r="C546" s="1" t="n">
        <v>45936</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60715-2022</t>
        </is>
      </c>
      <c r="B547" s="1" t="n">
        <v>44912</v>
      </c>
      <c r="C547" s="1" t="n">
        <v>45936</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15619-2025</t>
        </is>
      </c>
      <c r="B548" s="1" t="n">
        <v>45747</v>
      </c>
      <c r="C548" s="1" t="n">
        <v>45936</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21954-2023</t>
        </is>
      </c>
      <c r="B549" s="1" t="n">
        <v>45068</v>
      </c>
      <c r="C549" s="1" t="n">
        <v>45936</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25105-2025</t>
        </is>
      </c>
      <c r="B550" s="1" t="n">
        <v>45800.34751157407</v>
      </c>
      <c r="C550" s="1" t="n">
        <v>45936</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25096-2025</t>
        </is>
      </c>
      <c r="B551" s="1" t="n">
        <v>45800.33868055556</v>
      </c>
      <c r="C551" s="1" t="n">
        <v>45936</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14797-2025</t>
        </is>
      </c>
      <c r="B552" s="1" t="n">
        <v>45742.90363425926</v>
      </c>
      <c r="C552" s="1" t="n">
        <v>45936</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row>
    <row r="553" ht="15" customHeight="1">
      <c r="A553" t="inlineStr">
        <is>
          <t>A 31255-2023</t>
        </is>
      </c>
      <c r="B553" s="1" t="n">
        <v>45114.36729166667</v>
      </c>
      <c r="C553" s="1" t="n">
        <v>45936</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59751-2024</t>
        </is>
      </c>
      <c r="B554" s="1" t="n">
        <v>45638</v>
      </c>
      <c r="C554" s="1" t="n">
        <v>45936</v>
      </c>
      <c r="D554" t="inlineStr">
        <is>
          <t>DALARNAS LÄN</t>
        </is>
      </c>
      <c r="E554" t="inlineStr">
        <is>
          <t>LEKSAND</t>
        </is>
      </c>
      <c r="G554" t="n">
        <v>5.2</v>
      </c>
      <c r="H554" t="n">
        <v>0</v>
      </c>
      <c r="I554" t="n">
        <v>0</v>
      </c>
      <c r="J554" t="n">
        <v>0</v>
      </c>
      <c r="K554" t="n">
        <v>0</v>
      </c>
      <c r="L554" t="n">
        <v>0</v>
      </c>
      <c r="M554" t="n">
        <v>0</v>
      </c>
      <c r="N554" t="n">
        <v>0</v>
      </c>
      <c r="O554" t="n">
        <v>0</v>
      </c>
      <c r="P554" t="n">
        <v>0</v>
      </c>
      <c r="Q554" t="n">
        <v>0</v>
      </c>
      <c r="R554" s="2" t="inlineStr"/>
    </row>
    <row r="555" ht="15" customHeight="1">
      <c r="A555" t="inlineStr">
        <is>
          <t>A 28128-2022</t>
        </is>
      </c>
      <c r="B555" s="1" t="n">
        <v>44746.50628472222</v>
      </c>
      <c r="C555" s="1" t="n">
        <v>45936</v>
      </c>
      <c r="D555" t="inlineStr">
        <is>
          <t>DALARNAS LÄN</t>
        </is>
      </c>
      <c r="E555" t="inlineStr">
        <is>
          <t>LEKSAND</t>
        </is>
      </c>
      <c r="G555" t="n">
        <v>3.5</v>
      </c>
      <c r="H555" t="n">
        <v>0</v>
      </c>
      <c r="I555" t="n">
        <v>0</v>
      </c>
      <c r="J555" t="n">
        <v>0</v>
      </c>
      <c r="K555" t="n">
        <v>0</v>
      </c>
      <c r="L555" t="n">
        <v>0</v>
      </c>
      <c r="M555" t="n">
        <v>0</v>
      </c>
      <c r="N555" t="n">
        <v>0</v>
      </c>
      <c r="O555" t="n">
        <v>0</v>
      </c>
      <c r="P555" t="n">
        <v>0</v>
      </c>
      <c r="Q555" t="n">
        <v>0</v>
      </c>
      <c r="R555" s="2" t="inlineStr"/>
    </row>
    <row r="556" ht="15" customHeight="1">
      <c r="A556" t="inlineStr">
        <is>
          <t>A 61787-2022</t>
        </is>
      </c>
      <c r="B556" s="1" t="n">
        <v>44917</v>
      </c>
      <c r="C556" s="1" t="n">
        <v>45936</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45936</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64933-2023</t>
        </is>
      </c>
      <c r="B558" s="1" t="n">
        <v>45282</v>
      </c>
      <c r="C558" s="1" t="n">
        <v>45936</v>
      </c>
      <c r="D558" t="inlineStr">
        <is>
          <t>DALARNAS LÄN</t>
        </is>
      </c>
      <c r="E558" t="inlineStr">
        <is>
          <t>LEKSAND</t>
        </is>
      </c>
      <c r="G558" t="n">
        <v>2.3</v>
      </c>
      <c r="H558" t="n">
        <v>0</v>
      </c>
      <c r="I558" t="n">
        <v>0</v>
      </c>
      <c r="J558" t="n">
        <v>0</v>
      </c>
      <c r="K558" t="n">
        <v>0</v>
      </c>
      <c r="L558" t="n">
        <v>0</v>
      </c>
      <c r="M558" t="n">
        <v>0</v>
      </c>
      <c r="N558" t="n">
        <v>0</v>
      </c>
      <c r="O558" t="n">
        <v>0</v>
      </c>
      <c r="P558" t="n">
        <v>0</v>
      </c>
      <c r="Q558" t="n">
        <v>0</v>
      </c>
      <c r="R558" s="2" t="inlineStr"/>
    </row>
    <row r="559" ht="15" customHeight="1">
      <c r="A559" t="inlineStr">
        <is>
          <t>A 24003-2024</t>
        </is>
      </c>
      <c r="B559" s="1" t="n">
        <v>45456.39003472222</v>
      </c>
      <c r="C559" s="1" t="n">
        <v>45936</v>
      </c>
      <c r="D559" t="inlineStr">
        <is>
          <t>DALARNAS LÄN</t>
        </is>
      </c>
      <c r="E559" t="inlineStr">
        <is>
          <t>LEKSAND</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34585-2024</t>
        </is>
      </c>
      <c r="B560" s="1" t="n">
        <v>45526.37697916666</v>
      </c>
      <c r="C560" s="1" t="n">
        <v>45936</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26423-2025</t>
        </is>
      </c>
      <c r="B561" s="1" t="n">
        <v>45807.37829861111</v>
      </c>
      <c r="C561" s="1" t="n">
        <v>45936</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10743-2024</t>
        </is>
      </c>
      <c r="B562" s="1" t="n">
        <v>45369.52167824074</v>
      </c>
      <c r="C562" s="1" t="n">
        <v>45936</v>
      </c>
      <c r="D562" t="inlineStr">
        <is>
          <t>DALARNAS LÄN</t>
        </is>
      </c>
      <c r="E562" t="inlineStr">
        <is>
          <t>LEKSAND</t>
        </is>
      </c>
      <c r="G562" t="n">
        <v>2.7</v>
      </c>
      <c r="H562" t="n">
        <v>0</v>
      </c>
      <c r="I562" t="n">
        <v>0</v>
      </c>
      <c r="J562" t="n">
        <v>0</v>
      </c>
      <c r="K562" t="n">
        <v>0</v>
      </c>
      <c r="L562" t="n">
        <v>0</v>
      </c>
      <c r="M562" t="n">
        <v>0</v>
      </c>
      <c r="N562" t="n">
        <v>0</v>
      </c>
      <c r="O562" t="n">
        <v>0</v>
      </c>
      <c r="P562" t="n">
        <v>0</v>
      </c>
      <c r="Q562" t="n">
        <v>0</v>
      </c>
      <c r="R562" s="2" t="inlineStr"/>
    </row>
    <row r="563" ht="15" customHeight="1">
      <c r="A563" t="inlineStr">
        <is>
          <t>A 10771-2024</t>
        </is>
      </c>
      <c r="B563" s="1" t="n">
        <v>45369.57342592593</v>
      </c>
      <c r="C563" s="1" t="n">
        <v>45936</v>
      </c>
      <c r="D563" t="inlineStr">
        <is>
          <t>DALARNAS LÄN</t>
        </is>
      </c>
      <c r="E563" t="inlineStr">
        <is>
          <t>LEKSAND</t>
        </is>
      </c>
      <c r="G563" t="n">
        <v>0.4</v>
      </c>
      <c r="H563" t="n">
        <v>0</v>
      </c>
      <c r="I563" t="n">
        <v>0</v>
      </c>
      <c r="J563" t="n">
        <v>0</v>
      </c>
      <c r="K563" t="n">
        <v>0</v>
      </c>
      <c r="L563" t="n">
        <v>0</v>
      </c>
      <c r="M563" t="n">
        <v>0</v>
      </c>
      <c r="N563" t="n">
        <v>0</v>
      </c>
      <c r="O563" t="n">
        <v>0</v>
      </c>
      <c r="P563" t="n">
        <v>0</v>
      </c>
      <c r="Q563" t="n">
        <v>0</v>
      </c>
      <c r="R563" s="2" t="inlineStr"/>
    </row>
    <row r="564" ht="15" customHeight="1">
      <c r="A564" t="inlineStr">
        <is>
          <t>A 26386-2025</t>
        </is>
      </c>
      <c r="B564" s="1" t="n">
        <v>45806</v>
      </c>
      <c r="C564" s="1" t="n">
        <v>45936</v>
      </c>
      <c r="D564" t="inlineStr">
        <is>
          <t>DALARNAS LÄN</t>
        </is>
      </c>
      <c r="E564" t="inlineStr">
        <is>
          <t>LEKSAND</t>
        </is>
      </c>
      <c r="F564" t="inlineStr">
        <is>
          <t>Bergvik skog väst AB</t>
        </is>
      </c>
      <c r="G564" t="n">
        <v>26.3</v>
      </c>
      <c r="H564" t="n">
        <v>0</v>
      </c>
      <c r="I564" t="n">
        <v>0</v>
      </c>
      <c r="J564" t="n">
        <v>0</v>
      </c>
      <c r="K564" t="n">
        <v>0</v>
      </c>
      <c r="L564" t="n">
        <v>0</v>
      </c>
      <c r="M564" t="n">
        <v>0</v>
      </c>
      <c r="N564" t="n">
        <v>0</v>
      </c>
      <c r="O564" t="n">
        <v>0</v>
      </c>
      <c r="P564" t="n">
        <v>0</v>
      </c>
      <c r="Q564" t="n">
        <v>0</v>
      </c>
      <c r="R564" s="2" t="inlineStr"/>
    </row>
    <row r="565" ht="15" customHeight="1">
      <c r="A565" t="inlineStr">
        <is>
          <t>A 56941-2024</t>
        </is>
      </c>
      <c r="B565" s="1" t="n">
        <v>45625</v>
      </c>
      <c r="C565" s="1" t="n">
        <v>45936</v>
      </c>
      <c r="D565" t="inlineStr">
        <is>
          <t>DALARNAS LÄN</t>
        </is>
      </c>
      <c r="E565" t="inlineStr">
        <is>
          <t>LEKSAND</t>
        </is>
      </c>
      <c r="G565" t="n">
        <v>1.8</v>
      </c>
      <c r="H565" t="n">
        <v>0</v>
      </c>
      <c r="I565" t="n">
        <v>0</v>
      </c>
      <c r="J565" t="n">
        <v>0</v>
      </c>
      <c r="K565" t="n">
        <v>0</v>
      </c>
      <c r="L565" t="n">
        <v>0</v>
      </c>
      <c r="M565" t="n">
        <v>0</v>
      </c>
      <c r="N565" t="n">
        <v>0</v>
      </c>
      <c r="O565" t="n">
        <v>0</v>
      </c>
      <c r="P565" t="n">
        <v>0</v>
      </c>
      <c r="Q565" t="n">
        <v>0</v>
      </c>
      <c r="R565" s="2" t="inlineStr"/>
    </row>
    <row r="566" ht="15" customHeight="1">
      <c r="A566" t="inlineStr">
        <is>
          <t>A 16051-2023</t>
        </is>
      </c>
      <c r="B566" s="1" t="n">
        <v>45027</v>
      </c>
      <c r="C566" s="1" t="n">
        <v>45936</v>
      </c>
      <c r="D566" t="inlineStr">
        <is>
          <t>DALARNAS LÄN</t>
        </is>
      </c>
      <c r="E566" t="inlineStr">
        <is>
          <t>LEKSAND</t>
        </is>
      </c>
      <c r="G566" t="n">
        <v>0.7</v>
      </c>
      <c r="H566" t="n">
        <v>0</v>
      </c>
      <c r="I566" t="n">
        <v>0</v>
      </c>
      <c r="J566" t="n">
        <v>0</v>
      </c>
      <c r="K566" t="n">
        <v>0</v>
      </c>
      <c r="L566" t="n">
        <v>0</v>
      </c>
      <c r="M566" t="n">
        <v>0</v>
      </c>
      <c r="N566" t="n">
        <v>0</v>
      </c>
      <c r="O566" t="n">
        <v>0</v>
      </c>
      <c r="P566" t="n">
        <v>0</v>
      </c>
      <c r="Q566" t="n">
        <v>0</v>
      </c>
      <c r="R566" s="2" t="inlineStr"/>
    </row>
    <row r="567" ht="15" customHeight="1">
      <c r="A567" t="inlineStr">
        <is>
          <t>A 63514-2023</t>
        </is>
      </c>
      <c r="B567" s="1" t="n">
        <v>45274</v>
      </c>
      <c r="C567" s="1" t="n">
        <v>45936</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2311-2021</t>
        </is>
      </c>
      <c r="B568" s="1" t="n">
        <v>44213</v>
      </c>
      <c r="C568" s="1" t="n">
        <v>45936</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25329-2022</t>
        </is>
      </c>
      <c r="B569" s="1" t="n">
        <v>44731.8799537037</v>
      </c>
      <c r="C569" s="1" t="n">
        <v>45936</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46446-2023</t>
        </is>
      </c>
      <c r="B570" s="1" t="n">
        <v>45197.59344907408</v>
      </c>
      <c r="C570" s="1" t="n">
        <v>45936</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27323-2025</t>
        </is>
      </c>
      <c r="B571" s="1" t="n">
        <v>45812.60392361111</v>
      </c>
      <c r="C571" s="1" t="n">
        <v>45936</v>
      </c>
      <c r="D571" t="inlineStr">
        <is>
          <t>DALARNAS LÄN</t>
        </is>
      </c>
      <c r="E571" t="inlineStr">
        <is>
          <t>LEKSAND</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52100-2024</t>
        </is>
      </c>
      <c r="B572" s="1" t="n">
        <v>45608.41634259259</v>
      </c>
      <c r="C572" s="1" t="n">
        <v>45936</v>
      </c>
      <c r="D572" t="inlineStr">
        <is>
          <t>DALARNAS LÄN</t>
        </is>
      </c>
      <c r="E572" t="inlineStr">
        <is>
          <t>LEKSAND</t>
        </is>
      </c>
      <c r="G572" t="n">
        <v>1.9</v>
      </c>
      <c r="H572" t="n">
        <v>0</v>
      </c>
      <c r="I572" t="n">
        <v>0</v>
      </c>
      <c r="J572" t="n">
        <v>0</v>
      </c>
      <c r="K572" t="n">
        <v>0</v>
      </c>
      <c r="L572" t="n">
        <v>0</v>
      </c>
      <c r="M572" t="n">
        <v>0</v>
      </c>
      <c r="N572" t="n">
        <v>0</v>
      </c>
      <c r="O572" t="n">
        <v>0</v>
      </c>
      <c r="P572" t="n">
        <v>0</v>
      </c>
      <c r="Q572" t="n">
        <v>0</v>
      </c>
      <c r="R572" s="2" t="inlineStr"/>
    </row>
    <row r="573" ht="15" customHeight="1">
      <c r="A573" t="inlineStr">
        <is>
          <t>A 27262-2025</t>
        </is>
      </c>
      <c r="B573" s="1" t="n">
        <v>45812</v>
      </c>
      <c r="C573" s="1" t="n">
        <v>45936</v>
      </c>
      <c r="D573" t="inlineStr">
        <is>
          <t>DALARNAS LÄN</t>
        </is>
      </c>
      <c r="E573" t="inlineStr">
        <is>
          <t>LEKSAND</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53981-2024</t>
        </is>
      </c>
      <c r="B574" s="1" t="n">
        <v>45615</v>
      </c>
      <c r="C574" s="1" t="n">
        <v>45936</v>
      </c>
      <c r="D574" t="inlineStr">
        <is>
          <t>DALARNAS LÄN</t>
        </is>
      </c>
      <c r="E574" t="inlineStr">
        <is>
          <t>LEKSAND</t>
        </is>
      </c>
      <c r="G574" t="n">
        <v>5.4</v>
      </c>
      <c r="H574" t="n">
        <v>0</v>
      </c>
      <c r="I574" t="n">
        <v>0</v>
      </c>
      <c r="J574" t="n">
        <v>0</v>
      </c>
      <c r="K574" t="n">
        <v>0</v>
      </c>
      <c r="L574" t="n">
        <v>0</v>
      </c>
      <c r="M574" t="n">
        <v>0</v>
      </c>
      <c r="N574" t="n">
        <v>0</v>
      </c>
      <c r="O574" t="n">
        <v>0</v>
      </c>
      <c r="P574" t="n">
        <v>0</v>
      </c>
      <c r="Q574" t="n">
        <v>0</v>
      </c>
      <c r="R574" s="2" t="inlineStr"/>
    </row>
    <row r="575" ht="15" customHeight="1">
      <c r="A575" t="inlineStr">
        <is>
          <t>A 34033-2024</t>
        </is>
      </c>
      <c r="B575" s="1" t="n">
        <v>45523.59265046296</v>
      </c>
      <c r="C575" s="1" t="n">
        <v>45936</v>
      </c>
      <c r="D575" t="inlineStr">
        <is>
          <t>DALARNAS LÄN</t>
        </is>
      </c>
      <c r="E575" t="inlineStr">
        <is>
          <t>LEKSAND</t>
        </is>
      </c>
      <c r="G575" t="n">
        <v>2.6</v>
      </c>
      <c r="H575" t="n">
        <v>0</v>
      </c>
      <c r="I575" t="n">
        <v>0</v>
      </c>
      <c r="J575" t="n">
        <v>0</v>
      </c>
      <c r="K575" t="n">
        <v>0</v>
      </c>
      <c r="L575" t="n">
        <v>0</v>
      </c>
      <c r="M575" t="n">
        <v>0</v>
      </c>
      <c r="N575" t="n">
        <v>0</v>
      </c>
      <c r="O575" t="n">
        <v>0</v>
      </c>
      <c r="P575" t="n">
        <v>0</v>
      </c>
      <c r="Q575" t="n">
        <v>0</v>
      </c>
      <c r="R575" s="2" t="inlineStr"/>
    </row>
    <row r="576" ht="15" customHeight="1">
      <c r="A576" t="inlineStr">
        <is>
          <t>A 27332-2025</t>
        </is>
      </c>
      <c r="B576" s="1" t="n">
        <v>45812.61265046296</v>
      </c>
      <c r="C576" s="1" t="n">
        <v>45936</v>
      </c>
      <c r="D576" t="inlineStr">
        <is>
          <t>DALARNAS LÄN</t>
        </is>
      </c>
      <c r="E576" t="inlineStr">
        <is>
          <t>LEKSAND</t>
        </is>
      </c>
      <c r="F576" t="inlineStr">
        <is>
          <t>Bergvik skog väst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27183-2025</t>
        </is>
      </c>
      <c r="B577" s="1" t="n">
        <v>45812.36097222222</v>
      </c>
      <c r="C577" s="1" t="n">
        <v>45936</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27680-2025</t>
        </is>
      </c>
      <c r="B578" s="1" t="n">
        <v>45813.64618055556</v>
      </c>
      <c r="C578" s="1" t="n">
        <v>45936</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27682-2025</t>
        </is>
      </c>
      <c r="B579" s="1" t="n">
        <v>45813.64782407408</v>
      </c>
      <c r="C579" s="1" t="n">
        <v>45936</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27705-2025</t>
        </is>
      </c>
      <c r="B580" s="1" t="n">
        <v>45813</v>
      </c>
      <c r="C580" s="1" t="n">
        <v>45936</v>
      </c>
      <c r="D580" t="inlineStr">
        <is>
          <t>DALARNAS LÄN</t>
        </is>
      </c>
      <c r="E580" t="inlineStr">
        <is>
          <t>LEKSAND</t>
        </is>
      </c>
      <c r="G580" t="n">
        <v>0.8</v>
      </c>
      <c r="H580" t="n">
        <v>0</v>
      </c>
      <c r="I580" t="n">
        <v>0</v>
      </c>
      <c r="J580" t="n">
        <v>0</v>
      </c>
      <c r="K580" t="n">
        <v>0</v>
      </c>
      <c r="L580" t="n">
        <v>0</v>
      </c>
      <c r="M580" t="n">
        <v>0</v>
      </c>
      <c r="N580" t="n">
        <v>0</v>
      </c>
      <c r="O580" t="n">
        <v>0</v>
      </c>
      <c r="P580" t="n">
        <v>0</v>
      </c>
      <c r="Q580" t="n">
        <v>0</v>
      </c>
      <c r="R580" s="2" t="inlineStr"/>
    </row>
    <row r="581" ht="15" customHeight="1">
      <c r="A581" t="inlineStr">
        <is>
          <t>A 27329-2025</t>
        </is>
      </c>
      <c r="B581" s="1" t="n">
        <v>45812.60864583333</v>
      </c>
      <c r="C581" s="1" t="n">
        <v>45936</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27984-2025</t>
        </is>
      </c>
      <c r="B582" s="1" t="n">
        <v>45817.57710648148</v>
      </c>
      <c r="C582" s="1" t="n">
        <v>45936</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14504-2025</t>
        </is>
      </c>
      <c r="B583" s="1" t="n">
        <v>45741</v>
      </c>
      <c r="C583" s="1" t="n">
        <v>45936</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28499-2025</t>
        </is>
      </c>
      <c r="B584" s="1" t="n">
        <v>45818</v>
      </c>
      <c r="C584" s="1" t="n">
        <v>45936</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28483-2025</t>
        </is>
      </c>
      <c r="B585" s="1" t="n">
        <v>45818</v>
      </c>
      <c r="C585" s="1" t="n">
        <v>45936</v>
      </c>
      <c r="D585" t="inlineStr">
        <is>
          <t>DALARNAS LÄN</t>
        </is>
      </c>
      <c r="E585" t="inlineStr">
        <is>
          <t>LEKSAND</t>
        </is>
      </c>
      <c r="F585" t="inlineStr">
        <is>
          <t>Bergvik skog väst AB</t>
        </is>
      </c>
      <c r="G585" t="n">
        <v>1.6</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45936</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28505-2025</t>
        </is>
      </c>
      <c r="B587" s="1" t="n">
        <v>45818</v>
      </c>
      <c r="C587" s="1" t="n">
        <v>45936</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28488-2025</t>
        </is>
      </c>
      <c r="B588" s="1" t="n">
        <v>45818</v>
      </c>
      <c r="C588" s="1" t="n">
        <v>45936</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64516-2023</t>
        </is>
      </c>
      <c r="B589" s="1" t="n">
        <v>45280</v>
      </c>
      <c r="C589" s="1" t="n">
        <v>45936</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28770-2025</t>
        </is>
      </c>
      <c r="B590" s="1" t="n">
        <v>45820</v>
      </c>
      <c r="C590" s="1" t="n">
        <v>45936</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45788-2021</t>
        </is>
      </c>
      <c r="B591" s="1" t="n">
        <v>44441</v>
      </c>
      <c r="C591" s="1" t="n">
        <v>45936</v>
      </c>
      <c r="D591" t="inlineStr">
        <is>
          <t>DALARNAS LÄN</t>
        </is>
      </c>
      <c r="E591" t="inlineStr">
        <is>
          <t>LEKSAND</t>
        </is>
      </c>
      <c r="G591" t="n">
        <v>3</v>
      </c>
      <c r="H591" t="n">
        <v>0</v>
      </c>
      <c r="I591" t="n">
        <v>0</v>
      </c>
      <c r="J591" t="n">
        <v>0</v>
      </c>
      <c r="K591" t="n">
        <v>0</v>
      </c>
      <c r="L591" t="n">
        <v>0</v>
      </c>
      <c r="M591" t="n">
        <v>0</v>
      </c>
      <c r="N591" t="n">
        <v>0</v>
      </c>
      <c r="O591" t="n">
        <v>0</v>
      </c>
      <c r="P591" t="n">
        <v>0</v>
      </c>
      <c r="Q591" t="n">
        <v>0</v>
      </c>
      <c r="R591" s="2" t="inlineStr"/>
    </row>
    <row r="592" ht="15" customHeight="1">
      <c r="A592" t="inlineStr">
        <is>
          <t>A 28985-2025</t>
        </is>
      </c>
      <c r="B592" s="1" t="n">
        <v>45821.36862268519</v>
      </c>
      <c r="C592" s="1" t="n">
        <v>45936</v>
      </c>
      <c r="D592" t="inlineStr">
        <is>
          <t>DALARNAS LÄN</t>
        </is>
      </c>
      <c r="E592" t="inlineStr">
        <is>
          <t>LEKSAND</t>
        </is>
      </c>
      <c r="G592" t="n">
        <v>0.7</v>
      </c>
      <c r="H592" t="n">
        <v>0</v>
      </c>
      <c r="I592" t="n">
        <v>0</v>
      </c>
      <c r="J592" t="n">
        <v>0</v>
      </c>
      <c r="K592" t="n">
        <v>0</v>
      </c>
      <c r="L592" t="n">
        <v>0</v>
      </c>
      <c r="M592" t="n">
        <v>0</v>
      </c>
      <c r="N592" t="n">
        <v>0</v>
      </c>
      <c r="O592" t="n">
        <v>0</v>
      </c>
      <c r="P592" t="n">
        <v>0</v>
      </c>
      <c r="Q592" t="n">
        <v>0</v>
      </c>
      <c r="R592" s="2" t="inlineStr"/>
    </row>
    <row r="593" ht="15" customHeight="1">
      <c r="A593" t="inlineStr">
        <is>
          <t>A 52977-2022</t>
        </is>
      </c>
      <c r="B593" s="1" t="n">
        <v>44875</v>
      </c>
      <c r="C593" s="1" t="n">
        <v>45936</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29553-2025</t>
        </is>
      </c>
      <c r="B594" s="1" t="n">
        <v>45825.35315972222</v>
      </c>
      <c r="C594" s="1" t="n">
        <v>45936</v>
      </c>
      <c r="D594" t="inlineStr">
        <is>
          <t>DALARNAS LÄN</t>
        </is>
      </c>
      <c r="E594" t="inlineStr">
        <is>
          <t>LEKSAND</t>
        </is>
      </c>
      <c r="G594" t="n">
        <v>1.8</v>
      </c>
      <c r="H594" t="n">
        <v>0</v>
      </c>
      <c r="I594" t="n">
        <v>0</v>
      </c>
      <c r="J594" t="n">
        <v>0</v>
      </c>
      <c r="K594" t="n">
        <v>0</v>
      </c>
      <c r="L594" t="n">
        <v>0</v>
      </c>
      <c r="M594" t="n">
        <v>0</v>
      </c>
      <c r="N594" t="n">
        <v>0</v>
      </c>
      <c r="O594" t="n">
        <v>0</v>
      </c>
      <c r="P594" t="n">
        <v>0</v>
      </c>
      <c r="Q594" t="n">
        <v>0</v>
      </c>
      <c r="R594" s="2" t="inlineStr"/>
    </row>
    <row r="595" ht="15" customHeight="1">
      <c r="A595" t="inlineStr">
        <is>
          <t>A 43221-2024</t>
        </is>
      </c>
      <c r="B595" s="1" t="n">
        <v>45567.86695601852</v>
      </c>
      <c r="C595" s="1" t="n">
        <v>45936</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29005-2025</t>
        </is>
      </c>
      <c r="B596" s="1" t="n">
        <v>45821.39326388889</v>
      </c>
      <c r="C596" s="1" t="n">
        <v>45936</v>
      </c>
      <c r="D596" t="inlineStr">
        <is>
          <t>DALARNAS LÄN</t>
        </is>
      </c>
      <c r="E596" t="inlineStr">
        <is>
          <t>LEKSAND</t>
        </is>
      </c>
      <c r="G596" t="n">
        <v>2.1</v>
      </c>
      <c r="H596" t="n">
        <v>0</v>
      </c>
      <c r="I596" t="n">
        <v>0</v>
      </c>
      <c r="J596" t="n">
        <v>0</v>
      </c>
      <c r="K596" t="n">
        <v>0</v>
      </c>
      <c r="L596" t="n">
        <v>0</v>
      </c>
      <c r="M596" t="n">
        <v>0</v>
      </c>
      <c r="N596" t="n">
        <v>0</v>
      </c>
      <c r="O596" t="n">
        <v>0</v>
      </c>
      <c r="P596" t="n">
        <v>0</v>
      </c>
      <c r="Q596" t="n">
        <v>0</v>
      </c>
      <c r="R596" s="2" t="inlineStr"/>
    </row>
    <row r="597" ht="15" customHeight="1">
      <c r="A597" t="inlineStr">
        <is>
          <t>A 29729-2025</t>
        </is>
      </c>
      <c r="B597" s="1" t="n">
        <v>45825.58077546296</v>
      </c>
      <c r="C597" s="1" t="n">
        <v>45936</v>
      </c>
      <c r="D597" t="inlineStr">
        <is>
          <t>DALARNAS LÄN</t>
        </is>
      </c>
      <c r="E597" t="inlineStr">
        <is>
          <t>LEKSAND</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17589-2025</t>
        </is>
      </c>
      <c r="B598" s="1" t="n">
        <v>45757.67844907408</v>
      </c>
      <c r="C598" s="1" t="n">
        <v>45936</v>
      </c>
      <c r="D598" t="inlineStr">
        <is>
          <t>DALARNAS LÄN</t>
        </is>
      </c>
      <c r="E598" t="inlineStr">
        <is>
          <t>LEKSAND</t>
        </is>
      </c>
      <c r="G598" t="n">
        <v>5.8</v>
      </c>
      <c r="H598" t="n">
        <v>0</v>
      </c>
      <c r="I598" t="n">
        <v>0</v>
      </c>
      <c r="J598" t="n">
        <v>0</v>
      </c>
      <c r="K598" t="n">
        <v>0</v>
      </c>
      <c r="L598" t="n">
        <v>0</v>
      </c>
      <c r="M598" t="n">
        <v>0</v>
      </c>
      <c r="N598" t="n">
        <v>0</v>
      </c>
      <c r="O598" t="n">
        <v>0</v>
      </c>
      <c r="P598" t="n">
        <v>0</v>
      </c>
      <c r="Q598" t="n">
        <v>0</v>
      </c>
      <c r="R598" s="2" t="inlineStr"/>
    </row>
    <row r="599" ht="15" customHeight="1">
      <c r="A599" t="inlineStr">
        <is>
          <t>A 29157-2022</t>
        </is>
      </c>
      <c r="B599" s="1" t="n">
        <v>44750.48355324074</v>
      </c>
      <c r="C599" s="1" t="n">
        <v>45936</v>
      </c>
      <c r="D599" t="inlineStr">
        <is>
          <t>DALARNAS LÄN</t>
        </is>
      </c>
      <c r="E599" t="inlineStr">
        <is>
          <t>LEKSAND</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11080-2023</t>
        </is>
      </c>
      <c r="B600" s="1" t="n">
        <v>44992</v>
      </c>
      <c r="C600" s="1" t="n">
        <v>45936</v>
      </c>
      <c r="D600" t="inlineStr">
        <is>
          <t>DALARNAS LÄN</t>
        </is>
      </c>
      <c r="E600" t="inlineStr">
        <is>
          <t>LEKSAND</t>
        </is>
      </c>
      <c r="G600" t="n">
        <v>6.9</v>
      </c>
      <c r="H600" t="n">
        <v>0</v>
      </c>
      <c r="I600" t="n">
        <v>0</v>
      </c>
      <c r="J600" t="n">
        <v>0</v>
      </c>
      <c r="K600" t="n">
        <v>0</v>
      </c>
      <c r="L600" t="n">
        <v>0</v>
      </c>
      <c r="M600" t="n">
        <v>0</v>
      </c>
      <c r="N600" t="n">
        <v>0</v>
      </c>
      <c r="O600" t="n">
        <v>0</v>
      </c>
      <c r="P600" t="n">
        <v>0</v>
      </c>
      <c r="Q600" t="n">
        <v>0</v>
      </c>
      <c r="R600" s="2" t="inlineStr"/>
    </row>
    <row r="601" ht="15" customHeight="1">
      <c r="A601" t="inlineStr">
        <is>
          <t>A 320-2023</t>
        </is>
      </c>
      <c r="B601" s="1" t="n">
        <v>44929</v>
      </c>
      <c r="C601" s="1" t="n">
        <v>45936</v>
      </c>
      <c r="D601" t="inlineStr">
        <is>
          <t>DALARNAS LÄN</t>
        </is>
      </c>
      <c r="E601" t="inlineStr">
        <is>
          <t>LEKSAND</t>
        </is>
      </c>
      <c r="F601" t="inlineStr">
        <is>
          <t>Övriga Aktiebolag</t>
        </is>
      </c>
      <c r="G601" t="n">
        <v>5.4</v>
      </c>
      <c r="H601" t="n">
        <v>0</v>
      </c>
      <c r="I601" t="n">
        <v>0</v>
      </c>
      <c r="J601" t="n">
        <v>0</v>
      </c>
      <c r="K601" t="n">
        <v>0</v>
      </c>
      <c r="L601" t="n">
        <v>0</v>
      </c>
      <c r="M601" t="n">
        <v>0</v>
      </c>
      <c r="N601" t="n">
        <v>0</v>
      </c>
      <c r="O601" t="n">
        <v>0</v>
      </c>
      <c r="P601" t="n">
        <v>0</v>
      </c>
      <c r="Q601" t="n">
        <v>0</v>
      </c>
      <c r="R601" s="2" t="inlineStr"/>
    </row>
    <row r="602" ht="15" customHeight="1">
      <c r="A602" t="inlineStr">
        <is>
          <t>A 30254-2025</t>
        </is>
      </c>
      <c r="B602" s="1" t="n">
        <v>45827.42336805556</v>
      </c>
      <c r="C602" s="1" t="n">
        <v>45936</v>
      </c>
      <c r="D602" t="inlineStr">
        <is>
          <t>DALARNAS LÄN</t>
        </is>
      </c>
      <c r="E602" t="inlineStr">
        <is>
          <t>LEKSAND</t>
        </is>
      </c>
      <c r="G602" t="n">
        <v>3.5</v>
      </c>
      <c r="H602" t="n">
        <v>0</v>
      </c>
      <c r="I602" t="n">
        <v>0</v>
      </c>
      <c r="J602" t="n">
        <v>0</v>
      </c>
      <c r="K602" t="n">
        <v>0</v>
      </c>
      <c r="L602" t="n">
        <v>0</v>
      </c>
      <c r="M602" t="n">
        <v>0</v>
      </c>
      <c r="N602" t="n">
        <v>0</v>
      </c>
      <c r="O602" t="n">
        <v>0</v>
      </c>
      <c r="P602" t="n">
        <v>0</v>
      </c>
      <c r="Q602" t="n">
        <v>0</v>
      </c>
      <c r="R602" s="2" t="inlineStr"/>
    </row>
    <row r="603" ht="15" customHeight="1">
      <c r="A603" t="inlineStr">
        <is>
          <t>A 40181-2023</t>
        </is>
      </c>
      <c r="B603" s="1" t="n">
        <v>45169</v>
      </c>
      <c r="C603" s="1" t="n">
        <v>45936</v>
      </c>
      <c r="D603" t="inlineStr">
        <is>
          <t>DALARNAS LÄN</t>
        </is>
      </c>
      <c r="E603" t="inlineStr">
        <is>
          <t>LEKSAND</t>
        </is>
      </c>
      <c r="G603" t="n">
        <v>2.8</v>
      </c>
      <c r="H603" t="n">
        <v>0</v>
      </c>
      <c r="I603" t="n">
        <v>0</v>
      </c>
      <c r="J603" t="n">
        <v>0</v>
      </c>
      <c r="K603" t="n">
        <v>0</v>
      </c>
      <c r="L603" t="n">
        <v>0</v>
      </c>
      <c r="M603" t="n">
        <v>0</v>
      </c>
      <c r="N603" t="n">
        <v>0</v>
      </c>
      <c r="O603" t="n">
        <v>0</v>
      </c>
      <c r="P603" t="n">
        <v>0</v>
      </c>
      <c r="Q603" t="n">
        <v>0</v>
      </c>
      <c r="R603" s="2" t="inlineStr"/>
    </row>
    <row r="604" ht="15" customHeight="1">
      <c r="A604" t="inlineStr">
        <is>
          <t>A 63544-2023</t>
        </is>
      </c>
      <c r="B604" s="1" t="n">
        <v>45275</v>
      </c>
      <c r="C604" s="1" t="n">
        <v>45936</v>
      </c>
      <c r="D604" t="inlineStr">
        <is>
          <t>DALARNAS LÄN</t>
        </is>
      </c>
      <c r="E604" t="inlineStr">
        <is>
          <t>LEKSAND</t>
        </is>
      </c>
      <c r="G604" t="n">
        <v>0.3</v>
      </c>
      <c r="H604" t="n">
        <v>0</v>
      </c>
      <c r="I604" t="n">
        <v>0</v>
      </c>
      <c r="J604" t="n">
        <v>0</v>
      </c>
      <c r="K604" t="n">
        <v>0</v>
      </c>
      <c r="L604" t="n">
        <v>0</v>
      </c>
      <c r="M604" t="n">
        <v>0</v>
      </c>
      <c r="N604" t="n">
        <v>0</v>
      </c>
      <c r="O604" t="n">
        <v>0</v>
      </c>
      <c r="P604" t="n">
        <v>0</v>
      </c>
      <c r="Q604" t="n">
        <v>0</v>
      </c>
      <c r="R604" s="2" t="inlineStr"/>
    </row>
    <row r="605" ht="15" customHeight="1">
      <c r="A605" t="inlineStr">
        <is>
          <t>A 58877-2023</t>
        </is>
      </c>
      <c r="B605" s="1" t="n">
        <v>45252</v>
      </c>
      <c r="C605" s="1" t="n">
        <v>45936</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51377-2023</t>
        </is>
      </c>
      <c r="B606" s="1" t="n">
        <v>45219</v>
      </c>
      <c r="C606" s="1" t="n">
        <v>45936</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30920-2025</t>
        </is>
      </c>
      <c r="B607" s="1" t="n">
        <v>45832.38484953704</v>
      </c>
      <c r="C607" s="1" t="n">
        <v>45936</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30969-2025</t>
        </is>
      </c>
      <c r="B608" s="1" t="n">
        <v>45832.45914351852</v>
      </c>
      <c r="C608" s="1" t="n">
        <v>45936</v>
      </c>
      <c r="D608" t="inlineStr">
        <is>
          <t>DALARNAS LÄN</t>
        </is>
      </c>
      <c r="E608" t="inlineStr">
        <is>
          <t>LEKSAND</t>
        </is>
      </c>
      <c r="F608" t="inlineStr">
        <is>
          <t>Bergvik skog väst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45936</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52572-2024</t>
        </is>
      </c>
      <c r="B610" s="1" t="n">
        <v>45609.66488425926</v>
      </c>
      <c r="C610" s="1" t="n">
        <v>45936</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31619-2025</t>
        </is>
      </c>
      <c r="B611" s="1" t="n">
        <v>45833</v>
      </c>
      <c r="C611" s="1" t="n">
        <v>45936</v>
      </c>
      <c r="D611" t="inlineStr">
        <is>
          <t>DALARNAS LÄN</t>
        </is>
      </c>
      <c r="E611" t="inlineStr">
        <is>
          <t>LEKSAND</t>
        </is>
      </c>
      <c r="G611" t="n">
        <v>2.5</v>
      </c>
      <c r="H611" t="n">
        <v>0</v>
      </c>
      <c r="I611" t="n">
        <v>0</v>
      </c>
      <c r="J611" t="n">
        <v>0</v>
      </c>
      <c r="K611" t="n">
        <v>0</v>
      </c>
      <c r="L611" t="n">
        <v>0</v>
      </c>
      <c r="M611" t="n">
        <v>0</v>
      </c>
      <c r="N611" t="n">
        <v>0</v>
      </c>
      <c r="O611" t="n">
        <v>0</v>
      </c>
      <c r="P611" t="n">
        <v>0</v>
      </c>
      <c r="Q611" t="n">
        <v>0</v>
      </c>
      <c r="R611" s="2" t="inlineStr"/>
    </row>
    <row r="612" ht="15" customHeight="1">
      <c r="A612" t="inlineStr">
        <is>
          <t>A 30916-2025</t>
        </is>
      </c>
      <c r="B612" s="1" t="n">
        <v>45832.37885416667</v>
      </c>
      <c r="C612" s="1" t="n">
        <v>45936</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31446-2025</t>
        </is>
      </c>
      <c r="B613" s="1" t="n">
        <v>45833</v>
      </c>
      <c r="C613" s="1" t="n">
        <v>45936</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41853-2023</t>
        </is>
      </c>
      <c r="B614" s="1" t="n">
        <v>45176.62483796296</v>
      </c>
      <c r="C614" s="1" t="n">
        <v>45936</v>
      </c>
      <c r="D614" t="inlineStr">
        <is>
          <t>DALARNAS LÄN</t>
        </is>
      </c>
      <c r="E614" t="inlineStr">
        <is>
          <t>LEKSAND</t>
        </is>
      </c>
      <c r="G614" t="n">
        <v>1</v>
      </c>
      <c r="H614" t="n">
        <v>0</v>
      </c>
      <c r="I614" t="n">
        <v>0</v>
      </c>
      <c r="J614" t="n">
        <v>0</v>
      </c>
      <c r="K614" t="n">
        <v>0</v>
      </c>
      <c r="L614" t="n">
        <v>0</v>
      </c>
      <c r="M614" t="n">
        <v>0</v>
      </c>
      <c r="N614" t="n">
        <v>0</v>
      </c>
      <c r="O614" t="n">
        <v>0</v>
      </c>
      <c r="P614" t="n">
        <v>0</v>
      </c>
      <c r="Q614" t="n">
        <v>0</v>
      </c>
      <c r="R614" s="2" t="inlineStr"/>
    </row>
    <row r="615" ht="15" customHeight="1">
      <c r="A615" t="inlineStr">
        <is>
          <t>A 30911-2025</t>
        </is>
      </c>
      <c r="B615" s="1" t="n">
        <v>45832.37547453704</v>
      </c>
      <c r="C615" s="1" t="n">
        <v>45936</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31179-2025</t>
        </is>
      </c>
      <c r="B616" s="1" t="n">
        <v>45832.67648148148</v>
      </c>
      <c r="C616" s="1" t="n">
        <v>45936</v>
      </c>
      <c r="D616" t="inlineStr">
        <is>
          <t>DALARNAS LÄN</t>
        </is>
      </c>
      <c r="E616" t="inlineStr">
        <is>
          <t>LEKSAND</t>
        </is>
      </c>
      <c r="G616" t="n">
        <v>4.7</v>
      </c>
      <c r="H616" t="n">
        <v>0</v>
      </c>
      <c r="I616" t="n">
        <v>0</v>
      </c>
      <c r="J616" t="n">
        <v>0</v>
      </c>
      <c r="K616" t="n">
        <v>0</v>
      </c>
      <c r="L616" t="n">
        <v>0</v>
      </c>
      <c r="M616" t="n">
        <v>0</v>
      </c>
      <c r="N616" t="n">
        <v>0</v>
      </c>
      <c r="O616" t="n">
        <v>0</v>
      </c>
      <c r="P616" t="n">
        <v>0</v>
      </c>
      <c r="Q616" t="n">
        <v>0</v>
      </c>
      <c r="R616" s="2" t="inlineStr"/>
    </row>
    <row r="617" ht="15" customHeight="1">
      <c r="A617" t="inlineStr">
        <is>
          <t>A 31189-2025</t>
        </is>
      </c>
      <c r="B617" s="1" t="n">
        <v>45832.6799537037</v>
      </c>
      <c r="C617" s="1" t="n">
        <v>45936</v>
      </c>
      <c r="D617" t="inlineStr">
        <is>
          <t>DALARNAS LÄN</t>
        </is>
      </c>
      <c r="E617" t="inlineStr">
        <is>
          <t>LEKSAND</t>
        </is>
      </c>
      <c r="G617" t="n">
        <v>5</v>
      </c>
      <c r="H617" t="n">
        <v>0</v>
      </c>
      <c r="I617" t="n">
        <v>0</v>
      </c>
      <c r="J617" t="n">
        <v>0</v>
      </c>
      <c r="K617" t="n">
        <v>0</v>
      </c>
      <c r="L617" t="n">
        <v>0</v>
      </c>
      <c r="M617" t="n">
        <v>0</v>
      </c>
      <c r="N617" t="n">
        <v>0</v>
      </c>
      <c r="O617" t="n">
        <v>0</v>
      </c>
      <c r="P617" t="n">
        <v>0</v>
      </c>
      <c r="Q617" t="n">
        <v>0</v>
      </c>
      <c r="R617" s="2" t="inlineStr"/>
    </row>
    <row r="618" ht="15" customHeight="1">
      <c r="A618" t="inlineStr">
        <is>
          <t>A 30973-2025</t>
        </is>
      </c>
      <c r="B618" s="1" t="n">
        <v>45832.46300925926</v>
      </c>
      <c r="C618" s="1" t="n">
        <v>45936</v>
      </c>
      <c r="D618" t="inlineStr">
        <is>
          <t>DALARNAS LÄN</t>
        </is>
      </c>
      <c r="E618" t="inlineStr">
        <is>
          <t>LEKSAND</t>
        </is>
      </c>
      <c r="F618" t="inlineStr">
        <is>
          <t>Bergvik skog väst AB</t>
        </is>
      </c>
      <c r="G618" t="n">
        <v>3.1</v>
      </c>
      <c r="H618" t="n">
        <v>0</v>
      </c>
      <c r="I618" t="n">
        <v>0</v>
      </c>
      <c r="J618" t="n">
        <v>0</v>
      </c>
      <c r="K618" t="n">
        <v>0</v>
      </c>
      <c r="L618" t="n">
        <v>0</v>
      </c>
      <c r="M618" t="n">
        <v>0</v>
      </c>
      <c r="N618" t="n">
        <v>0</v>
      </c>
      <c r="O618" t="n">
        <v>0</v>
      </c>
      <c r="P618" t="n">
        <v>0</v>
      </c>
      <c r="Q618" t="n">
        <v>0</v>
      </c>
      <c r="R618" s="2" t="inlineStr"/>
    </row>
    <row r="619" ht="15" customHeight="1">
      <c r="A619" t="inlineStr">
        <is>
          <t>A 27520-2023</t>
        </is>
      </c>
      <c r="B619" s="1" t="n">
        <v>45097</v>
      </c>
      <c r="C619" s="1" t="n">
        <v>45936</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55926-2024</t>
        </is>
      </c>
      <c r="B620" s="1" t="n">
        <v>45623.601875</v>
      </c>
      <c r="C620" s="1" t="n">
        <v>45936</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49405-2024</t>
        </is>
      </c>
      <c r="B621" s="1" t="n">
        <v>45595</v>
      </c>
      <c r="C621" s="1" t="n">
        <v>45936</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31493-2025</t>
        </is>
      </c>
      <c r="B622" s="1" t="n">
        <v>45833</v>
      </c>
      <c r="C622" s="1" t="n">
        <v>45936</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31945-2025</t>
        </is>
      </c>
      <c r="B623" s="1" t="n">
        <v>45835</v>
      </c>
      <c r="C623" s="1" t="n">
        <v>45936</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32104-2025</t>
        </is>
      </c>
      <c r="B624" s="1" t="n">
        <v>45835</v>
      </c>
      <c r="C624" s="1" t="n">
        <v>45936</v>
      </c>
      <c r="D624" t="inlineStr">
        <is>
          <t>DALARNAS LÄN</t>
        </is>
      </c>
      <c r="E624" t="inlineStr">
        <is>
          <t>LEKSAND</t>
        </is>
      </c>
      <c r="G624" t="n">
        <v>3.1</v>
      </c>
      <c r="H624" t="n">
        <v>0</v>
      </c>
      <c r="I624" t="n">
        <v>0</v>
      </c>
      <c r="J624" t="n">
        <v>0</v>
      </c>
      <c r="K624" t="n">
        <v>0</v>
      </c>
      <c r="L624" t="n">
        <v>0</v>
      </c>
      <c r="M624" t="n">
        <v>0</v>
      </c>
      <c r="N624" t="n">
        <v>0</v>
      </c>
      <c r="O624" t="n">
        <v>0</v>
      </c>
      <c r="P624" t="n">
        <v>0</v>
      </c>
      <c r="Q624" t="n">
        <v>0</v>
      </c>
      <c r="R624" s="2" t="inlineStr"/>
    </row>
    <row r="625" ht="15" customHeight="1">
      <c r="A625" t="inlineStr">
        <is>
          <t>A 31787-2025</t>
        </is>
      </c>
      <c r="B625" s="1" t="n">
        <v>45834</v>
      </c>
      <c r="C625" s="1" t="n">
        <v>45936</v>
      </c>
      <c r="D625" t="inlineStr">
        <is>
          <t>DALARNAS LÄN</t>
        </is>
      </c>
      <c r="E625" t="inlineStr">
        <is>
          <t>LEKSAND</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17078-2023</t>
        </is>
      </c>
      <c r="B626" s="1" t="n">
        <v>45034</v>
      </c>
      <c r="C626" s="1" t="n">
        <v>45936</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32301-2025</t>
        </is>
      </c>
      <c r="B627" s="1" t="n">
        <v>45835</v>
      </c>
      <c r="C627" s="1" t="n">
        <v>45936</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32274-2025</t>
        </is>
      </c>
      <c r="B628" s="1" t="n">
        <v>45835</v>
      </c>
      <c r="C628" s="1" t="n">
        <v>45936</v>
      </c>
      <c r="D628" t="inlineStr">
        <is>
          <t>DALARNAS LÄN</t>
        </is>
      </c>
      <c r="E628" t="inlineStr">
        <is>
          <t>LEKSAND</t>
        </is>
      </c>
      <c r="G628" t="n">
        <v>4.5</v>
      </c>
      <c r="H628" t="n">
        <v>0</v>
      </c>
      <c r="I628" t="n">
        <v>0</v>
      </c>
      <c r="J628" t="n">
        <v>0</v>
      </c>
      <c r="K628" t="n">
        <v>0</v>
      </c>
      <c r="L628" t="n">
        <v>0</v>
      </c>
      <c r="M628" t="n">
        <v>0</v>
      </c>
      <c r="N628" t="n">
        <v>0</v>
      </c>
      <c r="O628" t="n">
        <v>0</v>
      </c>
      <c r="P628" t="n">
        <v>0</v>
      </c>
      <c r="Q628" t="n">
        <v>0</v>
      </c>
      <c r="R628" s="2" t="inlineStr"/>
    </row>
    <row r="629" ht="15" customHeight="1">
      <c r="A629" t="inlineStr">
        <is>
          <t>A 11110-2023</t>
        </is>
      </c>
      <c r="B629" s="1" t="n">
        <v>44992</v>
      </c>
      <c r="C629" s="1" t="n">
        <v>45936</v>
      </c>
      <c r="D629" t="inlineStr">
        <is>
          <t>DALARNAS LÄN</t>
        </is>
      </c>
      <c r="E629" t="inlineStr">
        <is>
          <t>LEKSAND</t>
        </is>
      </c>
      <c r="G629" t="n">
        <v>11.2</v>
      </c>
      <c r="H629" t="n">
        <v>0</v>
      </c>
      <c r="I629" t="n">
        <v>0</v>
      </c>
      <c r="J629" t="n">
        <v>0</v>
      </c>
      <c r="K629" t="n">
        <v>0</v>
      </c>
      <c r="L629" t="n">
        <v>0</v>
      </c>
      <c r="M629" t="n">
        <v>0</v>
      </c>
      <c r="N629" t="n">
        <v>0</v>
      </c>
      <c r="O629" t="n">
        <v>0</v>
      </c>
      <c r="P629" t="n">
        <v>0</v>
      </c>
      <c r="Q629" t="n">
        <v>0</v>
      </c>
      <c r="R629" s="2" t="inlineStr"/>
    </row>
    <row r="630" ht="15" customHeight="1">
      <c r="A630" t="inlineStr">
        <is>
          <t>A 32653-2025</t>
        </is>
      </c>
      <c r="B630" s="1" t="n">
        <v>45838</v>
      </c>
      <c r="C630" s="1" t="n">
        <v>45936</v>
      </c>
      <c r="D630" t="inlineStr">
        <is>
          <t>DALARNAS LÄN</t>
        </is>
      </c>
      <c r="E630" t="inlineStr">
        <is>
          <t>LEKSAND</t>
        </is>
      </c>
      <c r="G630" t="n">
        <v>5.6</v>
      </c>
      <c r="H630" t="n">
        <v>0</v>
      </c>
      <c r="I630" t="n">
        <v>0</v>
      </c>
      <c r="J630" t="n">
        <v>0</v>
      </c>
      <c r="K630" t="n">
        <v>0</v>
      </c>
      <c r="L630" t="n">
        <v>0</v>
      </c>
      <c r="M630" t="n">
        <v>0</v>
      </c>
      <c r="N630" t="n">
        <v>0</v>
      </c>
      <c r="O630" t="n">
        <v>0</v>
      </c>
      <c r="P630" t="n">
        <v>0</v>
      </c>
      <c r="Q630" t="n">
        <v>0</v>
      </c>
      <c r="R630" s="2" t="inlineStr"/>
    </row>
    <row r="631" ht="15" customHeight="1">
      <c r="A631" t="inlineStr">
        <is>
          <t>A 32855-2025</t>
        </is>
      </c>
      <c r="B631" s="1" t="n">
        <v>45839.57643518518</v>
      </c>
      <c r="C631" s="1" t="n">
        <v>45936</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32661-2025</t>
        </is>
      </c>
      <c r="B632" s="1" t="n">
        <v>45838.67953703704</v>
      </c>
      <c r="C632" s="1" t="n">
        <v>45936</v>
      </c>
      <c r="D632" t="inlineStr">
        <is>
          <t>DALARNAS LÄN</t>
        </is>
      </c>
      <c r="E632" t="inlineStr">
        <is>
          <t>LEKSAND</t>
        </is>
      </c>
      <c r="G632" t="n">
        <v>0.8</v>
      </c>
      <c r="H632" t="n">
        <v>0</v>
      </c>
      <c r="I632" t="n">
        <v>0</v>
      </c>
      <c r="J632" t="n">
        <v>0</v>
      </c>
      <c r="K632" t="n">
        <v>0</v>
      </c>
      <c r="L632" t="n">
        <v>0</v>
      </c>
      <c r="M632" t="n">
        <v>0</v>
      </c>
      <c r="N632" t="n">
        <v>0</v>
      </c>
      <c r="O632" t="n">
        <v>0</v>
      </c>
      <c r="P632" t="n">
        <v>0</v>
      </c>
      <c r="Q632" t="n">
        <v>0</v>
      </c>
      <c r="R632" s="2" t="inlineStr"/>
    </row>
    <row r="633" ht="15" customHeight="1">
      <c r="A633" t="inlineStr">
        <is>
          <t>A 56059-2024</t>
        </is>
      </c>
      <c r="B633" s="1" t="n">
        <v>45624.36729166667</v>
      </c>
      <c r="C633" s="1" t="n">
        <v>45936</v>
      </c>
      <c r="D633" t="inlineStr">
        <is>
          <t>DALARNAS LÄN</t>
        </is>
      </c>
      <c r="E633" t="inlineStr">
        <is>
          <t>LEKSAND</t>
        </is>
      </c>
      <c r="G633" t="n">
        <v>3.1</v>
      </c>
      <c r="H633" t="n">
        <v>0</v>
      </c>
      <c r="I633" t="n">
        <v>0</v>
      </c>
      <c r="J633" t="n">
        <v>0</v>
      </c>
      <c r="K633" t="n">
        <v>0</v>
      </c>
      <c r="L633" t="n">
        <v>0</v>
      </c>
      <c r="M633" t="n">
        <v>0</v>
      </c>
      <c r="N633" t="n">
        <v>0</v>
      </c>
      <c r="O633" t="n">
        <v>0</v>
      </c>
      <c r="P633" t="n">
        <v>0</v>
      </c>
      <c r="Q633" t="n">
        <v>0</v>
      </c>
      <c r="R633" s="2" t="inlineStr"/>
    </row>
    <row r="634" ht="15" customHeight="1">
      <c r="A634" t="inlineStr">
        <is>
          <t>A 32593-2025</t>
        </is>
      </c>
      <c r="B634" s="1" t="n">
        <v>45838</v>
      </c>
      <c r="C634" s="1" t="n">
        <v>45936</v>
      </c>
      <c r="D634" t="inlineStr">
        <is>
          <t>DALARNAS LÄN</t>
        </is>
      </c>
      <c r="E634" t="inlineStr">
        <is>
          <t>LEKSAND</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32726-2025</t>
        </is>
      </c>
      <c r="B635" s="1" t="n">
        <v>45839.3969212963</v>
      </c>
      <c r="C635" s="1" t="n">
        <v>45936</v>
      </c>
      <c r="D635" t="inlineStr">
        <is>
          <t>DALARNAS LÄN</t>
        </is>
      </c>
      <c r="E635" t="inlineStr">
        <is>
          <t>LEKSAND</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45943-2022</t>
        </is>
      </c>
      <c r="B636" s="1" t="n">
        <v>44846.64418981481</v>
      </c>
      <c r="C636" s="1" t="n">
        <v>45936</v>
      </c>
      <c r="D636" t="inlineStr">
        <is>
          <t>DALARNAS LÄN</t>
        </is>
      </c>
      <c r="E636" t="inlineStr">
        <is>
          <t>LEKSAND</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33160-2025</t>
        </is>
      </c>
      <c r="B637" s="1" t="n">
        <v>45840</v>
      </c>
      <c r="C637" s="1" t="n">
        <v>45936</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7928-2023</t>
        </is>
      </c>
      <c r="B638" s="1" t="n">
        <v>44973</v>
      </c>
      <c r="C638" s="1" t="n">
        <v>45936</v>
      </c>
      <c r="D638" t="inlineStr">
        <is>
          <t>DALARNAS LÄN</t>
        </is>
      </c>
      <c r="E638" t="inlineStr">
        <is>
          <t>LEKSAND</t>
        </is>
      </c>
      <c r="G638" t="n">
        <v>1.9</v>
      </c>
      <c r="H638" t="n">
        <v>0</v>
      </c>
      <c r="I638" t="n">
        <v>0</v>
      </c>
      <c r="J638" t="n">
        <v>0</v>
      </c>
      <c r="K638" t="n">
        <v>0</v>
      </c>
      <c r="L638" t="n">
        <v>0</v>
      </c>
      <c r="M638" t="n">
        <v>0</v>
      </c>
      <c r="N638" t="n">
        <v>0</v>
      </c>
      <c r="O638" t="n">
        <v>0</v>
      </c>
      <c r="P638" t="n">
        <v>0</v>
      </c>
      <c r="Q638" t="n">
        <v>0</v>
      </c>
      <c r="R638" s="2" t="inlineStr"/>
    </row>
    <row r="639" ht="15" customHeight="1">
      <c r="A639" t="inlineStr">
        <is>
          <t>A 60113-2022</t>
        </is>
      </c>
      <c r="B639" s="1" t="n">
        <v>44909</v>
      </c>
      <c r="C639" s="1" t="n">
        <v>45936</v>
      </c>
      <c r="D639" t="inlineStr">
        <is>
          <t>DALARNAS LÄN</t>
        </is>
      </c>
      <c r="E639" t="inlineStr">
        <is>
          <t>LEKSAND</t>
        </is>
      </c>
      <c r="G639" t="n">
        <v>3.7</v>
      </c>
      <c r="H639" t="n">
        <v>0</v>
      </c>
      <c r="I639" t="n">
        <v>0</v>
      </c>
      <c r="J639" t="n">
        <v>0</v>
      </c>
      <c r="K639" t="n">
        <v>0</v>
      </c>
      <c r="L639" t="n">
        <v>0</v>
      </c>
      <c r="M639" t="n">
        <v>0</v>
      </c>
      <c r="N639" t="n">
        <v>0</v>
      </c>
      <c r="O639" t="n">
        <v>0</v>
      </c>
      <c r="P639" t="n">
        <v>0</v>
      </c>
      <c r="Q639" t="n">
        <v>0</v>
      </c>
      <c r="R639" s="2" t="inlineStr"/>
    </row>
    <row r="640" ht="15" customHeight="1">
      <c r="A640" t="inlineStr">
        <is>
          <t>A 19550-2023</t>
        </is>
      </c>
      <c r="B640" s="1" t="n">
        <v>45049</v>
      </c>
      <c r="C640" s="1" t="n">
        <v>45936</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31915-2024</t>
        </is>
      </c>
      <c r="B641" s="1" t="n">
        <v>45510.38956018518</v>
      </c>
      <c r="C641" s="1" t="n">
        <v>45936</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51480-2022</t>
        </is>
      </c>
      <c r="B642" s="1" t="n">
        <v>44869.57961805556</v>
      </c>
      <c r="C642" s="1" t="n">
        <v>45936</v>
      </c>
      <c r="D642" t="inlineStr">
        <is>
          <t>DALARNAS LÄN</t>
        </is>
      </c>
      <c r="E642" t="inlineStr">
        <is>
          <t>LEKSAND</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33804-2025</t>
        </is>
      </c>
      <c r="B643" s="1" t="n">
        <v>45842</v>
      </c>
      <c r="C643" s="1" t="n">
        <v>45936</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43220-2024</t>
        </is>
      </c>
      <c r="B644" s="1" t="n">
        <v>45567.86112268519</v>
      </c>
      <c r="C644" s="1" t="n">
        <v>45936</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49397-2024</t>
        </is>
      </c>
      <c r="B645" s="1" t="n">
        <v>45595</v>
      </c>
      <c r="C645" s="1" t="n">
        <v>45936</v>
      </c>
      <c r="D645" t="inlineStr">
        <is>
          <t>DALARNAS LÄN</t>
        </is>
      </c>
      <c r="E645" t="inlineStr">
        <is>
          <t>LEKSAND</t>
        </is>
      </c>
      <c r="G645" t="n">
        <v>4.3</v>
      </c>
      <c r="H645" t="n">
        <v>0</v>
      </c>
      <c r="I645" t="n">
        <v>0</v>
      </c>
      <c r="J645" t="n">
        <v>0</v>
      </c>
      <c r="K645" t="n">
        <v>0</v>
      </c>
      <c r="L645" t="n">
        <v>0</v>
      </c>
      <c r="M645" t="n">
        <v>0</v>
      </c>
      <c r="N645" t="n">
        <v>0</v>
      </c>
      <c r="O645" t="n">
        <v>0</v>
      </c>
      <c r="P645" t="n">
        <v>0</v>
      </c>
      <c r="Q645" t="n">
        <v>0</v>
      </c>
      <c r="R645" s="2" t="inlineStr"/>
    </row>
    <row r="646" ht="15" customHeight="1">
      <c r="A646" t="inlineStr">
        <is>
          <t>A 57907-2024</t>
        </is>
      </c>
      <c r="B646" s="1" t="n">
        <v>45630</v>
      </c>
      <c r="C646" s="1" t="n">
        <v>45936</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9105-2024</t>
        </is>
      </c>
      <c r="B647" s="1" t="n">
        <v>45357</v>
      </c>
      <c r="C647" s="1" t="n">
        <v>45936</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24005-2024</t>
        </is>
      </c>
      <c r="B648" s="1" t="n">
        <v>45456.39239583333</v>
      </c>
      <c r="C648" s="1" t="n">
        <v>45936</v>
      </c>
      <c r="D648" t="inlineStr">
        <is>
          <t>DALARNAS LÄN</t>
        </is>
      </c>
      <c r="E648" t="inlineStr">
        <is>
          <t>LEKSAND</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34537-2025</t>
        </is>
      </c>
      <c r="B649" s="1" t="n">
        <v>45847</v>
      </c>
      <c r="C649" s="1" t="n">
        <v>45936</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61225-2023</t>
        </is>
      </c>
      <c r="B650" s="1" t="n">
        <v>45264</v>
      </c>
      <c r="C650" s="1" t="n">
        <v>45936</v>
      </c>
      <c r="D650" t="inlineStr">
        <is>
          <t>DALARNAS LÄN</t>
        </is>
      </c>
      <c r="E650" t="inlineStr">
        <is>
          <t>LEKSAND</t>
        </is>
      </c>
      <c r="G650" t="n">
        <v>7</v>
      </c>
      <c r="H650" t="n">
        <v>0</v>
      </c>
      <c r="I650" t="n">
        <v>0</v>
      </c>
      <c r="J650" t="n">
        <v>0</v>
      </c>
      <c r="K650" t="n">
        <v>0</v>
      </c>
      <c r="L650" t="n">
        <v>0</v>
      </c>
      <c r="M650" t="n">
        <v>0</v>
      </c>
      <c r="N650" t="n">
        <v>0</v>
      </c>
      <c r="O650" t="n">
        <v>0</v>
      </c>
      <c r="P650" t="n">
        <v>0</v>
      </c>
      <c r="Q650" t="n">
        <v>0</v>
      </c>
      <c r="R650" s="2" t="inlineStr"/>
    </row>
    <row r="651" ht="15" customHeight="1">
      <c r="A651" t="inlineStr">
        <is>
          <t>A 15968-2025</t>
        </is>
      </c>
      <c r="B651" s="1" t="n">
        <v>45749.54818287037</v>
      </c>
      <c r="C651" s="1" t="n">
        <v>45936</v>
      </c>
      <c r="D651" t="inlineStr">
        <is>
          <t>DALARNAS LÄN</t>
        </is>
      </c>
      <c r="E651" t="inlineStr">
        <is>
          <t>LEKSAND</t>
        </is>
      </c>
      <c r="G651" t="n">
        <v>3.2</v>
      </c>
      <c r="H651" t="n">
        <v>0</v>
      </c>
      <c r="I651" t="n">
        <v>0</v>
      </c>
      <c r="J651" t="n">
        <v>0</v>
      </c>
      <c r="K651" t="n">
        <v>0</v>
      </c>
      <c r="L651" t="n">
        <v>0</v>
      </c>
      <c r="M651" t="n">
        <v>0</v>
      </c>
      <c r="N651" t="n">
        <v>0</v>
      </c>
      <c r="O651" t="n">
        <v>0</v>
      </c>
      <c r="P651" t="n">
        <v>0</v>
      </c>
      <c r="Q651" t="n">
        <v>0</v>
      </c>
      <c r="R651" s="2" t="inlineStr"/>
    </row>
    <row r="652" ht="15" customHeight="1">
      <c r="A652" t="inlineStr">
        <is>
          <t>A 34965-2025</t>
        </is>
      </c>
      <c r="B652" s="1" t="n">
        <v>45849</v>
      </c>
      <c r="C652" s="1" t="n">
        <v>45936</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41896-2024</t>
        </is>
      </c>
      <c r="B653" s="1" t="n">
        <v>45561.51310185185</v>
      </c>
      <c r="C653" s="1" t="n">
        <v>45936</v>
      </c>
      <c r="D653" t="inlineStr">
        <is>
          <t>DALARNAS LÄN</t>
        </is>
      </c>
      <c r="E653" t="inlineStr">
        <is>
          <t>LEKSAND</t>
        </is>
      </c>
      <c r="F653" t="inlineStr">
        <is>
          <t>Bergvik skog väst AB</t>
        </is>
      </c>
      <c r="G653" t="n">
        <v>2.8</v>
      </c>
      <c r="H653" t="n">
        <v>0</v>
      </c>
      <c r="I653" t="n">
        <v>0</v>
      </c>
      <c r="J653" t="n">
        <v>0</v>
      </c>
      <c r="K653" t="n">
        <v>0</v>
      </c>
      <c r="L653" t="n">
        <v>0</v>
      </c>
      <c r="M653" t="n">
        <v>0</v>
      </c>
      <c r="N653" t="n">
        <v>0</v>
      </c>
      <c r="O653" t="n">
        <v>0</v>
      </c>
      <c r="P653" t="n">
        <v>0</v>
      </c>
      <c r="Q653" t="n">
        <v>0</v>
      </c>
      <c r="R653" s="2" t="inlineStr"/>
    </row>
    <row r="654" ht="15" customHeight="1">
      <c r="A654" t="inlineStr">
        <is>
          <t>A 34789-2025</t>
        </is>
      </c>
      <c r="B654" s="1" t="n">
        <v>45848</v>
      </c>
      <c r="C654" s="1" t="n">
        <v>45936</v>
      </c>
      <c r="D654" t="inlineStr">
        <is>
          <t>DALARNAS LÄN</t>
        </is>
      </c>
      <c r="E654" t="inlineStr">
        <is>
          <t>LEKSAND</t>
        </is>
      </c>
      <c r="F654" t="inlineStr">
        <is>
          <t>Bergvik skog väst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30196-2023</t>
        </is>
      </c>
      <c r="B655" s="1" t="n">
        <v>45110</v>
      </c>
      <c r="C655" s="1" t="n">
        <v>45936</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34966-2025</t>
        </is>
      </c>
      <c r="B656" s="1" t="n">
        <v>45849</v>
      </c>
      <c r="C656" s="1" t="n">
        <v>45936</v>
      </c>
      <c r="D656" t="inlineStr">
        <is>
          <t>DALARNAS LÄN</t>
        </is>
      </c>
      <c r="E656" t="inlineStr">
        <is>
          <t>LEKSAND</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10833-2023</t>
        </is>
      </c>
      <c r="B657" s="1" t="n">
        <v>44990</v>
      </c>
      <c r="C657" s="1" t="n">
        <v>45936</v>
      </c>
      <c r="D657" t="inlineStr">
        <is>
          <t>DALARNAS LÄN</t>
        </is>
      </c>
      <c r="E657" t="inlineStr">
        <is>
          <t>LEKSAND</t>
        </is>
      </c>
      <c r="G657" t="n">
        <v>1.7</v>
      </c>
      <c r="H657" t="n">
        <v>0</v>
      </c>
      <c r="I657" t="n">
        <v>0</v>
      </c>
      <c r="J657" t="n">
        <v>0</v>
      </c>
      <c r="K657" t="n">
        <v>0</v>
      </c>
      <c r="L657" t="n">
        <v>0</v>
      </c>
      <c r="M657" t="n">
        <v>0</v>
      </c>
      <c r="N657" t="n">
        <v>0</v>
      </c>
      <c r="O657" t="n">
        <v>0</v>
      </c>
      <c r="P657" t="n">
        <v>0</v>
      </c>
      <c r="Q657" t="n">
        <v>0</v>
      </c>
      <c r="R657" s="2" t="inlineStr"/>
    </row>
    <row r="658" ht="15" customHeight="1">
      <c r="A658" t="inlineStr">
        <is>
          <t>A 47121-2021</t>
        </is>
      </c>
      <c r="B658" s="1" t="n">
        <v>44446</v>
      </c>
      <c r="C658" s="1" t="n">
        <v>45936</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36444-2023</t>
        </is>
      </c>
      <c r="B659" s="1" t="n">
        <v>45152.63138888889</v>
      </c>
      <c r="C659" s="1" t="n">
        <v>45936</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21402-2023</t>
        </is>
      </c>
      <c r="B660" s="1" t="n">
        <v>45061</v>
      </c>
      <c r="C660" s="1" t="n">
        <v>45936</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31391-2024</t>
        </is>
      </c>
      <c r="B661" s="1" t="n">
        <v>45505.46616898148</v>
      </c>
      <c r="C661" s="1" t="n">
        <v>45936</v>
      </c>
      <c r="D661" t="inlineStr">
        <is>
          <t>DALARNAS LÄN</t>
        </is>
      </c>
      <c r="E661" t="inlineStr">
        <is>
          <t>LEKSAND</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167-2023</t>
        </is>
      </c>
      <c r="B662" s="1" t="n">
        <v>44918</v>
      </c>
      <c r="C662" s="1" t="n">
        <v>45936</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31850-2024</t>
        </is>
      </c>
      <c r="B663" s="1" t="n">
        <v>45509.67334490741</v>
      </c>
      <c r="C663" s="1" t="n">
        <v>45936</v>
      </c>
      <c r="D663" t="inlineStr">
        <is>
          <t>DALARNAS LÄN</t>
        </is>
      </c>
      <c r="E663" t="inlineStr">
        <is>
          <t>LEKSAND</t>
        </is>
      </c>
      <c r="G663" t="n">
        <v>0.5</v>
      </c>
      <c r="H663" t="n">
        <v>0</v>
      </c>
      <c r="I663" t="n">
        <v>0</v>
      </c>
      <c r="J663" t="n">
        <v>0</v>
      </c>
      <c r="K663" t="n">
        <v>0</v>
      </c>
      <c r="L663" t="n">
        <v>0</v>
      </c>
      <c r="M663" t="n">
        <v>0</v>
      </c>
      <c r="N663" t="n">
        <v>0</v>
      </c>
      <c r="O663" t="n">
        <v>0</v>
      </c>
      <c r="P663" t="n">
        <v>0</v>
      </c>
      <c r="Q663" t="n">
        <v>0</v>
      </c>
      <c r="R663" s="2" t="inlineStr"/>
    </row>
    <row r="664" ht="15" customHeight="1">
      <c r="A664" t="inlineStr">
        <is>
          <t>A 35094-2025</t>
        </is>
      </c>
      <c r="B664" s="1" t="n">
        <v>45852</v>
      </c>
      <c r="C664" s="1" t="n">
        <v>45936</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27244-2023</t>
        </is>
      </c>
      <c r="B665" s="1" t="n">
        <v>45096</v>
      </c>
      <c r="C665" s="1" t="n">
        <v>45936</v>
      </c>
      <c r="D665" t="inlineStr">
        <is>
          <t>DALARNAS LÄN</t>
        </is>
      </c>
      <c r="E665" t="inlineStr">
        <is>
          <t>LEKSAND</t>
        </is>
      </c>
      <c r="G665" t="n">
        <v>5</v>
      </c>
      <c r="H665" t="n">
        <v>0</v>
      </c>
      <c r="I665" t="n">
        <v>0</v>
      </c>
      <c r="J665" t="n">
        <v>0</v>
      </c>
      <c r="K665" t="n">
        <v>0</v>
      </c>
      <c r="L665" t="n">
        <v>0</v>
      </c>
      <c r="M665" t="n">
        <v>0</v>
      </c>
      <c r="N665" t="n">
        <v>0</v>
      </c>
      <c r="O665" t="n">
        <v>0</v>
      </c>
      <c r="P665" t="n">
        <v>0</v>
      </c>
      <c r="Q665" t="n">
        <v>0</v>
      </c>
      <c r="R665" s="2" t="inlineStr"/>
    </row>
    <row r="666" ht="15" customHeight="1">
      <c r="A666" t="inlineStr">
        <is>
          <t>A 40513-2025</t>
        </is>
      </c>
      <c r="B666" s="1" t="n">
        <v>45896.35100694445</v>
      </c>
      <c r="C666" s="1" t="n">
        <v>45936</v>
      </c>
      <c r="D666" t="inlineStr">
        <is>
          <t>DALARNAS LÄN</t>
        </is>
      </c>
      <c r="E666" t="inlineStr">
        <is>
          <t>LEKSAND</t>
        </is>
      </c>
      <c r="G666" t="n">
        <v>7.1</v>
      </c>
      <c r="H666" t="n">
        <v>0</v>
      </c>
      <c r="I666" t="n">
        <v>0</v>
      </c>
      <c r="J666" t="n">
        <v>0</v>
      </c>
      <c r="K666" t="n">
        <v>0</v>
      </c>
      <c r="L666" t="n">
        <v>0</v>
      </c>
      <c r="M666" t="n">
        <v>0</v>
      </c>
      <c r="N666" t="n">
        <v>0</v>
      </c>
      <c r="O666" t="n">
        <v>0</v>
      </c>
      <c r="P666" t="n">
        <v>0</v>
      </c>
      <c r="Q666" t="n">
        <v>0</v>
      </c>
      <c r="R666" s="2" t="inlineStr"/>
    </row>
    <row r="667" ht="15" customHeight="1">
      <c r="A667" t="inlineStr">
        <is>
          <t>A 3183-2025</t>
        </is>
      </c>
      <c r="B667" s="1" t="n">
        <v>45679.40298611111</v>
      </c>
      <c r="C667" s="1" t="n">
        <v>45936</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16592-2023</t>
        </is>
      </c>
      <c r="B668" s="1" t="n">
        <v>45030</v>
      </c>
      <c r="C668" s="1" t="n">
        <v>45936</v>
      </c>
      <c r="D668" t="inlineStr">
        <is>
          <t>DALARNAS LÄN</t>
        </is>
      </c>
      <c r="E668" t="inlineStr">
        <is>
          <t>LEKSAND</t>
        </is>
      </c>
      <c r="G668" t="n">
        <v>11.5</v>
      </c>
      <c r="H668" t="n">
        <v>0</v>
      </c>
      <c r="I668" t="n">
        <v>0</v>
      </c>
      <c r="J668" t="n">
        <v>0</v>
      </c>
      <c r="K668" t="n">
        <v>0</v>
      </c>
      <c r="L668" t="n">
        <v>0</v>
      </c>
      <c r="M668" t="n">
        <v>0</v>
      </c>
      <c r="N668" t="n">
        <v>0</v>
      </c>
      <c r="O668" t="n">
        <v>0</v>
      </c>
      <c r="P668" t="n">
        <v>0</v>
      </c>
      <c r="Q668" t="n">
        <v>0</v>
      </c>
      <c r="R668" s="2" t="inlineStr"/>
    </row>
    <row r="669" ht="15" customHeight="1">
      <c r="A669" t="inlineStr">
        <is>
          <t>A 12290-2024</t>
        </is>
      </c>
      <c r="B669" s="1" t="n">
        <v>45378.57877314815</v>
      </c>
      <c r="C669" s="1" t="n">
        <v>45936</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17606-2024</t>
        </is>
      </c>
      <c r="B670" s="1" t="n">
        <v>45415</v>
      </c>
      <c r="C670" s="1" t="n">
        <v>45936</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39819-2024</t>
        </is>
      </c>
      <c r="B671" s="1" t="n">
        <v>45553.38774305556</v>
      </c>
      <c r="C671" s="1" t="n">
        <v>45936</v>
      </c>
      <c r="D671" t="inlineStr">
        <is>
          <t>DALARNAS LÄN</t>
        </is>
      </c>
      <c r="E671" t="inlineStr">
        <is>
          <t>LEKSAND</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40517-2025</t>
        </is>
      </c>
      <c r="B672" s="1" t="n">
        <v>45896.36368055556</v>
      </c>
      <c r="C672" s="1" t="n">
        <v>45936</v>
      </c>
      <c r="D672" t="inlineStr">
        <is>
          <t>DALARNAS LÄN</t>
        </is>
      </c>
      <c r="E672" t="inlineStr">
        <is>
          <t>LEKSAND</t>
        </is>
      </c>
      <c r="G672" t="n">
        <v>1.6</v>
      </c>
      <c r="H672" t="n">
        <v>0</v>
      </c>
      <c r="I672" t="n">
        <v>0</v>
      </c>
      <c r="J672" t="n">
        <v>0</v>
      </c>
      <c r="K672" t="n">
        <v>0</v>
      </c>
      <c r="L672" t="n">
        <v>0</v>
      </c>
      <c r="M672" t="n">
        <v>0</v>
      </c>
      <c r="N672" t="n">
        <v>0</v>
      </c>
      <c r="O672" t="n">
        <v>0</v>
      </c>
      <c r="P672" t="n">
        <v>0</v>
      </c>
      <c r="Q672" t="n">
        <v>0</v>
      </c>
      <c r="R672" s="2" t="inlineStr"/>
    </row>
    <row r="673" ht="15" customHeight="1">
      <c r="A673" t="inlineStr">
        <is>
          <t>A 36450-2023</t>
        </is>
      </c>
      <c r="B673" s="1" t="n">
        <v>45152.64842592592</v>
      </c>
      <c r="C673" s="1" t="n">
        <v>45936</v>
      </c>
      <c r="D673" t="inlineStr">
        <is>
          <t>DALARNAS LÄN</t>
        </is>
      </c>
      <c r="E673" t="inlineStr">
        <is>
          <t>LEKSAND</t>
        </is>
      </c>
      <c r="G673" t="n">
        <v>2.4</v>
      </c>
      <c r="H673" t="n">
        <v>0</v>
      </c>
      <c r="I673" t="n">
        <v>0</v>
      </c>
      <c r="J673" t="n">
        <v>0</v>
      </c>
      <c r="K673" t="n">
        <v>0</v>
      </c>
      <c r="L673" t="n">
        <v>0</v>
      </c>
      <c r="M673" t="n">
        <v>0</v>
      </c>
      <c r="N673" t="n">
        <v>0</v>
      </c>
      <c r="O673" t="n">
        <v>0</v>
      </c>
      <c r="P673" t="n">
        <v>0</v>
      </c>
      <c r="Q673" t="n">
        <v>0</v>
      </c>
      <c r="R673" s="2" t="inlineStr"/>
    </row>
    <row r="674" ht="15" customHeight="1">
      <c r="A674" t="inlineStr">
        <is>
          <t>A 19559-2023</t>
        </is>
      </c>
      <c r="B674" s="1" t="n">
        <v>45050</v>
      </c>
      <c r="C674" s="1" t="n">
        <v>45936</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48721-2023</t>
        </is>
      </c>
      <c r="B675" s="1" t="n">
        <v>45203</v>
      </c>
      <c r="C675" s="1" t="n">
        <v>45936</v>
      </c>
      <c r="D675" t="inlineStr">
        <is>
          <t>DALARNAS LÄN</t>
        </is>
      </c>
      <c r="E675" t="inlineStr">
        <is>
          <t>LEKSAND</t>
        </is>
      </c>
      <c r="G675" t="n">
        <v>2.9</v>
      </c>
      <c r="H675" t="n">
        <v>0</v>
      </c>
      <c r="I675" t="n">
        <v>0</v>
      </c>
      <c r="J675" t="n">
        <v>0</v>
      </c>
      <c r="K675" t="n">
        <v>0</v>
      </c>
      <c r="L675" t="n">
        <v>0</v>
      </c>
      <c r="M675" t="n">
        <v>0</v>
      </c>
      <c r="N675" t="n">
        <v>0</v>
      </c>
      <c r="O675" t="n">
        <v>0</v>
      </c>
      <c r="P675" t="n">
        <v>0</v>
      </c>
      <c r="Q675" t="n">
        <v>0</v>
      </c>
      <c r="R675" s="2" t="inlineStr"/>
    </row>
    <row r="676" ht="15" customHeight="1">
      <c r="A676" t="inlineStr">
        <is>
          <t>A 43142-2024</t>
        </is>
      </c>
      <c r="B676" s="1" t="n">
        <v>45567.62144675926</v>
      </c>
      <c r="C676" s="1" t="n">
        <v>45936</v>
      </c>
      <c r="D676" t="inlineStr">
        <is>
          <t>DALARNAS LÄN</t>
        </is>
      </c>
      <c r="E676" t="inlineStr">
        <is>
          <t>LEKSAND</t>
        </is>
      </c>
      <c r="F676" t="inlineStr">
        <is>
          <t>Bergvik skog väst AB</t>
        </is>
      </c>
      <c r="G676" t="n">
        <v>2.9</v>
      </c>
      <c r="H676" t="n">
        <v>0</v>
      </c>
      <c r="I676" t="n">
        <v>0</v>
      </c>
      <c r="J676" t="n">
        <v>0</v>
      </c>
      <c r="K676" t="n">
        <v>0</v>
      </c>
      <c r="L676" t="n">
        <v>0</v>
      </c>
      <c r="M676" t="n">
        <v>0</v>
      </c>
      <c r="N676" t="n">
        <v>0</v>
      </c>
      <c r="O676" t="n">
        <v>0</v>
      </c>
      <c r="P676" t="n">
        <v>0</v>
      </c>
      <c r="Q676" t="n">
        <v>0</v>
      </c>
      <c r="R676" s="2" t="inlineStr"/>
    </row>
    <row r="677" ht="15" customHeight="1">
      <c r="A677" t="inlineStr">
        <is>
          <t>A 1984-2025</t>
        </is>
      </c>
      <c r="B677" s="1" t="n">
        <v>45670</v>
      </c>
      <c r="C677" s="1" t="n">
        <v>45936</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1443-2024</t>
        </is>
      </c>
      <c r="B678" s="1" t="n">
        <v>45303</v>
      </c>
      <c r="C678" s="1" t="n">
        <v>45936</v>
      </c>
      <c r="D678" t="inlineStr">
        <is>
          <t>DALARNAS LÄN</t>
        </is>
      </c>
      <c r="E678" t="inlineStr">
        <is>
          <t>LEKSAND</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41487-2025</t>
        </is>
      </c>
      <c r="B679" s="1" t="n">
        <v>45901.4815625</v>
      </c>
      <c r="C679" s="1" t="n">
        <v>45936</v>
      </c>
      <c r="D679" t="inlineStr">
        <is>
          <t>DALARNAS LÄN</t>
        </is>
      </c>
      <c r="E679" t="inlineStr">
        <is>
          <t>LEKSAND</t>
        </is>
      </c>
      <c r="F679" t="inlineStr">
        <is>
          <t>Bergvik skog väst AB</t>
        </is>
      </c>
      <c r="G679" t="n">
        <v>7.3</v>
      </c>
      <c r="H679" t="n">
        <v>0</v>
      </c>
      <c r="I679" t="n">
        <v>0</v>
      </c>
      <c r="J679" t="n">
        <v>0</v>
      </c>
      <c r="K679" t="n">
        <v>0</v>
      </c>
      <c r="L679" t="n">
        <v>0</v>
      </c>
      <c r="M679" t="n">
        <v>0</v>
      </c>
      <c r="N679" t="n">
        <v>0</v>
      </c>
      <c r="O679" t="n">
        <v>0</v>
      </c>
      <c r="P679" t="n">
        <v>0</v>
      </c>
      <c r="Q679" t="n">
        <v>0</v>
      </c>
      <c r="R679" s="2" t="inlineStr"/>
    </row>
    <row r="680" ht="15" customHeight="1">
      <c r="A680" t="inlineStr">
        <is>
          <t>A 41380-2025</t>
        </is>
      </c>
      <c r="B680" s="1" t="n">
        <v>45900.92826388889</v>
      </c>
      <c r="C680" s="1" t="n">
        <v>45936</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41335-2025</t>
        </is>
      </c>
      <c r="B681" s="1" t="n">
        <v>45899.36747685185</v>
      </c>
      <c r="C681" s="1" t="n">
        <v>45936</v>
      </c>
      <c r="D681" t="inlineStr">
        <is>
          <t>DALARNAS LÄN</t>
        </is>
      </c>
      <c r="E681" t="inlineStr">
        <is>
          <t>LEKSAND</t>
        </is>
      </c>
      <c r="G681" t="n">
        <v>5.9</v>
      </c>
      <c r="H681" t="n">
        <v>0</v>
      </c>
      <c r="I681" t="n">
        <v>0</v>
      </c>
      <c r="J681" t="n">
        <v>0</v>
      </c>
      <c r="K681" t="n">
        <v>0</v>
      </c>
      <c r="L681" t="n">
        <v>0</v>
      </c>
      <c r="M681" t="n">
        <v>0</v>
      </c>
      <c r="N681" t="n">
        <v>0</v>
      </c>
      <c r="O681" t="n">
        <v>0</v>
      </c>
      <c r="P681" t="n">
        <v>0</v>
      </c>
      <c r="Q681" t="n">
        <v>0</v>
      </c>
      <c r="R681" s="2" t="inlineStr"/>
    </row>
    <row r="682" ht="15" customHeight="1">
      <c r="A682" t="inlineStr">
        <is>
          <t>A 13705-2021</t>
        </is>
      </c>
      <c r="B682" s="1" t="n">
        <v>44274</v>
      </c>
      <c r="C682" s="1" t="n">
        <v>45936</v>
      </c>
      <c r="D682" t="inlineStr">
        <is>
          <t>DALARNAS LÄN</t>
        </is>
      </c>
      <c r="E682" t="inlineStr">
        <is>
          <t>LEKSAND</t>
        </is>
      </c>
      <c r="G682" t="n">
        <v>3.8</v>
      </c>
      <c r="H682" t="n">
        <v>0</v>
      </c>
      <c r="I682" t="n">
        <v>0</v>
      </c>
      <c r="J682" t="n">
        <v>0</v>
      </c>
      <c r="K682" t="n">
        <v>0</v>
      </c>
      <c r="L682" t="n">
        <v>0</v>
      </c>
      <c r="M682" t="n">
        <v>0</v>
      </c>
      <c r="N682" t="n">
        <v>0</v>
      </c>
      <c r="O682" t="n">
        <v>0</v>
      </c>
      <c r="P682" t="n">
        <v>0</v>
      </c>
      <c r="Q682" t="n">
        <v>0</v>
      </c>
      <c r="R682" s="2" t="inlineStr"/>
    </row>
    <row r="683" ht="15" customHeight="1">
      <c r="A683" t="inlineStr">
        <is>
          <t>A 27446-2024</t>
        </is>
      </c>
      <c r="B683" s="1" t="n">
        <v>45474.42671296297</v>
      </c>
      <c r="C683" s="1" t="n">
        <v>45936</v>
      </c>
      <c r="D683" t="inlineStr">
        <is>
          <t>DALARNAS LÄN</t>
        </is>
      </c>
      <c r="E683" t="inlineStr">
        <is>
          <t>LEKSAND</t>
        </is>
      </c>
      <c r="G683" t="n">
        <v>2.9</v>
      </c>
      <c r="H683" t="n">
        <v>0</v>
      </c>
      <c r="I683" t="n">
        <v>0</v>
      </c>
      <c r="J683" t="n">
        <v>0</v>
      </c>
      <c r="K683" t="n">
        <v>0</v>
      </c>
      <c r="L683" t="n">
        <v>0</v>
      </c>
      <c r="M683" t="n">
        <v>0</v>
      </c>
      <c r="N683" t="n">
        <v>0</v>
      </c>
      <c r="O683" t="n">
        <v>0</v>
      </c>
      <c r="P683" t="n">
        <v>0</v>
      </c>
      <c r="Q683" t="n">
        <v>0</v>
      </c>
      <c r="R683" s="2" t="inlineStr"/>
    </row>
    <row r="684" ht="15" customHeight="1">
      <c r="A684" t="inlineStr">
        <is>
          <t>A 41248-2025</t>
        </is>
      </c>
      <c r="B684" s="1" t="n">
        <v>45898.60199074074</v>
      </c>
      <c r="C684" s="1" t="n">
        <v>45936</v>
      </c>
      <c r="D684" t="inlineStr">
        <is>
          <t>DALARNAS LÄN</t>
        </is>
      </c>
      <c r="E684" t="inlineStr">
        <is>
          <t>LEKSAND</t>
        </is>
      </c>
      <c r="F684" t="inlineStr">
        <is>
          <t>Bergvik skog väst AB</t>
        </is>
      </c>
      <c r="G684" t="n">
        <v>2.5</v>
      </c>
      <c r="H684" t="n">
        <v>0</v>
      </c>
      <c r="I684" t="n">
        <v>0</v>
      </c>
      <c r="J684" t="n">
        <v>0</v>
      </c>
      <c r="K684" t="n">
        <v>0</v>
      </c>
      <c r="L684" t="n">
        <v>0</v>
      </c>
      <c r="M684" t="n">
        <v>0</v>
      </c>
      <c r="N684" t="n">
        <v>0</v>
      </c>
      <c r="O684" t="n">
        <v>0</v>
      </c>
      <c r="P684" t="n">
        <v>0</v>
      </c>
      <c r="Q684" t="n">
        <v>0</v>
      </c>
      <c r="R684" s="2" t="inlineStr"/>
    </row>
    <row r="685" ht="15" customHeight="1">
      <c r="A685" t="inlineStr">
        <is>
          <t>A 41237-2025</t>
        </is>
      </c>
      <c r="B685" s="1" t="n">
        <v>45898.59570601852</v>
      </c>
      <c r="C685" s="1" t="n">
        <v>45936</v>
      </c>
      <c r="D685" t="inlineStr">
        <is>
          <t>DALARNAS LÄN</t>
        </is>
      </c>
      <c r="E685" t="inlineStr">
        <is>
          <t>LEKSAND</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53817-2023</t>
        </is>
      </c>
      <c r="B686" s="1" t="n">
        <v>45231.40488425926</v>
      </c>
      <c r="C686" s="1" t="n">
        <v>45936</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35866-2025</t>
        </is>
      </c>
      <c r="B687" s="1" t="n">
        <v>45861</v>
      </c>
      <c r="C687" s="1" t="n">
        <v>45936</v>
      </c>
      <c r="D687" t="inlineStr">
        <is>
          <t>DALARNAS LÄN</t>
        </is>
      </c>
      <c r="E687" t="inlineStr">
        <is>
          <t>LEKSAND</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35746-2025</t>
        </is>
      </c>
      <c r="B688" s="1" t="n">
        <v>45860</v>
      </c>
      <c r="C688" s="1" t="n">
        <v>45936</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41934-2025</t>
        </is>
      </c>
      <c r="B689" s="1" t="n">
        <v>45903.43556712963</v>
      </c>
      <c r="C689" s="1" t="n">
        <v>45936</v>
      </c>
      <c r="D689" t="inlineStr">
        <is>
          <t>DALARNAS LÄN</t>
        </is>
      </c>
      <c r="E689" t="inlineStr">
        <is>
          <t>LEKSAND</t>
        </is>
      </c>
      <c r="F689" t="inlineStr">
        <is>
          <t>Bergvik skog väst AB</t>
        </is>
      </c>
      <c r="G689" t="n">
        <v>3</v>
      </c>
      <c r="H689" t="n">
        <v>0</v>
      </c>
      <c r="I689" t="n">
        <v>0</v>
      </c>
      <c r="J689" t="n">
        <v>0</v>
      </c>
      <c r="K689" t="n">
        <v>0</v>
      </c>
      <c r="L689" t="n">
        <v>0</v>
      </c>
      <c r="M689" t="n">
        <v>0</v>
      </c>
      <c r="N689" t="n">
        <v>0</v>
      </c>
      <c r="O689" t="n">
        <v>0</v>
      </c>
      <c r="P689" t="n">
        <v>0</v>
      </c>
      <c r="Q689" t="n">
        <v>0</v>
      </c>
      <c r="R689" s="2" t="inlineStr"/>
    </row>
    <row r="690" ht="15" customHeight="1">
      <c r="A690" t="inlineStr">
        <is>
          <t>A 62993-2023</t>
        </is>
      </c>
      <c r="B690" s="1" t="n">
        <v>45272</v>
      </c>
      <c r="C690" s="1" t="n">
        <v>45936</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42402-2025</t>
        </is>
      </c>
      <c r="B691" s="1" t="n">
        <v>45905.3753125</v>
      </c>
      <c r="C691" s="1" t="n">
        <v>45936</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17455-2022</t>
        </is>
      </c>
      <c r="B692" s="1" t="n">
        <v>44679.3775</v>
      </c>
      <c r="C692" s="1" t="n">
        <v>45936</v>
      </c>
      <c r="D692" t="inlineStr">
        <is>
          <t>DALARNAS LÄN</t>
        </is>
      </c>
      <c r="E692" t="inlineStr">
        <is>
          <t>LEKSAND</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36020-2025</t>
        </is>
      </c>
      <c r="B693" s="1" t="n">
        <v>45863</v>
      </c>
      <c r="C693" s="1" t="n">
        <v>45936</v>
      </c>
      <c r="D693" t="inlineStr">
        <is>
          <t>DALARNAS LÄN</t>
        </is>
      </c>
      <c r="E693" t="inlineStr">
        <is>
          <t>LEKSAND</t>
        </is>
      </c>
      <c r="F693" t="inlineStr">
        <is>
          <t>Bergvik skog väst AB</t>
        </is>
      </c>
      <c r="G693" t="n">
        <v>2.8</v>
      </c>
      <c r="H693" t="n">
        <v>0</v>
      </c>
      <c r="I693" t="n">
        <v>0</v>
      </c>
      <c r="J693" t="n">
        <v>0</v>
      </c>
      <c r="K693" t="n">
        <v>0</v>
      </c>
      <c r="L693" t="n">
        <v>0</v>
      </c>
      <c r="M693" t="n">
        <v>0</v>
      </c>
      <c r="N693" t="n">
        <v>0</v>
      </c>
      <c r="O693" t="n">
        <v>0</v>
      </c>
      <c r="P693" t="n">
        <v>0</v>
      </c>
      <c r="Q693" t="n">
        <v>0</v>
      </c>
      <c r="R693" s="2" t="inlineStr"/>
    </row>
    <row r="694" ht="15" customHeight="1">
      <c r="A694" t="inlineStr">
        <is>
          <t>A 42284-2025</t>
        </is>
      </c>
      <c r="B694" s="1" t="n">
        <v>45903</v>
      </c>
      <c r="C694" s="1" t="n">
        <v>45936</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36017-2025</t>
        </is>
      </c>
      <c r="B695" s="1" t="n">
        <v>45863</v>
      </c>
      <c r="C695" s="1" t="n">
        <v>45936</v>
      </c>
      <c r="D695" t="inlineStr">
        <is>
          <t>DALARNAS LÄN</t>
        </is>
      </c>
      <c r="E695" t="inlineStr">
        <is>
          <t>LEKSAND</t>
        </is>
      </c>
      <c r="F695" t="inlineStr">
        <is>
          <t>Bergvik skog väst AB</t>
        </is>
      </c>
      <c r="G695" t="n">
        <v>17.9</v>
      </c>
      <c r="H695" t="n">
        <v>0</v>
      </c>
      <c r="I695" t="n">
        <v>0</v>
      </c>
      <c r="J695" t="n">
        <v>0</v>
      </c>
      <c r="K695" t="n">
        <v>0</v>
      </c>
      <c r="L695" t="n">
        <v>0</v>
      </c>
      <c r="M695" t="n">
        <v>0</v>
      </c>
      <c r="N695" t="n">
        <v>0</v>
      </c>
      <c r="O695" t="n">
        <v>0</v>
      </c>
      <c r="P695" t="n">
        <v>0</v>
      </c>
      <c r="Q695" t="n">
        <v>0</v>
      </c>
      <c r="R695" s="2" t="inlineStr"/>
    </row>
    <row r="696" ht="15" customHeight="1">
      <c r="A696" t="inlineStr">
        <is>
          <t>A 35998-2025</t>
        </is>
      </c>
      <c r="B696" s="1" t="n">
        <v>45863.51550925926</v>
      </c>
      <c r="C696" s="1" t="n">
        <v>45936</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36021-2025</t>
        </is>
      </c>
      <c r="B697" s="1" t="n">
        <v>45863.72346064815</v>
      </c>
      <c r="C697" s="1" t="n">
        <v>45936</v>
      </c>
      <c r="D697" t="inlineStr">
        <is>
          <t>DALARNAS LÄN</t>
        </is>
      </c>
      <c r="E697" t="inlineStr">
        <is>
          <t>LEKSAND</t>
        </is>
      </c>
      <c r="G697" t="n">
        <v>1.9</v>
      </c>
      <c r="H697" t="n">
        <v>0</v>
      </c>
      <c r="I697" t="n">
        <v>0</v>
      </c>
      <c r="J697" t="n">
        <v>0</v>
      </c>
      <c r="K697" t="n">
        <v>0</v>
      </c>
      <c r="L697" t="n">
        <v>0</v>
      </c>
      <c r="M697" t="n">
        <v>0</v>
      </c>
      <c r="N697" t="n">
        <v>0</v>
      </c>
      <c r="O697" t="n">
        <v>0</v>
      </c>
      <c r="P697" t="n">
        <v>0</v>
      </c>
      <c r="Q697" t="n">
        <v>0</v>
      </c>
      <c r="R697" s="2" t="inlineStr"/>
    </row>
    <row r="698" ht="15" customHeight="1">
      <c r="A698" t="inlineStr">
        <is>
          <t>A 7417-2024</t>
        </is>
      </c>
      <c r="B698" s="1" t="n">
        <v>45345.62378472222</v>
      </c>
      <c r="C698" s="1" t="n">
        <v>45936</v>
      </c>
      <c r="D698" t="inlineStr">
        <is>
          <t>DALARNAS LÄN</t>
        </is>
      </c>
      <c r="E698" t="inlineStr">
        <is>
          <t>LEKSAND</t>
        </is>
      </c>
      <c r="G698" t="n">
        <v>2.8</v>
      </c>
      <c r="H698" t="n">
        <v>0</v>
      </c>
      <c r="I698" t="n">
        <v>0</v>
      </c>
      <c r="J698" t="n">
        <v>0</v>
      </c>
      <c r="K698" t="n">
        <v>0</v>
      </c>
      <c r="L698" t="n">
        <v>0</v>
      </c>
      <c r="M698" t="n">
        <v>0</v>
      </c>
      <c r="N698" t="n">
        <v>0</v>
      </c>
      <c r="O698" t="n">
        <v>0</v>
      </c>
      <c r="P698" t="n">
        <v>0</v>
      </c>
      <c r="Q698" t="n">
        <v>0</v>
      </c>
      <c r="R698" s="2" t="inlineStr"/>
    </row>
    <row r="699" ht="15" customHeight="1">
      <c r="A699" t="inlineStr">
        <is>
          <t>A 36190-2025</t>
        </is>
      </c>
      <c r="B699" s="1" t="n">
        <v>45867</v>
      </c>
      <c r="C699" s="1" t="n">
        <v>45936</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41169-2024</t>
        </is>
      </c>
      <c r="B700" s="1" t="n">
        <v>45559.48637731482</v>
      </c>
      <c r="C700" s="1" t="n">
        <v>45936</v>
      </c>
      <c r="D700" t="inlineStr">
        <is>
          <t>DALARNAS LÄN</t>
        </is>
      </c>
      <c r="E700" t="inlineStr">
        <is>
          <t>LEKSAND</t>
        </is>
      </c>
      <c r="G700" t="n">
        <v>8.9</v>
      </c>
      <c r="H700" t="n">
        <v>0</v>
      </c>
      <c r="I700" t="n">
        <v>0</v>
      </c>
      <c r="J700" t="n">
        <v>0</v>
      </c>
      <c r="K700" t="n">
        <v>0</v>
      </c>
      <c r="L700" t="n">
        <v>0</v>
      </c>
      <c r="M700" t="n">
        <v>0</v>
      </c>
      <c r="N700" t="n">
        <v>0</v>
      </c>
      <c r="O700" t="n">
        <v>0</v>
      </c>
      <c r="P700" t="n">
        <v>0</v>
      </c>
      <c r="Q700" t="n">
        <v>0</v>
      </c>
      <c r="R700" s="2" t="inlineStr"/>
    </row>
    <row r="701" ht="15" customHeight="1">
      <c r="A701" t="inlineStr">
        <is>
          <t>A 5574-2024</t>
        </is>
      </c>
      <c r="B701" s="1" t="n">
        <v>45334</v>
      </c>
      <c r="C701" s="1" t="n">
        <v>45936</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43629-2025</t>
        </is>
      </c>
      <c r="B702" s="1" t="n">
        <v>45911.70180555555</v>
      </c>
      <c r="C702" s="1" t="n">
        <v>45936</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4121-2024</t>
        </is>
      </c>
      <c r="B703" s="1" t="n">
        <v>45323</v>
      </c>
      <c r="C703" s="1" t="n">
        <v>45936</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43607-2025</t>
        </is>
      </c>
      <c r="B704" s="1" t="n">
        <v>45911.66873842593</v>
      </c>
      <c r="C704" s="1" t="n">
        <v>45936</v>
      </c>
      <c r="D704" t="inlineStr">
        <is>
          <t>DALARNAS LÄN</t>
        </is>
      </c>
      <c r="E704" t="inlineStr">
        <is>
          <t>LEKSAND</t>
        </is>
      </c>
      <c r="G704" t="n">
        <v>7.3</v>
      </c>
      <c r="H704" t="n">
        <v>0</v>
      </c>
      <c r="I704" t="n">
        <v>0</v>
      </c>
      <c r="J704" t="n">
        <v>0</v>
      </c>
      <c r="K704" t="n">
        <v>0</v>
      </c>
      <c r="L704" t="n">
        <v>0</v>
      </c>
      <c r="M704" t="n">
        <v>0</v>
      </c>
      <c r="N704" t="n">
        <v>0</v>
      </c>
      <c r="O704" t="n">
        <v>0</v>
      </c>
      <c r="P704" t="n">
        <v>0</v>
      </c>
      <c r="Q704" t="n">
        <v>0</v>
      </c>
      <c r="R704" s="2" t="inlineStr"/>
    </row>
    <row r="705" ht="15" customHeight="1">
      <c r="A705" t="inlineStr">
        <is>
          <t>A 43158-2025</t>
        </is>
      </c>
      <c r="B705" s="1" t="n">
        <v>45910.35496527778</v>
      </c>
      <c r="C705" s="1" t="n">
        <v>45936</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43628-2025</t>
        </is>
      </c>
      <c r="B706" s="1" t="n">
        <v>45911.70060185185</v>
      </c>
      <c r="C706" s="1" t="n">
        <v>45936</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43630-2025</t>
        </is>
      </c>
      <c r="B707" s="1" t="n">
        <v>45911.70278935185</v>
      </c>
      <c r="C707" s="1" t="n">
        <v>45936</v>
      </c>
      <c r="D707" t="inlineStr">
        <is>
          <t>DALARNAS LÄN</t>
        </is>
      </c>
      <c r="E707" t="inlineStr">
        <is>
          <t>LEKSAND</t>
        </is>
      </c>
      <c r="G707" t="n">
        <v>4.7</v>
      </c>
      <c r="H707" t="n">
        <v>0</v>
      </c>
      <c r="I707" t="n">
        <v>0</v>
      </c>
      <c r="J707" t="n">
        <v>0</v>
      </c>
      <c r="K707" t="n">
        <v>0</v>
      </c>
      <c r="L707" t="n">
        <v>0</v>
      </c>
      <c r="M707" t="n">
        <v>0</v>
      </c>
      <c r="N707" t="n">
        <v>0</v>
      </c>
      <c r="O707" t="n">
        <v>0</v>
      </c>
      <c r="P707" t="n">
        <v>0</v>
      </c>
      <c r="Q707" t="n">
        <v>0</v>
      </c>
      <c r="R707" s="2" t="inlineStr"/>
    </row>
    <row r="708" ht="15" customHeight="1">
      <c r="A708" t="inlineStr">
        <is>
          <t>A 36540-2025</t>
        </is>
      </c>
      <c r="B708" s="1" t="n">
        <v>45869.63885416667</v>
      </c>
      <c r="C708" s="1" t="n">
        <v>45936</v>
      </c>
      <c r="D708" t="inlineStr">
        <is>
          <t>DALARNAS LÄN</t>
        </is>
      </c>
      <c r="E708" t="inlineStr">
        <is>
          <t>LEKSAND</t>
        </is>
      </c>
      <c r="G708" t="n">
        <v>0.6</v>
      </c>
      <c r="H708" t="n">
        <v>0</v>
      </c>
      <c r="I708" t="n">
        <v>0</v>
      </c>
      <c r="J708" t="n">
        <v>0</v>
      </c>
      <c r="K708" t="n">
        <v>0</v>
      </c>
      <c r="L708" t="n">
        <v>0</v>
      </c>
      <c r="M708" t="n">
        <v>0</v>
      </c>
      <c r="N708" t="n">
        <v>0</v>
      </c>
      <c r="O708" t="n">
        <v>0</v>
      </c>
      <c r="P708" t="n">
        <v>0</v>
      </c>
      <c r="Q708" t="n">
        <v>0</v>
      </c>
      <c r="R708" s="2" t="inlineStr"/>
    </row>
    <row r="709" ht="15" customHeight="1">
      <c r="A709" t="inlineStr">
        <is>
          <t>A 57665-2023</t>
        </is>
      </c>
      <c r="B709" s="1" t="n">
        <v>45246</v>
      </c>
      <c r="C709" s="1" t="n">
        <v>45936</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43195-2025</t>
        </is>
      </c>
      <c r="B710" s="1" t="n">
        <v>45910.4294212963</v>
      </c>
      <c r="C710" s="1" t="n">
        <v>45936</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30858-2024</t>
        </is>
      </c>
      <c r="B711" s="1" t="n">
        <v>45497.67601851852</v>
      </c>
      <c r="C711" s="1" t="n">
        <v>45936</v>
      </c>
      <c r="D711" t="inlineStr">
        <is>
          <t>DALARNAS LÄN</t>
        </is>
      </c>
      <c r="E711" t="inlineStr">
        <is>
          <t>LEKSAND</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41308-2025</t>
        </is>
      </c>
      <c r="B712" s="1" t="n">
        <v>45898</v>
      </c>
      <c r="C712" s="1" t="n">
        <v>45936</v>
      </c>
      <c r="D712" t="inlineStr">
        <is>
          <t>DALARNAS LÄN</t>
        </is>
      </c>
      <c r="E712" t="inlineStr">
        <is>
          <t>LEKSAND</t>
        </is>
      </c>
      <c r="F712" t="inlineStr">
        <is>
          <t>Bergvik skog väst AB</t>
        </is>
      </c>
      <c r="G712" t="n">
        <v>6.7</v>
      </c>
      <c r="H712" t="n">
        <v>0</v>
      </c>
      <c r="I712" t="n">
        <v>0</v>
      </c>
      <c r="J712" t="n">
        <v>0</v>
      </c>
      <c r="K712" t="n">
        <v>0</v>
      </c>
      <c r="L712" t="n">
        <v>0</v>
      </c>
      <c r="M712" t="n">
        <v>0</v>
      </c>
      <c r="N712" t="n">
        <v>0</v>
      </c>
      <c r="O712" t="n">
        <v>0</v>
      </c>
      <c r="P712" t="n">
        <v>0</v>
      </c>
      <c r="Q712" t="n">
        <v>0</v>
      </c>
      <c r="R712" s="2" t="inlineStr"/>
    </row>
    <row r="713" ht="15" customHeight="1">
      <c r="A713" t="inlineStr">
        <is>
          <t>A 43875-2025</t>
        </is>
      </c>
      <c r="B713" s="1" t="n">
        <v>45912.67685185185</v>
      </c>
      <c r="C713" s="1" t="n">
        <v>45936</v>
      </c>
      <c r="D713" t="inlineStr">
        <is>
          <t>DALARNAS LÄN</t>
        </is>
      </c>
      <c r="E713" t="inlineStr">
        <is>
          <t>LEKSAND</t>
        </is>
      </c>
      <c r="G713" t="n">
        <v>1.7</v>
      </c>
      <c r="H713" t="n">
        <v>0</v>
      </c>
      <c r="I713" t="n">
        <v>0</v>
      </c>
      <c r="J713" t="n">
        <v>0</v>
      </c>
      <c r="K713" t="n">
        <v>0</v>
      </c>
      <c r="L713" t="n">
        <v>0</v>
      </c>
      <c r="M713" t="n">
        <v>0</v>
      </c>
      <c r="N713" t="n">
        <v>0</v>
      </c>
      <c r="O713" t="n">
        <v>0</v>
      </c>
      <c r="P713" t="n">
        <v>0</v>
      </c>
      <c r="Q713" t="n">
        <v>0</v>
      </c>
      <c r="R713" s="2" t="inlineStr"/>
    </row>
    <row r="714" ht="15" customHeight="1">
      <c r="A714" t="inlineStr">
        <is>
          <t>A 25921-2024</t>
        </is>
      </c>
      <c r="B714" s="1" t="n">
        <v>45467.6053587963</v>
      </c>
      <c r="C714" s="1" t="n">
        <v>45936</v>
      </c>
      <c r="D714" t="inlineStr">
        <is>
          <t>DALARNAS LÄN</t>
        </is>
      </c>
      <c r="E714" t="inlineStr">
        <is>
          <t>LEKSAND</t>
        </is>
      </c>
      <c r="G714" t="n">
        <v>2.8</v>
      </c>
      <c r="H714" t="n">
        <v>0</v>
      </c>
      <c r="I714" t="n">
        <v>0</v>
      </c>
      <c r="J714" t="n">
        <v>0</v>
      </c>
      <c r="K714" t="n">
        <v>0</v>
      </c>
      <c r="L714" t="n">
        <v>0</v>
      </c>
      <c r="M714" t="n">
        <v>0</v>
      </c>
      <c r="N714" t="n">
        <v>0</v>
      </c>
      <c r="O714" t="n">
        <v>0</v>
      </c>
      <c r="P714" t="n">
        <v>0</v>
      </c>
      <c r="Q714" t="n">
        <v>0</v>
      </c>
      <c r="R714" s="2" t="inlineStr"/>
    </row>
    <row r="715">
      <c r="A715" t="inlineStr">
        <is>
          <t>A 41306-2024</t>
        </is>
      </c>
      <c r="B715" s="1" t="n">
        <v>45559.62550925926</v>
      </c>
      <c r="C715" s="1" t="n">
        <v>45936</v>
      </c>
      <c r="D715" t="inlineStr">
        <is>
          <t>DALARNAS LÄN</t>
        </is>
      </c>
      <c r="E715" t="inlineStr">
        <is>
          <t>LEKSAND</t>
        </is>
      </c>
      <c r="G715" t="n">
        <v>0.5</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2025-10-06T12:33:21Z</dcterms:created>
  <dcterms:modified xmlns:dcterms="http://purl.org/dc/terms/" xmlns:xsi="http://www.w3.org/2001/XMLSchema-instance" xsi:type="dcterms:W3CDTF">2025-10-06T12:33:21Z</dcterms:modified>
</cp:coreProperties>
</file>