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45904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45904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45904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45904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45904</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45904</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45904</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45904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45904</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45904</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45904</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45904</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45904</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45904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45904</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45904</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31124-2024</t>
        </is>
      </c>
      <c r="B29" s="1" t="n">
        <v>45502.62886574074</v>
      </c>
      <c r="C29" s="1" t="n">
        <v>45904</v>
      </c>
      <c r="D29" t="inlineStr">
        <is>
          <t>DALARNAS LÄN</t>
        </is>
      </c>
      <c r="E29" t="inlineStr">
        <is>
          <t>LEKSAND</t>
        </is>
      </c>
      <c r="G29" t="n">
        <v>1.9</v>
      </c>
      <c r="H29" t="n">
        <v>1</v>
      </c>
      <c r="I29" t="n">
        <v>0</v>
      </c>
      <c r="J29" t="n">
        <v>0</v>
      </c>
      <c r="K29" t="n">
        <v>1</v>
      </c>
      <c r="L29" t="n">
        <v>0</v>
      </c>
      <c r="M29" t="n">
        <v>0</v>
      </c>
      <c r="N29" t="n">
        <v>0</v>
      </c>
      <c r="O29" t="n">
        <v>1</v>
      </c>
      <c r="P29" t="n">
        <v>1</v>
      </c>
      <c r="Q29" t="n">
        <v>1</v>
      </c>
      <c r="R29" s="2" t="inlineStr">
        <is>
          <t>Väddnätfjäril</t>
        </is>
      </c>
      <c r="S29">
        <f>HYPERLINK("https://klasma.github.io/Logging_2029/artfynd/A 31124-2024 artfynd.xlsx", "A 31124-2024")</f>
        <v/>
      </c>
      <c r="T29">
        <f>HYPERLINK("https://klasma.github.io/Logging_2029/kartor/A 31124-2024 karta.png", "A 31124-2024")</f>
        <v/>
      </c>
      <c r="V29">
        <f>HYPERLINK("https://klasma.github.io/Logging_2029/klagomål/A 31124-2024 FSC-klagomål.docx", "A 31124-2024")</f>
        <v/>
      </c>
      <c r="W29">
        <f>HYPERLINK("https://klasma.github.io/Logging_2029/klagomålsmail/A 31124-2024 FSC-klagomål mail.docx", "A 31124-2024")</f>
        <v/>
      </c>
      <c r="X29">
        <f>HYPERLINK("https://klasma.github.io/Logging_2029/tillsyn/A 31124-2024 tillsynsbegäran.docx", "A 31124-2024")</f>
        <v/>
      </c>
      <c r="Y29">
        <f>HYPERLINK("https://klasma.github.io/Logging_2029/tillsynsmail/A 31124-2024 tillsynsbegäran mail.docx", "A 31124-2024")</f>
        <v/>
      </c>
    </row>
    <row r="30" ht="15" customHeight="1">
      <c r="A30" t="inlineStr">
        <is>
          <t>A 4974-2025</t>
        </is>
      </c>
      <c r="B30" s="1" t="n">
        <v>45690.8478587963</v>
      </c>
      <c r="C30" s="1" t="n">
        <v>45904</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31951-2025</t>
        </is>
      </c>
      <c r="B31" s="1" t="n">
        <v>45835.33481481481</v>
      </c>
      <c r="C31" s="1" t="n">
        <v>45904</v>
      </c>
      <c r="D31" t="inlineStr">
        <is>
          <t>DALARNAS LÄN</t>
        </is>
      </c>
      <c r="E31" t="inlineStr">
        <is>
          <t>LEKSAND</t>
        </is>
      </c>
      <c r="G31" t="n">
        <v>6.6</v>
      </c>
      <c r="H31" t="n">
        <v>1</v>
      </c>
      <c r="I31" t="n">
        <v>0</v>
      </c>
      <c r="J31" t="n">
        <v>0</v>
      </c>
      <c r="K31" t="n">
        <v>0</v>
      </c>
      <c r="L31" t="n">
        <v>0</v>
      </c>
      <c r="M31" t="n">
        <v>0</v>
      </c>
      <c r="N31" t="n">
        <v>0</v>
      </c>
      <c r="O31" t="n">
        <v>0</v>
      </c>
      <c r="P31" t="n">
        <v>0</v>
      </c>
      <c r="Q31" t="n">
        <v>1</v>
      </c>
      <c r="R31" s="2" t="inlineStr">
        <is>
          <t>Tjäder</t>
        </is>
      </c>
      <c r="S31">
        <f>HYPERLINK("https://klasma.github.io/Logging_2029/artfynd/A 31951-2025 artfynd.xlsx", "A 31951-2025")</f>
        <v/>
      </c>
      <c r="T31">
        <f>HYPERLINK("https://klasma.github.io/Logging_2029/kartor/A 31951-2025 karta.png", "A 31951-2025")</f>
        <v/>
      </c>
      <c r="V31">
        <f>HYPERLINK("https://klasma.github.io/Logging_2029/klagomål/A 31951-2025 FSC-klagomål.docx", "A 31951-2025")</f>
        <v/>
      </c>
      <c r="W31">
        <f>HYPERLINK("https://klasma.github.io/Logging_2029/klagomålsmail/A 31951-2025 FSC-klagomål mail.docx", "A 31951-2025")</f>
        <v/>
      </c>
      <c r="X31">
        <f>HYPERLINK("https://klasma.github.io/Logging_2029/tillsyn/A 31951-2025 tillsynsbegäran.docx", "A 31951-2025")</f>
        <v/>
      </c>
      <c r="Y31">
        <f>HYPERLINK("https://klasma.github.io/Logging_2029/tillsynsmail/A 31951-2025 tillsynsbegäran mail.docx", "A 31951-2025")</f>
        <v/>
      </c>
      <c r="Z31">
        <f>HYPERLINK("https://klasma.github.io/Logging_2029/fåglar/A 31951-2025 prioriterade fågelarter.docx", "A 31951-2025")</f>
        <v/>
      </c>
    </row>
    <row r="32" ht="15" customHeight="1">
      <c r="A32" t="inlineStr">
        <is>
          <t>A 36778-2025</t>
        </is>
      </c>
      <c r="B32" s="1" t="n">
        <v>45873</v>
      </c>
      <c r="C32" s="1" t="n">
        <v>45904</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41873-2022</t>
        </is>
      </c>
      <c r="B33" s="1" t="n">
        <v>44829</v>
      </c>
      <c r="C33" s="1" t="n">
        <v>45904</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55633-2024</t>
        </is>
      </c>
      <c r="B34" s="1" t="n">
        <v>45621</v>
      </c>
      <c r="C34" s="1" t="n">
        <v>45904</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34993-2025</t>
        </is>
      </c>
      <c r="B35" s="1" t="n">
        <v>45849.82383101852</v>
      </c>
      <c r="C35" s="1" t="n">
        <v>45904</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45904</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164-2024</t>
        </is>
      </c>
      <c r="B37" s="1" t="n">
        <v>45294.49954861111</v>
      </c>
      <c r="C37" s="1" t="n">
        <v>45904</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6029-2025</t>
        </is>
      </c>
      <c r="B38" s="1" t="n">
        <v>45695</v>
      </c>
      <c r="C38" s="1" t="n">
        <v>45904</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45904</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45904</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16735-2025</t>
        </is>
      </c>
      <c r="B41" s="1" t="n">
        <v>45754.54314814815</v>
      </c>
      <c r="C41" s="1" t="n">
        <v>45904</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45904</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53633-2024</t>
        </is>
      </c>
      <c r="B43" s="1" t="n">
        <v>45614.83726851852</v>
      </c>
      <c r="C43" s="1" t="n">
        <v>45904</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52600-2024</t>
        </is>
      </c>
      <c r="B44" s="1" t="n">
        <v>45609</v>
      </c>
      <c r="C44" s="1" t="n">
        <v>45904</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45904</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45904</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45904</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45904</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45904</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45904</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45904</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45904</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64109-2020</t>
        </is>
      </c>
      <c r="B53" s="1" t="n">
        <v>44167</v>
      </c>
      <c r="C53" s="1" t="n">
        <v>45904</v>
      </c>
      <c r="D53" t="inlineStr">
        <is>
          <t>DALARNAS LÄN</t>
        </is>
      </c>
      <c r="E53" t="inlineStr">
        <is>
          <t>LEKSAND</t>
        </is>
      </c>
      <c r="G53" t="n">
        <v>2.7</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45904</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45904</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45904</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45904</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45904</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45904</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45904</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45904</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45904</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45904</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45904</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45904</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45904</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45904</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45904</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45904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45904</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45904</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45904</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45904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45904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45904</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45904</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45904</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45904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45904</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45904</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45904</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45904</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72155-2021</t>
        </is>
      </c>
      <c r="B83" s="1" t="n">
        <v>44543</v>
      </c>
      <c r="C83" s="1" t="n">
        <v>45904</v>
      </c>
      <c r="D83" t="inlineStr">
        <is>
          <t>DALARNAS LÄN</t>
        </is>
      </c>
      <c r="E83" t="inlineStr">
        <is>
          <t>LEKSAND</t>
        </is>
      </c>
      <c r="G83" t="n">
        <v>2.5</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45904</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45904</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47069-2020</t>
        </is>
      </c>
      <c r="B86" s="1" t="n">
        <v>44096</v>
      </c>
      <c r="C86" s="1" t="n">
        <v>45904</v>
      </c>
      <c r="D86" t="inlineStr">
        <is>
          <t>DALARNAS LÄN</t>
        </is>
      </c>
      <c r="E86" t="inlineStr">
        <is>
          <t>LEKSAND</t>
        </is>
      </c>
      <c r="G86" t="n">
        <v>5.5</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45904</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45904</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50219-2022</t>
        </is>
      </c>
      <c r="B89" s="1" t="n">
        <v>44865.64244212963</v>
      </c>
      <c r="C89" s="1" t="n">
        <v>45904</v>
      </c>
      <c r="D89" t="inlineStr">
        <is>
          <t>DALARNAS LÄN</t>
        </is>
      </c>
      <c r="E89" t="inlineStr">
        <is>
          <t>LEKSAND</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49581-2022</t>
        </is>
      </c>
      <c r="B90" s="1" t="n">
        <v>44862.36287037037</v>
      </c>
      <c r="C90" s="1" t="n">
        <v>45904</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56153-2021</t>
        </is>
      </c>
      <c r="B91" s="1" t="n">
        <v>44477</v>
      </c>
      <c r="C91" s="1" t="n">
        <v>45904</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35080-2022</t>
        </is>
      </c>
      <c r="B92" s="1" t="n">
        <v>44797</v>
      </c>
      <c r="C92" s="1" t="n">
        <v>45904</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45904</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45904</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45904</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45904</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43275-2022</t>
        </is>
      </c>
      <c r="B97" s="1" t="n">
        <v>44824</v>
      </c>
      <c r="C97" s="1" t="n">
        <v>45904</v>
      </c>
      <c r="D97" t="inlineStr">
        <is>
          <t>DALARNAS LÄN</t>
        </is>
      </c>
      <c r="E97" t="inlineStr">
        <is>
          <t>LEKSAND</t>
        </is>
      </c>
      <c r="G97" t="n">
        <v>2.1</v>
      </c>
      <c r="H97" t="n">
        <v>0</v>
      </c>
      <c r="I97" t="n">
        <v>0</v>
      </c>
      <c r="J97" t="n">
        <v>0</v>
      </c>
      <c r="K97" t="n">
        <v>0</v>
      </c>
      <c r="L97" t="n">
        <v>0</v>
      </c>
      <c r="M97" t="n">
        <v>0</v>
      </c>
      <c r="N97" t="n">
        <v>0</v>
      </c>
      <c r="O97" t="n">
        <v>0</v>
      </c>
      <c r="P97" t="n">
        <v>0</v>
      </c>
      <c r="Q97" t="n">
        <v>0</v>
      </c>
      <c r="R97" s="2" t="inlineStr"/>
    </row>
    <row r="98" ht="15" customHeight="1">
      <c r="A98" t="inlineStr">
        <is>
          <t>A 43304-2022</t>
        </is>
      </c>
      <c r="B98" s="1" t="n">
        <v>44834</v>
      </c>
      <c r="C98" s="1" t="n">
        <v>45904</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45904</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19480-2022</t>
        </is>
      </c>
      <c r="B100" s="1" t="n">
        <v>44693</v>
      </c>
      <c r="C100" s="1" t="n">
        <v>45904</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67307-2020</t>
        </is>
      </c>
      <c r="B101" s="1" t="n">
        <v>44181</v>
      </c>
      <c r="C101" s="1" t="n">
        <v>45904</v>
      </c>
      <c r="D101" t="inlineStr">
        <is>
          <t>DALARNAS LÄN</t>
        </is>
      </c>
      <c r="E101" t="inlineStr">
        <is>
          <t>LEKSAND</t>
        </is>
      </c>
      <c r="G101" t="n">
        <v>5.9</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45904</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45904</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45904</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45904</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45904</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45904</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45904</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36956-2021</t>
        </is>
      </c>
      <c r="B109" s="1" t="n">
        <v>44393.55643518519</v>
      </c>
      <c r="C109" s="1" t="n">
        <v>45904</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45904</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45904</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45904</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45904</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14140-2022</t>
        </is>
      </c>
      <c r="B114" s="1" t="n">
        <v>44651</v>
      </c>
      <c r="C114" s="1" t="n">
        <v>45904</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45904</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18484-2024</t>
        </is>
      </c>
      <c r="B116" s="1" t="n">
        <v>45425.52559027778</v>
      </c>
      <c r="C116" s="1" t="n">
        <v>45904</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11418-2023</t>
        </is>
      </c>
      <c r="B117" s="1" t="n">
        <v>44993</v>
      </c>
      <c r="C117" s="1" t="n">
        <v>45904</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42727-2024</t>
        </is>
      </c>
      <c r="B118" s="1" t="n">
        <v>45566</v>
      </c>
      <c r="C118" s="1" t="n">
        <v>45904</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40407-2024</t>
        </is>
      </c>
      <c r="B119" s="1" t="n">
        <v>45555</v>
      </c>
      <c r="C119" s="1" t="n">
        <v>45904</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33180-2024</t>
        </is>
      </c>
      <c r="B120" s="1" t="n">
        <v>45518.44481481481</v>
      </c>
      <c r="C120" s="1" t="n">
        <v>45904</v>
      </c>
      <c r="D120" t="inlineStr">
        <is>
          <t>DALARNAS LÄN</t>
        </is>
      </c>
      <c r="E120" t="inlineStr">
        <is>
          <t>LEKSAND</t>
        </is>
      </c>
      <c r="G120" t="n">
        <v>7.6</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45904</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70099-2021</t>
        </is>
      </c>
      <c r="B122" s="1" t="n">
        <v>44533</v>
      </c>
      <c r="C122" s="1" t="n">
        <v>45904</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19295-2024</t>
        </is>
      </c>
      <c r="B123" s="1" t="n">
        <v>45428.69106481481</v>
      </c>
      <c r="C123" s="1" t="n">
        <v>45904</v>
      </c>
      <c r="D123" t="inlineStr">
        <is>
          <t>DALARNAS LÄN</t>
        </is>
      </c>
      <c r="E123" t="inlineStr">
        <is>
          <t>LEKSAND</t>
        </is>
      </c>
      <c r="G123" t="n">
        <v>1.6</v>
      </c>
      <c r="H123" t="n">
        <v>0</v>
      </c>
      <c r="I123" t="n">
        <v>0</v>
      </c>
      <c r="J123" t="n">
        <v>0</v>
      </c>
      <c r="K123" t="n">
        <v>0</v>
      </c>
      <c r="L123" t="n">
        <v>0</v>
      </c>
      <c r="M123" t="n">
        <v>0</v>
      </c>
      <c r="N123" t="n">
        <v>0</v>
      </c>
      <c r="O123" t="n">
        <v>0</v>
      </c>
      <c r="P123" t="n">
        <v>0</v>
      </c>
      <c r="Q123" t="n">
        <v>0</v>
      </c>
      <c r="R123" s="2" t="inlineStr"/>
    </row>
    <row r="124" ht="15" customHeight="1">
      <c r="A124" t="inlineStr">
        <is>
          <t>A 19296-2024</t>
        </is>
      </c>
      <c r="B124" s="1" t="n">
        <v>45428.69438657408</v>
      </c>
      <c r="C124" s="1" t="n">
        <v>45904</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16197-2024</t>
        </is>
      </c>
      <c r="B125" s="1" t="n">
        <v>45406.70356481482</v>
      </c>
      <c r="C125" s="1" t="n">
        <v>45904</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42230-2023</t>
        </is>
      </c>
      <c r="B126" s="1" t="n">
        <v>45180</v>
      </c>
      <c r="C126" s="1" t="n">
        <v>45904</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27791-2023</t>
        </is>
      </c>
      <c r="B127" s="1" t="n">
        <v>45098</v>
      </c>
      <c r="C127" s="1" t="n">
        <v>45904</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52801-2023</t>
        </is>
      </c>
      <c r="B128" s="1" t="n">
        <v>45219</v>
      </c>
      <c r="C128" s="1" t="n">
        <v>45904</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9781-2024</t>
        </is>
      </c>
      <c r="B129" s="1" t="n">
        <v>45362.66299768518</v>
      </c>
      <c r="C129" s="1" t="n">
        <v>45904</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71817-2021</t>
        </is>
      </c>
      <c r="B130" s="1" t="n">
        <v>44543.59780092593</v>
      </c>
      <c r="C130" s="1" t="n">
        <v>45904</v>
      </c>
      <c r="D130" t="inlineStr">
        <is>
          <t>DALARNAS LÄN</t>
        </is>
      </c>
      <c r="E130" t="inlineStr">
        <is>
          <t>LEKSAND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30175-2023</t>
        </is>
      </c>
      <c r="B131" s="1" t="n">
        <v>45110</v>
      </c>
      <c r="C131" s="1" t="n">
        <v>45904</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45904</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18040-2024</t>
        </is>
      </c>
      <c r="B133" s="1" t="n">
        <v>45420.36664351852</v>
      </c>
      <c r="C133" s="1" t="n">
        <v>45904</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20937-2025</t>
        </is>
      </c>
      <c r="B134" s="1" t="n">
        <v>45777.42769675926</v>
      </c>
      <c r="C134" s="1" t="n">
        <v>45904</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46141-2022</t>
        </is>
      </c>
      <c r="B135" s="1" t="n">
        <v>44846</v>
      </c>
      <c r="C135" s="1" t="n">
        <v>45904</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14616-2024</t>
        </is>
      </c>
      <c r="B136" s="1" t="n">
        <v>45397.2624537037</v>
      </c>
      <c r="C136" s="1" t="n">
        <v>45904</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11617-2024</t>
        </is>
      </c>
      <c r="B137" s="1" t="n">
        <v>45373.42898148148</v>
      </c>
      <c r="C137" s="1" t="n">
        <v>45904</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41840-2024</t>
        </is>
      </c>
      <c r="B138" s="1" t="n">
        <v>45561.42170138889</v>
      </c>
      <c r="C138" s="1" t="n">
        <v>45904</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20683-2025</t>
        </is>
      </c>
      <c r="B139" s="1" t="n">
        <v>45776</v>
      </c>
      <c r="C139" s="1" t="n">
        <v>45904</v>
      </c>
      <c r="D139" t="inlineStr">
        <is>
          <t>DALARNAS LÄN</t>
        </is>
      </c>
      <c r="E139" t="inlineStr">
        <is>
          <t>LEKSAND</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38117-2023</t>
        </is>
      </c>
      <c r="B140" s="1" t="n">
        <v>45161</v>
      </c>
      <c r="C140" s="1" t="n">
        <v>45904</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45904</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45904</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62306-2023</t>
        </is>
      </c>
      <c r="B143" s="1" t="n">
        <v>45266</v>
      </c>
      <c r="C143" s="1" t="n">
        <v>45904</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21230-2025</t>
        </is>
      </c>
      <c r="B144" s="1" t="n">
        <v>45779.54589120371</v>
      </c>
      <c r="C144" s="1" t="n">
        <v>45904</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31971-2024</t>
        </is>
      </c>
      <c r="B145" s="1" t="n">
        <v>45510.55171296297</v>
      </c>
      <c r="C145" s="1" t="n">
        <v>45904</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28592-2023</t>
        </is>
      </c>
      <c r="B146" s="1" t="n">
        <v>45103</v>
      </c>
      <c r="C146" s="1" t="n">
        <v>45904</v>
      </c>
      <c r="D146" t="inlineStr">
        <is>
          <t>DALARNAS LÄN</t>
        </is>
      </c>
      <c r="E146" t="inlineStr">
        <is>
          <t>LEKSAND</t>
        </is>
      </c>
      <c r="G146" t="n">
        <v>0.5</v>
      </c>
      <c r="H146" t="n">
        <v>0</v>
      </c>
      <c r="I146" t="n">
        <v>0</v>
      </c>
      <c r="J146" t="n">
        <v>0</v>
      </c>
      <c r="K146" t="n">
        <v>0</v>
      </c>
      <c r="L146" t="n">
        <v>0</v>
      </c>
      <c r="M146" t="n">
        <v>0</v>
      </c>
      <c r="N146" t="n">
        <v>0</v>
      </c>
      <c r="O146" t="n">
        <v>0</v>
      </c>
      <c r="P146" t="n">
        <v>0</v>
      </c>
      <c r="Q146" t="n">
        <v>0</v>
      </c>
      <c r="R146" s="2" t="inlineStr"/>
    </row>
    <row r="147" ht="15" customHeight="1">
      <c r="A147" t="inlineStr">
        <is>
          <t>A 55643-2024</t>
        </is>
      </c>
      <c r="B147" s="1" t="n">
        <v>45621</v>
      </c>
      <c r="C147" s="1" t="n">
        <v>45904</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22281-2024</t>
        </is>
      </c>
      <c r="B148" s="1" t="n">
        <v>45446.54756944445</v>
      </c>
      <c r="C148" s="1" t="n">
        <v>45904</v>
      </c>
      <c r="D148" t="inlineStr">
        <is>
          <t>DALARNAS LÄN</t>
        </is>
      </c>
      <c r="E148" t="inlineStr">
        <is>
          <t>LEKSAND</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22388-2024</t>
        </is>
      </c>
      <c r="B149" s="1" t="n">
        <v>45446</v>
      </c>
      <c r="C149" s="1" t="n">
        <v>45904</v>
      </c>
      <c r="D149" t="inlineStr">
        <is>
          <t>DALARNAS LÄN</t>
        </is>
      </c>
      <c r="E149" t="inlineStr">
        <is>
          <t>LEKSAND</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31728-2024</t>
        </is>
      </c>
      <c r="B150" s="1" t="n">
        <v>45509.34517361111</v>
      </c>
      <c r="C150" s="1" t="n">
        <v>45904</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48644-2023</t>
        </is>
      </c>
      <c r="B151" s="1" t="n">
        <v>45208.58997685185</v>
      </c>
      <c r="C151" s="1" t="n">
        <v>45904</v>
      </c>
      <c r="D151" t="inlineStr">
        <is>
          <t>DALARNAS LÄN</t>
        </is>
      </c>
      <c r="E151" t="inlineStr">
        <is>
          <t>LEKSAND</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21193-2025</t>
        </is>
      </c>
      <c r="B152" s="1" t="n">
        <v>45779.46675925926</v>
      </c>
      <c r="C152" s="1" t="n">
        <v>45904</v>
      </c>
      <c r="D152" t="inlineStr">
        <is>
          <t>DALARNAS LÄN</t>
        </is>
      </c>
      <c r="E152" t="inlineStr">
        <is>
          <t>LEKSAND</t>
        </is>
      </c>
      <c r="G152" t="n">
        <v>3.7</v>
      </c>
      <c r="H152" t="n">
        <v>0</v>
      </c>
      <c r="I152" t="n">
        <v>0</v>
      </c>
      <c r="J152" t="n">
        <v>0</v>
      </c>
      <c r="K152" t="n">
        <v>0</v>
      </c>
      <c r="L152" t="n">
        <v>0</v>
      </c>
      <c r="M152" t="n">
        <v>0</v>
      </c>
      <c r="N152" t="n">
        <v>0</v>
      </c>
      <c r="O152" t="n">
        <v>0</v>
      </c>
      <c r="P152" t="n">
        <v>0</v>
      </c>
      <c r="Q152" t="n">
        <v>0</v>
      </c>
      <c r="R152" s="2" t="inlineStr"/>
    </row>
    <row r="153" ht="15" customHeight="1">
      <c r="A153" t="inlineStr">
        <is>
          <t>A 40627-2023</t>
        </is>
      </c>
      <c r="B153" s="1" t="n">
        <v>45170</v>
      </c>
      <c r="C153" s="1" t="n">
        <v>45904</v>
      </c>
      <c r="D153" t="inlineStr">
        <is>
          <t>DALARNAS LÄN</t>
        </is>
      </c>
      <c r="E153" t="inlineStr">
        <is>
          <t>LEKSAND</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17282-2025</t>
        </is>
      </c>
      <c r="B154" s="1" t="n">
        <v>45756.57114583333</v>
      </c>
      <c r="C154" s="1" t="n">
        <v>45904</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21600-2025</t>
        </is>
      </c>
      <c r="B155" s="1" t="n">
        <v>45783.3521875</v>
      </c>
      <c r="C155" s="1" t="n">
        <v>45904</v>
      </c>
      <c r="D155" t="inlineStr">
        <is>
          <t>DALARNAS LÄN</t>
        </is>
      </c>
      <c r="E155" t="inlineStr">
        <is>
          <t>LEKSAND</t>
        </is>
      </c>
      <c r="G155" t="n">
        <v>7.7</v>
      </c>
      <c r="H155" t="n">
        <v>0</v>
      </c>
      <c r="I155" t="n">
        <v>0</v>
      </c>
      <c r="J155" t="n">
        <v>0</v>
      </c>
      <c r="K155" t="n">
        <v>0</v>
      </c>
      <c r="L155" t="n">
        <v>0</v>
      </c>
      <c r="M155" t="n">
        <v>0</v>
      </c>
      <c r="N155" t="n">
        <v>0</v>
      </c>
      <c r="O155" t="n">
        <v>0</v>
      </c>
      <c r="P155" t="n">
        <v>0</v>
      </c>
      <c r="Q155" t="n">
        <v>0</v>
      </c>
      <c r="R155" s="2" t="inlineStr"/>
    </row>
    <row r="156" ht="15" customHeight="1">
      <c r="A156" t="inlineStr">
        <is>
          <t>A 56016-2024</t>
        </is>
      </c>
      <c r="B156" s="1" t="n">
        <v>45623.87737268519</v>
      </c>
      <c r="C156" s="1" t="n">
        <v>45904</v>
      </c>
      <c r="D156" t="inlineStr">
        <is>
          <t>DALARNAS LÄN</t>
        </is>
      </c>
      <c r="E156" t="inlineStr">
        <is>
          <t>LEKSAND</t>
        </is>
      </c>
      <c r="G156" t="n">
        <v>6.1</v>
      </c>
      <c r="H156" t="n">
        <v>0</v>
      </c>
      <c r="I156" t="n">
        <v>0</v>
      </c>
      <c r="J156" t="n">
        <v>0</v>
      </c>
      <c r="K156" t="n">
        <v>0</v>
      </c>
      <c r="L156" t="n">
        <v>0</v>
      </c>
      <c r="M156" t="n">
        <v>0</v>
      </c>
      <c r="N156" t="n">
        <v>0</v>
      </c>
      <c r="O156" t="n">
        <v>0</v>
      </c>
      <c r="P156" t="n">
        <v>0</v>
      </c>
      <c r="Q156" t="n">
        <v>0</v>
      </c>
      <c r="R156" s="2" t="inlineStr"/>
    </row>
    <row r="157" ht="15" customHeight="1">
      <c r="A157" t="inlineStr">
        <is>
          <t>A 2158-2024</t>
        </is>
      </c>
      <c r="B157" s="1" t="n">
        <v>45309</v>
      </c>
      <c r="C157" s="1" t="n">
        <v>45904</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11872-2024</t>
        </is>
      </c>
      <c r="B158" s="1" t="n">
        <v>45376.46833333333</v>
      </c>
      <c r="C158" s="1" t="n">
        <v>45904</v>
      </c>
      <c r="D158" t="inlineStr">
        <is>
          <t>DALARNAS LÄN</t>
        </is>
      </c>
      <c r="E158" t="inlineStr">
        <is>
          <t>LEKSAND</t>
        </is>
      </c>
      <c r="G158" t="n">
        <v>3.1</v>
      </c>
      <c r="H158" t="n">
        <v>0</v>
      </c>
      <c r="I158" t="n">
        <v>0</v>
      </c>
      <c r="J158" t="n">
        <v>0</v>
      </c>
      <c r="K158" t="n">
        <v>0</v>
      </c>
      <c r="L158" t="n">
        <v>0</v>
      </c>
      <c r="M158" t="n">
        <v>0</v>
      </c>
      <c r="N158" t="n">
        <v>0</v>
      </c>
      <c r="O158" t="n">
        <v>0</v>
      </c>
      <c r="P158" t="n">
        <v>0</v>
      </c>
      <c r="Q158" t="n">
        <v>0</v>
      </c>
      <c r="R158" s="2" t="inlineStr"/>
    </row>
    <row r="159" ht="15" customHeight="1">
      <c r="A159" t="inlineStr">
        <is>
          <t>A 9857-2025</t>
        </is>
      </c>
      <c r="B159" s="1" t="n">
        <v>45716.62609953704</v>
      </c>
      <c r="C159" s="1" t="n">
        <v>45904</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21457-2025</t>
        </is>
      </c>
      <c r="B160" s="1" t="n">
        <v>45782.55451388889</v>
      </c>
      <c r="C160" s="1" t="n">
        <v>45904</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21366-2025</t>
        </is>
      </c>
      <c r="B161" s="1" t="n">
        <v>45782.44667824074</v>
      </c>
      <c r="C161" s="1" t="n">
        <v>45904</v>
      </c>
      <c r="D161" t="inlineStr">
        <is>
          <t>DALARNAS LÄN</t>
        </is>
      </c>
      <c r="E161" t="inlineStr">
        <is>
          <t>LEKSAND</t>
        </is>
      </c>
      <c r="G161" t="n">
        <v>4.1</v>
      </c>
      <c r="H161" t="n">
        <v>0</v>
      </c>
      <c r="I161" t="n">
        <v>0</v>
      </c>
      <c r="J161" t="n">
        <v>0</v>
      </c>
      <c r="K161" t="n">
        <v>0</v>
      </c>
      <c r="L161" t="n">
        <v>0</v>
      </c>
      <c r="M161" t="n">
        <v>0</v>
      </c>
      <c r="N161" t="n">
        <v>0</v>
      </c>
      <c r="O161" t="n">
        <v>0</v>
      </c>
      <c r="P161" t="n">
        <v>0</v>
      </c>
      <c r="Q161" t="n">
        <v>0</v>
      </c>
      <c r="R161" s="2" t="inlineStr"/>
    </row>
    <row r="162" ht="15" customHeight="1">
      <c r="A162" t="inlineStr">
        <is>
          <t>A 5873-2025</t>
        </is>
      </c>
      <c r="B162" s="1" t="n">
        <v>45695.36715277778</v>
      </c>
      <c r="C162" s="1" t="n">
        <v>45904</v>
      </c>
      <c r="D162" t="inlineStr">
        <is>
          <t>DALARNAS LÄN</t>
        </is>
      </c>
      <c r="E162" t="inlineStr">
        <is>
          <t>LEKSAND</t>
        </is>
      </c>
      <c r="G162" t="n">
        <v>1.4</v>
      </c>
      <c r="H162" t="n">
        <v>0</v>
      </c>
      <c r="I162" t="n">
        <v>0</v>
      </c>
      <c r="J162" t="n">
        <v>0</v>
      </c>
      <c r="K162" t="n">
        <v>0</v>
      </c>
      <c r="L162" t="n">
        <v>0</v>
      </c>
      <c r="M162" t="n">
        <v>0</v>
      </c>
      <c r="N162" t="n">
        <v>0</v>
      </c>
      <c r="O162" t="n">
        <v>0</v>
      </c>
      <c r="P162" t="n">
        <v>0</v>
      </c>
      <c r="Q162" t="n">
        <v>0</v>
      </c>
      <c r="R162" s="2" t="inlineStr"/>
    </row>
    <row r="163" ht="15" customHeight="1">
      <c r="A163" t="inlineStr">
        <is>
          <t>A 30994-2023</t>
        </is>
      </c>
      <c r="B163" s="1" t="n">
        <v>45113</v>
      </c>
      <c r="C163" s="1" t="n">
        <v>45904</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325-2023</t>
        </is>
      </c>
      <c r="B164" s="1" t="n">
        <v>44929</v>
      </c>
      <c r="C164" s="1" t="n">
        <v>45904</v>
      </c>
      <c r="D164" t="inlineStr">
        <is>
          <t>DALARNAS LÄN</t>
        </is>
      </c>
      <c r="E164" t="inlineStr">
        <is>
          <t>LEKSAND</t>
        </is>
      </c>
      <c r="F164" t="inlineStr">
        <is>
          <t>Övriga Aktiebolag</t>
        </is>
      </c>
      <c r="G164" t="n">
        <v>7.1</v>
      </c>
      <c r="H164" t="n">
        <v>0</v>
      </c>
      <c r="I164" t="n">
        <v>0</v>
      </c>
      <c r="J164" t="n">
        <v>0</v>
      </c>
      <c r="K164" t="n">
        <v>0</v>
      </c>
      <c r="L164" t="n">
        <v>0</v>
      </c>
      <c r="M164" t="n">
        <v>0</v>
      </c>
      <c r="N164" t="n">
        <v>0</v>
      </c>
      <c r="O164" t="n">
        <v>0</v>
      </c>
      <c r="P164" t="n">
        <v>0</v>
      </c>
      <c r="Q164" t="n">
        <v>0</v>
      </c>
      <c r="R164" s="2" t="inlineStr"/>
    </row>
    <row r="165" ht="15" customHeight="1">
      <c r="A165" t="inlineStr">
        <is>
          <t>A 33306-2023</t>
        </is>
      </c>
      <c r="B165" s="1" t="n">
        <v>45127</v>
      </c>
      <c r="C165" s="1" t="n">
        <v>45904</v>
      </c>
      <c r="D165" t="inlineStr">
        <is>
          <t>DALARNAS LÄN</t>
        </is>
      </c>
      <c r="E165" t="inlineStr">
        <is>
          <t>LEKSAND</t>
        </is>
      </c>
      <c r="G165" t="n">
        <v>2.2</v>
      </c>
      <c r="H165" t="n">
        <v>0</v>
      </c>
      <c r="I165" t="n">
        <v>0</v>
      </c>
      <c r="J165" t="n">
        <v>0</v>
      </c>
      <c r="K165" t="n">
        <v>0</v>
      </c>
      <c r="L165" t="n">
        <v>0</v>
      </c>
      <c r="M165" t="n">
        <v>0</v>
      </c>
      <c r="N165" t="n">
        <v>0</v>
      </c>
      <c r="O165" t="n">
        <v>0</v>
      </c>
      <c r="P165" t="n">
        <v>0</v>
      </c>
      <c r="Q165" t="n">
        <v>0</v>
      </c>
      <c r="R165" s="2" t="inlineStr"/>
    </row>
    <row r="166" ht="15" customHeight="1">
      <c r="A166" t="inlineStr">
        <is>
          <t>A 33316-2023</t>
        </is>
      </c>
      <c r="B166" s="1" t="n">
        <v>45127</v>
      </c>
      <c r="C166" s="1" t="n">
        <v>45904</v>
      </c>
      <c r="D166" t="inlineStr">
        <is>
          <t>DALARNAS LÄN</t>
        </is>
      </c>
      <c r="E166" t="inlineStr">
        <is>
          <t>LEKSAND</t>
        </is>
      </c>
      <c r="G166" t="n">
        <v>8.9</v>
      </c>
      <c r="H166" t="n">
        <v>0</v>
      </c>
      <c r="I166" t="n">
        <v>0</v>
      </c>
      <c r="J166" t="n">
        <v>0</v>
      </c>
      <c r="K166" t="n">
        <v>0</v>
      </c>
      <c r="L166" t="n">
        <v>0</v>
      </c>
      <c r="M166" t="n">
        <v>0</v>
      </c>
      <c r="N166" t="n">
        <v>0</v>
      </c>
      <c r="O166" t="n">
        <v>0</v>
      </c>
      <c r="P166" t="n">
        <v>0</v>
      </c>
      <c r="Q166" t="n">
        <v>0</v>
      </c>
      <c r="R166" s="2" t="inlineStr"/>
    </row>
    <row r="167" ht="15" customHeight="1">
      <c r="A167" t="inlineStr">
        <is>
          <t>A 37832-2023</t>
        </is>
      </c>
      <c r="B167" s="1" t="n">
        <v>45160.3479050926</v>
      </c>
      <c r="C167" s="1" t="n">
        <v>45904</v>
      </c>
      <c r="D167" t="inlineStr">
        <is>
          <t>DALARNAS LÄN</t>
        </is>
      </c>
      <c r="E167" t="inlineStr">
        <is>
          <t>LEKSAND</t>
        </is>
      </c>
      <c r="G167" t="n">
        <v>2</v>
      </c>
      <c r="H167" t="n">
        <v>0</v>
      </c>
      <c r="I167" t="n">
        <v>0</v>
      </c>
      <c r="J167" t="n">
        <v>0</v>
      </c>
      <c r="K167" t="n">
        <v>0</v>
      </c>
      <c r="L167" t="n">
        <v>0</v>
      </c>
      <c r="M167" t="n">
        <v>0</v>
      </c>
      <c r="N167" t="n">
        <v>0</v>
      </c>
      <c r="O167" t="n">
        <v>0</v>
      </c>
      <c r="P167" t="n">
        <v>0</v>
      </c>
      <c r="Q167" t="n">
        <v>0</v>
      </c>
      <c r="R167" s="2" t="inlineStr"/>
    </row>
    <row r="168" ht="15" customHeight="1">
      <c r="A168" t="inlineStr">
        <is>
          <t>A 9143-2023</t>
        </is>
      </c>
      <c r="B168" s="1" t="n">
        <v>44974</v>
      </c>
      <c r="C168" s="1" t="n">
        <v>45904</v>
      </c>
      <c r="D168" t="inlineStr">
        <is>
          <t>DALARNAS LÄN</t>
        </is>
      </c>
      <c r="E168" t="inlineStr">
        <is>
          <t>LEKSAND</t>
        </is>
      </c>
      <c r="G168" t="n">
        <v>4.3</v>
      </c>
      <c r="H168" t="n">
        <v>0</v>
      </c>
      <c r="I168" t="n">
        <v>0</v>
      </c>
      <c r="J168" t="n">
        <v>0</v>
      </c>
      <c r="K168" t="n">
        <v>0</v>
      </c>
      <c r="L168" t="n">
        <v>0</v>
      </c>
      <c r="M168" t="n">
        <v>0</v>
      </c>
      <c r="N168" t="n">
        <v>0</v>
      </c>
      <c r="O168" t="n">
        <v>0</v>
      </c>
      <c r="P168" t="n">
        <v>0</v>
      </c>
      <c r="Q168" t="n">
        <v>0</v>
      </c>
      <c r="R168" s="2" t="inlineStr"/>
    </row>
    <row r="169" ht="15" customHeight="1">
      <c r="A169" t="inlineStr">
        <is>
          <t>A 19415-2025</t>
        </is>
      </c>
      <c r="B169" s="1" t="n">
        <v>45769</v>
      </c>
      <c r="C169" s="1" t="n">
        <v>45904</v>
      </c>
      <c r="D169" t="inlineStr">
        <is>
          <t>DALARNAS LÄN</t>
        </is>
      </c>
      <c r="E169" t="inlineStr">
        <is>
          <t>LEKSAND</t>
        </is>
      </c>
      <c r="F169" t="inlineStr">
        <is>
          <t>Bergvik skog väst AB</t>
        </is>
      </c>
      <c r="G169" t="n">
        <v>11.5</v>
      </c>
      <c r="H169" t="n">
        <v>0</v>
      </c>
      <c r="I169" t="n">
        <v>0</v>
      </c>
      <c r="J169" t="n">
        <v>0</v>
      </c>
      <c r="K169" t="n">
        <v>0</v>
      </c>
      <c r="L169" t="n">
        <v>0</v>
      </c>
      <c r="M169" t="n">
        <v>0</v>
      </c>
      <c r="N169" t="n">
        <v>0</v>
      </c>
      <c r="O169" t="n">
        <v>0</v>
      </c>
      <c r="P169" t="n">
        <v>0</v>
      </c>
      <c r="Q169" t="n">
        <v>0</v>
      </c>
      <c r="R169" s="2" t="inlineStr"/>
    </row>
    <row r="170" ht="15" customHeight="1">
      <c r="A170" t="inlineStr">
        <is>
          <t>A 61554-2024</t>
        </is>
      </c>
      <c r="B170" s="1" t="n">
        <v>45646.60748842593</v>
      </c>
      <c r="C170" s="1" t="n">
        <v>45904</v>
      </c>
      <c r="D170" t="inlineStr">
        <is>
          <t>DALARNAS LÄN</t>
        </is>
      </c>
      <c r="E170" t="inlineStr">
        <is>
          <t>LEKSAND</t>
        </is>
      </c>
      <c r="G170" t="n">
        <v>2.6</v>
      </c>
      <c r="H170" t="n">
        <v>0</v>
      </c>
      <c r="I170" t="n">
        <v>0</v>
      </c>
      <c r="J170" t="n">
        <v>0</v>
      </c>
      <c r="K170" t="n">
        <v>0</v>
      </c>
      <c r="L170" t="n">
        <v>0</v>
      </c>
      <c r="M170" t="n">
        <v>0</v>
      </c>
      <c r="N170" t="n">
        <v>0</v>
      </c>
      <c r="O170" t="n">
        <v>0</v>
      </c>
      <c r="P170" t="n">
        <v>0</v>
      </c>
      <c r="Q170" t="n">
        <v>0</v>
      </c>
      <c r="R170" s="2" t="inlineStr"/>
    </row>
    <row r="171" ht="15" customHeight="1">
      <c r="A171" t="inlineStr">
        <is>
          <t>A 59236-2024</t>
        </is>
      </c>
      <c r="B171" s="1" t="n">
        <v>45637.58795138889</v>
      </c>
      <c r="C171" s="1" t="n">
        <v>45904</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22080-2025</t>
        </is>
      </c>
      <c r="B172" s="1" t="n">
        <v>45785</v>
      </c>
      <c r="C172" s="1" t="n">
        <v>45904</v>
      </c>
      <c r="D172" t="inlineStr">
        <is>
          <t>DALARNAS LÄN</t>
        </is>
      </c>
      <c r="E172" t="inlineStr">
        <is>
          <t>LEKSAND</t>
        </is>
      </c>
      <c r="G172" t="n">
        <v>7</v>
      </c>
      <c r="H172" t="n">
        <v>0</v>
      </c>
      <c r="I172" t="n">
        <v>0</v>
      </c>
      <c r="J172" t="n">
        <v>0</v>
      </c>
      <c r="K172" t="n">
        <v>0</v>
      </c>
      <c r="L172" t="n">
        <v>0</v>
      </c>
      <c r="M172" t="n">
        <v>0</v>
      </c>
      <c r="N172" t="n">
        <v>0</v>
      </c>
      <c r="O172" t="n">
        <v>0</v>
      </c>
      <c r="P172" t="n">
        <v>0</v>
      </c>
      <c r="Q172" t="n">
        <v>0</v>
      </c>
      <c r="R172" s="2" t="inlineStr"/>
    </row>
    <row r="173" ht="15" customHeight="1">
      <c r="A173" t="inlineStr">
        <is>
          <t>A 33310-2023</t>
        </is>
      </c>
      <c r="B173" s="1" t="n">
        <v>45127.82231481482</v>
      </c>
      <c r="C173" s="1" t="n">
        <v>45904</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54844-2021</t>
        </is>
      </c>
      <c r="B174" s="1" t="n">
        <v>44474.30614583333</v>
      </c>
      <c r="C174" s="1" t="n">
        <v>45904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45991-2020</t>
        </is>
      </c>
      <c r="B175" s="1" t="n">
        <v>44088</v>
      </c>
      <c r="C175" s="1" t="n">
        <v>45904</v>
      </c>
      <c r="D175" t="inlineStr">
        <is>
          <t>DALARNAS LÄN</t>
        </is>
      </c>
      <c r="E175" t="inlineStr">
        <is>
          <t>LEKSAND</t>
        </is>
      </c>
      <c r="G175" t="n">
        <v>9.9</v>
      </c>
      <c r="H175" t="n">
        <v>0</v>
      </c>
      <c r="I175" t="n">
        <v>0</v>
      </c>
      <c r="J175" t="n">
        <v>0</v>
      </c>
      <c r="K175" t="n">
        <v>0</v>
      </c>
      <c r="L175" t="n">
        <v>0</v>
      </c>
      <c r="M175" t="n">
        <v>0</v>
      </c>
      <c r="N175" t="n">
        <v>0</v>
      </c>
      <c r="O175" t="n">
        <v>0</v>
      </c>
      <c r="P175" t="n">
        <v>0</v>
      </c>
      <c r="Q175" t="n">
        <v>0</v>
      </c>
      <c r="R175" s="2" t="inlineStr"/>
    </row>
    <row r="176" ht="15" customHeight="1">
      <c r="A176" t="inlineStr">
        <is>
          <t>A 471-2025</t>
        </is>
      </c>
      <c r="B176" s="1" t="n">
        <v>45664.43394675926</v>
      </c>
      <c r="C176" s="1" t="n">
        <v>45904</v>
      </c>
      <c r="D176" t="inlineStr">
        <is>
          <t>DALARNAS LÄN</t>
        </is>
      </c>
      <c r="E176" t="inlineStr">
        <is>
          <t>LEKSAND</t>
        </is>
      </c>
      <c r="G176" t="n">
        <v>1.3</v>
      </c>
      <c r="H176" t="n">
        <v>0</v>
      </c>
      <c r="I176" t="n">
        <v>0</v>
      </c>
      <c r="J176" t="n">
        <v>0</v>
      </c>
      <c r="K176" t="n">
        <v>0</v>
      </c>
      <c r="L176" t="n">
        <v>0</v>
      </c>
      <c r="M176" t="n">
        <v>0</v>
      </c>
      <c r="N176" t="n">
        <v>0</v>
      </c>
      <c r="O176" t="n">
        <v>0</v>
      </c>
      <c r="P176" t="n">
        <v>0</v>
      </c>
      <c r="Q176" t="n">
        <v>0</v>
      </c>
      <c r="R176" s="2" t="inlineStr"/>
    </row>
    <row r="177" ht="15" customHeight="1">
      <c r="A177" t="inlineStr">
        <is>
          <t>A 21916-2025</t>
        </is>
      </c>
      <c r="B177" s="1" t="n">
        <v>45784.50115740741</v>
      </c>
      <c r="C177" s="1" t="n">
        <v>45904</v>
      </c>
      <c r="D177" t="inlineStr">
        <is>
          <t>DALARNAS LÄN</t>
        </is>
      </c>
      <c r="E177" t="inlineStr">
        <is>
          <t>LEKSAND</t>
        </is>
      </c>
      <c r="G177" t="n">
        <v>2.6</v>
      </c>
      <c r="H177" t="n">
        <v>0</v>
      </c>
      <c r="I177" t="n">
        <v>0</v>
      </c>
      <c r="J177" t="n">
        <v>0</v>
      </c>
      <c r="K177" t="n">
        <v>0</v>
      </c>
      <c r="L177" t="n">
        <v>0</v>
      </c>
      <c r="M177" t="n">
        <v>0</v>
      </c>
      <c r="N177" t="n">
        <v>0</v>
      </c>
      <c r="O177" t="n">
        <v>0</v>
      </c>
      <c r="P177" t="n">
        <v>0</v>
      </c>
      <c r="Q177" t="n">
        <v>0</v>
      </c>
      <c r="R177" s="2" t="inlineStr"/>
    </row>
    <row r="178" ht="15" customHeight="1">
      <c r="A178" t="inlineStr">
        <is>
          <t>A 62307-2023</t>
        </is>
      </c>
      <c r="B178" s="1" t="n">
        <v>45266</v>
      </c>
      <c r="C178" s="1" t="n">
        <v>45904</v>
      </c>
      <c r="D178" t="inlineStr">
        <is>
          <t>DALARNAS LÄN</t>
        </is>
      </c>
      <c r="E178" t="inlineStr">
        <is>
          <t>LEKSAND</t>
        </is>
      </c>
      <c r="G178" t="n">
        <v>3.9</v>
      </c>
      <c r="H178" t="n">
        <v>0</v>
      </c>
      <c r="I178" t="n">
        <v>0</v>
      </c>
      <c r="J178" t="n">
        <v>0</v>
      </c>
      <c r="K178" t="n">
        <v>0</v>
      </c>
      <c r="L178" t="n">
        <v>0</v>
      </c>
      <c r="M178" t="n">
        <v>0</v>
      </c>
      <c r="N178" t="n">
        <v>0</v>
      </c>
      <c r="O178" t="n">
        <v>0</v>
      </c>
      <c r="P178" t="n">
        <v>0</v>
      </c>
      <c r="Q178" t="n">
        <v>0</v>
      </c>
      <c r="R178" s="2" t="inlineStr"/>
    </row>
    <row r="179" ht="15" customHeight="1">
      <c r="A179" t="inlineStr">
        <is>
          <t>A 33317-2023</t>
        </is>
      </c>
      <c r="B179" s="1" t="n">
        <v>45127.84586805556</v>
      </c>
      <c r="C179" s="1" t="n">
        <v>45904</v>
      </c>
      <c r="D179" t="inlineStr">
        <is>
          <t>DALARNAS LÄN</t>
        </is>
      </c>
      <c r="E179" t="inlineStr">
        <is>
          <t>LEKSAND</t>
        </is>
      </c>
      <c r="G179" t="n">
        <v>2.7</v>
      </c>
      <c r="H179" t="n">
        <v>0</v>
      </c>
      <c r="I179" t="n">
        <v>0</v>
      </c>
      <c r="J179" t="n">
        <v>0</v>
      </c>
      <c r="K179" t="n">
        <v>0</v>
      </c>
      <c r="L179" t="n">
        <v>0</v>
      </c>
      <c r="M179" t="n">
        <v>0</v>
      </c>
      <c r="N179" t="n">
        <v>0</v>
      </c>
      <c r="O179" t="n">
        <v>0</v>
      </c>
      <c r="P179" t="n">
        <v>0</v>
      </c>
      <c r="Q179" t="n">
        <v>0</v>
      </c>
      <c r="R179" s="2" t="inlineStr"/>
    </row>
    <row r="180" ht="15" customHeight="1">
      <c r="A180" t="inlineStr">
        <is>
          <t>A 33318-2023</t>
        </is>
      </c>
      <c r="B180" s="1" t="n">
        <v>45127</v>
      </c>
      <c r="C180" s="1" t="n">
        <v>45904</v>
      </c>
      <c r="D180" t="inlineStr">
        <is>
          <t>DALARNAS LÄN</t>
        </is>
      </c>
      <c r="E180" t="inlineStr">
        <is>
          <t>LEKSAND</t>
        </is>
      </c>
      <c r="G180" t="n">
        <v>5.5</v>
      </c>
      <c r="H180" t="n">
        <v>0</v>
      </c>
      <c r="I180" t="n">
        <v>0</v>
      </c>
      <c r="J180" t="n">
        <v>0</v>
      </c>
      <c r="K180" t="n">
        <v>0</v>
      </c>
      <c r="L180" t="n">
        <v>0</v>
      </c>
      <c r="M180" t="n">
        <v>0</v>
      </c>
      <c r="N180" t="n">
        <v>0</v>
      </c>
      <c r="O180" t="n">
        <v>0</v>
      </c>
      <c r="P180" t="n">
        <v>0</v>
      </c>
      <c r="Q180" t="n">
        <v>0</v>
      </c>
      <c r="R180" s="2" t="inlineStr"/>
    </row>
    <row r="181" ht="15" customHeight="1">
      <c r="A181" t="inlineStr">
        <is>
          <t>A 14967-2023</t>
        </is>
      </c>
      <c r="B181" s="1" t="n">
        <v>45015</v>
      </c>
      <c r="C181" s="1" t="n">
        <v>45904</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61055-2023</t>
        </is>
      </c>
      <c r="B182" s="1" t="n">
        <v>45261</v>
      </c>
      <c r="C182" s="1" t="n">
        <v>45904</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21881-2025</t>
        </is>
      </c>
      <c r="B183" s="1" t="n">
        <v>45784</v>
      </c>
      <c r="C183" s="1" t="n">
        <v>45904</v>
      </c>
      <c r="D183" t="inlineStr">
        <is>
          <t>DALARNAS LÄN</t>
        </is>
      </c>
      <c r="E183" t="inlineStr">
        <is>
          <t>LEKSAND</t>
        </is>
      </c>
      <c r="G183" t="n">
        <v>2</v>
      </c>
      <c r="H183" t="n">
        <v>0</v>
      </c>
      <c r="I183" t="n">
        <v>0</v>
      </c>
      <c r="J183" t="n">
        <v>0</v>
      </c>
      <c r="K183" t="n">
        <v>0</v>
      </c>
      <c r="L183" t="n">
        <v>0</v>
      </c>
      <c r="M183" t="n">
        <v>0</v>
      </c>
      <c r="N183" t="n">
        <v>0</v>
      </c>
      <c r="O183" t="n">
        <v>0</v>
      </c>
      <c r="P183" t="n">
        <v>0</v>
      </c>
      <c r="Q183" t="n">
        <v>0</v>
      </c>
      <c r="R183" s="2" t="inlineStr"/>
    </row>
    <row r="184" ht="15" customHeight="1">
      <c r="A184" t="inlineStr">
        <is>
          <t>A 34038-2024</t>
        </is>
      </c>
      <c r="B184" s="1" t="n">
        <v>45523.59578703704</v>
      </c>
      <c r="C184" s="1" t="n">
        <v>45904</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34041-2024</t>
        </is>
      </c>
      <c r="B185" s="1" t="n">
        <v>45523.59895833334</v>
      </c>
      <c r="C185" s="1" t="n">
        <v>45904</v>
      </c>
      <c r="D185" t="inlineStr">
        <is>
          <t>DALARNAS LÄN</t>
        </is>
      </c>
      <c r="E185" t="inlineStr">
        <is>
          <t>LEKSAND</t>
        </is>
      </c>
      <c r="G185" t="n">
        <v>4</v>
      </c>
      <c r="H185" t="n">
        <v>0</v>
      </c>
      <c r="I185" t="n">
        <v>0</v>
      </c>
      <c r="J185" t="n">
        <v>0</v>
      </c>
      <c r="K185" t="n">
        <v>0</v>
      </c>
      <c r="L185" t="n">
        <v>0</v>
      </c>
      <c r="M185" t="n">
        <v>0</v>
      </c>
      <c r="N185" t="n">
        <v>0</v>
      </c>
      <c r="O185" t="n">
        <v>0</v>
      </c>
      <c r="P185" t="n">
        <v>0</v>
      </c>
      <c r="Q185" t="n">
        <v>0</v>
      </c>
      <c r="R185" s="2" t="inlineStr"/>
    </row>
    <row r="186" ht="15" customHeight="1">
      <c r="A186" t="inlineStr">
        <is>
          <t>A 7861-2024</t>
        </is>
      </c>
      <c r="B186" s="1" t="n">
        <v>45350.30831018519</v>
      </c>
      <c r="C186" s="1" t="n">
        <v>45904</v>
      </c>
      <c r="D186" t="inlineStr">
        <is>
          <t>DALARNAS LÄN</t>
        </is>
      </c>
      <c r="E186" t="inlineStr">
        <is>
          <t>LEKSAND</t>
        </is>
      </c>
      <c r="G186" t="n">
        <v>1.8</v>
      </c>
      <c r="H186" t="n">
        <v>0</v>
      </c>
      <c r="I186" t="n">
        <v>0</v>
      </c>
      <c r="J186" t="n">
        <v>0</v>
      </c>
      <c r="K186" t="n">
        <v>0</v>
      </c>
      <c r="L186" t="n">
        <v>0</v>
      </c>
      <c r="M186" t="n">
        <v>0</v>
      </c>
      <c r="N186" t="n">
        <v>0</v>
      </c>
      <c r="O186" t="n">
        <v>0</v>
      </c>
      <c r="P186" t="n">
        <v>0</v>
      </c>
      <c r="Q186" t="n">
        <v>0</v>
      </c>
      <c r="R186" s="2" t="inlineStr"/>
    </row>
    <row r="187" ht="15" customHeight="1">
      <c r="A187" t="inlineStr">
        <is>
          <t>A 23896-2024</t>
        </is>
      </c>
      <c r="B187" s="1" t="n">
        <v>45455.6758449074</v>
      </c>
      <c r="C187" s="1" t="n">
        <v>45904</v>
      </c>
      <c r="D187" t="inlineStr">
        <is>
          <t>DALARNAS LÄN</t>
        </is>
      </c>
      <c r="E187" t="inlineStr">
        <is>
          <t>LEKSAND</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24142-2021</t>
        </is>
      </c>
      <c r="B188" s="1" t="n">
        <v>44336</v>
      </c>
      <c r="C188" s="1" t="n">
        <v>45904</v>
      </c>
      <c r="D188" t="inlineStr">
        <is>
          <t>DALARNAS LÄN</t>
        </is>
      </c>
      <c r="E188" t="inlineStr">
        <is>
          <t>LEKSAND</t>
        </is>
      </c>
      <c r="F188" t="inlineStr">
        <is>
          <t>Bergvik skog väst AB</t>
        </is>
      </c>
      <c r="G188" t="n">
        <v>18.9</v>
      </c>
      <c r="H188" t="n">
        <v>0</v>
      </c>
      <c r="I188" t="n">
        <v>0</v>
      </c>
      <c r="J188" t="n">
        <v>0</v>
      </c>
      <c r="K188" t="n">
        <v>0</v>
      </c>
      <c r="L188" t="n">
        <v>0</v>
      </c>
      <c r="M188" t="n">
        <v>0</v>
      </c>
      <c r="N188" t="n">
        <v>0</v>
      </c>
      <c r="O188" t="n">
        <v>0</v>
      </c>
      <c r="P188" t="n">
        <v>0</v>
      </c>
      <c r="Q188" t="n">
        <v>0</v>
      </c>
      <c r="R188" s="2" t="inlineStr"/>
    </row>
    <row r="189" ht="15" customHeight="1">
      <c r="A189" t="inlineStr">
        <is>
          <t>A 36534-2024</t>
        </is>
      </c>
      <c r="B189" s="1" t="n">
        <v>45537.45143518518</v>
      </c>
      <c r="C189" s="1" t="n">
        <v>45904</v>
      </c>
      <c r="D189" t="inlineStr">
        <is>
          <t>DALARNAS LÄN</t>
        </is>
      </c>
      <c r="E189" t="inlineStr">
        <is>
          <t>LEKSAND</t>
        </is>
      </c>
      <c r="G189" t="n">
        <v>4</v>
      </c>
      <c r="H189" t="n">
        <v>0</v>
      </c>
      <c r="I189" t="n">
        <v>0</v>
      </c>
      <c r="J189" t="n">
        <v>0</v>
      </c>
      <c r="K189" t="n">
        <v>0</v>
      </c>
      <c r="L189" t="n">
        <v>0</v>
      </c>
      <c r="M189" t="n">
        <v>0</v>
      </c>
      <c r="N189" t="n">
        <v>0</v>
      </c>
      <c r="O189" t="n">
        <v>0</v>
      </c>
      <c r="P189" t="n">
        <v>0</v>
      </c>
      <c r="Q189" t="n">
        <v>0</v>
      </c>
      <c r="R189" s="2" t="inlineStr"/>
    </row>
    <row r="190" ht="15" customHeight="1">
      <c r="A190" t="inlineStr">
        <is>
          <t>A 14661-2024</t>
        </is>
      </c>
      <c r="B190" s="1" t="n">
        <v>45397.41141203704</v>
      </c>
      <c r="C190" s="1" t="n">
        <v>45904</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14865-2025</t>
        </is>
      </c>
      <c r="B191" s="1" t="n">
        <v>45743.43929398148</v>
      </c>
      <c r="C191" s="1" t="n">
        <v>45904</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28032-2024</t>
        </is>
      </c>
      <c r="B192" s="1" t="n">
        <v>45476.49346064815</v>
      </c>
      <c r="C192" s="1" t="n">
        <v>45904</v>
      </c>
      <c r="D192" t="inlineStr">
        <is>
          <t>DALARNAS LÄN</t>
        </is>
      </c>
      <c r="E192" t="inlineStr">
        <is>
          <t>LEKSAND</t>
        </is>
      </c>
      <c r="G192" t="n">
        <v>2</v>
      </c>
      <c r="H192" t="n">
        <v>0</v>
      </c>
      <c r="I192" t="n">
        <v>0</v>
      </c>
      <c r="J192" t="n">
        <v>0</v>
      </c>
      <c r="K192" t="n">
        <v>0</v>
      </c>
      <c r="L192" t="n">
        <v>0</v>
      </c>
      <c r="M192" t="n">
        <v>0</v>
      </c>
      <c r="N192" t="n">
        <v>0</v>
      </c>
      <c r="O192" t="n">
        <v>0</v>
      </c>
      <c r="P192" t="n">
        <v>0</v>
      </c>
      <c r="Q192" t="n">
        <v>0</v>
      </c>
      <c r="R192" s="2" t="inlineStr"/>
    </row>
    <row r="193" ht="15" customHeight="1">
      <c r="A193" t="inlineStr">
        <is>
          <t>A 52293-2024</t>
        </is>
      </c>
      <c r="B193" s="1" t="n">
        <v>45608.71297453704</v>
      </c>
      <c r="C193" s="1" t="n">
        <v>45904</v>
      </c>
      <c r="D193" t="inlineStr">
        <is>
          <t>DALARNAS LÄN</t>
        </is>
      </c>
      <c r="E193" t="inlineStr">
        <is>
          <t>LEKSAND</t>
        </is>
      </c>
      <c r="G193" t="n">
        <v>1.6</v>
      </c>
      <c r="H193" t="n">
        <v>0</v>
      </c>
      <c r="I193" t="n">
        <v>0</v>
      </c>
      <c r="J193" t="n">
        <v>0</v>
      </c>
      <c r="K193" t="n">
        <v>0</v>
      </c>
      <c r="L193" t="n">
        <v>0</v>
      </c>
      <c r="M193" t="n">
        <v>0</v>
      </c>
      <c r="N193" t="n">
        <v>0</v>
      </c>
      <c r="O193" t="n">
        <v>0</v>
      </c>
      <c r="P193" t="n">
        <v>0</v>
      </c>
      <c r="Q193" t="n">
        <v>0</v>
      </c>
      <c r="R193" s="2" t="inlineStr"/>
    </row>
    <row r="194" ht="15" customHeight="1">
      <c r="A194" t="inlineStr">
        <is>
          <t>A 1182-2025</t>
        </is>
      </c>
      <c r="B194" s="1" t="n">
        <v>45667.35712962963</v>
      </c>
      <c r="C194" s="1" t="n">
        <v>45904</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22536-2025</t>
        </is>
      </c>
      <c r="B195" s="1" t="n">
        <v>45787.33037037037</v>
      </c>
      <c r="C195" s="1" t="n">
        <v>45904</v>
      </c>
      <c r="D195" t="inlineStr">
        <is>
          <t>DALARNAS LÄN</t>
        </is>
      </c>
      <c r="E195" t="inlineStr">
        <is>
          <t>LEKSAND</t>
        </is>
      </c>
      <c r="G195" t="n">
        <v>1.8</v>
      </c>
      <c r="H195" t="n">
        <v>0</v>
      </c>
      <c r="I195" t="n">
        <v>0</v>
      </c>
      <c r="J195" t="n">
        <v>0</v>
      </c>
      <c r="K195" t="n">
        <v>0</v>
      </c>
      <c r="L195" t="n">
        <v>0</v>
      </c>
      <c r="M195" t="n">
        <v>0</v>
      </c>
      <c r="N195" t="n">
        <v>0</v>
      </c>
      <c r="O195" t="n">
        <v>0</v>
      </c>
      <c r="P195" t="n">
        <v>0</v>
      </c>
      <c r="Q195" t="n">
        <v>0</v>
      </c>
      <c r="R195" s="2" t="inlineStr"/>
    </row>
    <row r="196" ht="15" customHeight="1">
      <c r="A196" t="inlineStr">
        <is>
          <t>A 18837-2023</t>
        </is>
      </c>
      <c r="B196" s="1" t="n">
        <v>45044.42940972222</v>
      </c>
      <c r="C196" s="1" t="n">
        <v>45904</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46665-2023</t>
        </is>
      </c>
      <c r="B197" s="1" t="n">
        <v>45198.47399305556</v>
      </c>
      <c r="C197" s="1" t="n">
        <v>45904</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56943-2024</t>
        </is>
      </c>
      <c r="B198" s="1" t="n">
        <v>45625</v>
      </c>
      <c r="C198" s="1" t="n">
        <v>45904</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60042-2023</t>
        </is>
      </c>
      <c r="B199" s="1" t="n">
        <v>45256</v>
      </c>
      <c r="C199" s="1" t="n">
        <v>45904</v>
      </c>
      <c r="D199" t="inlineStr">
        <is>
          <t>DALARNAS LÄN</t>
        </is>
      </c>
      <c r="E199" t="inlineStr">
        <is>
          <t>LEKSAND</t>
        </is>
      </c>
      <c r="G199" t="n">
        <v>2</v>
      </c>
      <c r="H199" t="n">
        <v>0</v>
      </c>
      <c r="I199" t="n">
        <v>0</v>
      </c>
      <c r="J199" t="n">
        <v>0</v>
      </c>
      <c r="K199" t="n">
        <v>0</v>
      </c>
      <c r="L199" t="n">
        <v>0</v>
      </c>
      <c r="M199" t="n">
        <v>0</v>
      </c>
      <c r="N199" t="n">
        <v>0</v>
      </c>
      <c r="O199" t="n">
        <v>0</v>
      </c>
      <c r="P199" t="n">
        <v>0</v>
      </c>
      <c r="Q199" t="n">
        <v>0</v>
      </c>
      <c r="R199" s="2" t="inlineStr"/>
    </row>
    <row r="200" ht="15" customHeight="1">
      <c r="A200" t="inlineStr">
        <is>
          <t>A 60715-2022</t>
        </is>
      </c>
      <c r="B200" s="1" t="n">
        <v>44912</v>
      </c>
      <c r="C200" s="1" t="n">
        <v>45904</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15619-2025</t>
        </is>
      </c>
      <c r="B201" s="1" t="n">
        <v>45747</v>
      </c>
      <c r="C201" s="1" t="n">
        <v>45904</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21954-2023</t>
        </is>
      </c>
      <c r="B202" s="1" t="n">
        <v>45068</v>
      </c>
      <c r="C202" s="1" t="n">
        <v>45904</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34244-2024</t>
        </is>
      </c>
      <c r="B203" s="1" t="n">
        <v>45524.58349537037</v>
      </c>
      <c r="C203" s="1" t="n">
        <v>45904</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14797-2025</t>
        </is>
      </c>
      <c r="B204" s="1" t="n">
        <v>45742.90363425926</v>
      </c>
      <c r="C204" s="1" t="n">
        <v>45904</v>
      </c>
      <c r="D204" t="inlineStr">
        <is>
          <t>DALARNAS LÄN</t>
        </is>
      </c>
      <c r="E204" t="inlineStr">
        <is>
          <t>LEKSAND</t>
        </is>
      </c>
      <c r="G204" t="n">
        <v>1.4</v>
      </c>
      <c r="H204" t="n">
        <v>0</v>
      </c>
      <c r="I204" t="n">
        <v>0</v>
      </c>
      <c r="J204" t="n">
        <v>0</v>
      </c>
      <c r="K204" t="n">
        <v>0</v>
      </c>
      <c r="L204" t="n">
        <v>0</v>
      </c>
      <c r="M204" t="n">
        <v>0</v>
      </c>
      <c r="N204" t="n">
        <v>0</v>
      </c>
      <c r="O204" t="n">
        <v>0</v>
      </c>
      <c r="P204" t="n">
        <v>0</v>
      </c>
      <c r="Q204" t="n">
        <v>0</v>
      </c>
      <c r="R204" s="2" t="inlineStr"/>
    </row>
    <row r="205" ht="15" customHeight="1">
      <c r="A205" t="inlineStr">
        <is>
          <t>A 59751-2024</t>
        </is>
      </c>
      <c r="B205" s="1" t="n">
        <v>45638</v>
      </c>
      <c r="C205" s="1" t="n">
        <v>45904</v>
      </c>
      <c r="D205" t="inlineStr">
        <is>
          <t>DALARNAS LÄN</t>
        </is>
      </c>
      <c r="E205" t="inlineStr">
        <is>
          <t>LEKSAND</t>
        </is>
      </c>
      <c r="G205" t="n">
        <v>5.2</v>
      </c>
      <c r="H205" t="n">
        <v>0</v>
      </c>
      <c r="I205" t="n">
        <v>0</v>
      </c>
      <c r="J205" t="n">
        <v>0</v>
      </c>
      <c r="K205" t="n">
        <v>0</v>
      </c>
      <c r="L205" t="n">
        <v>0</v>
      </c>
      <c r="M205" t="n">
        <v>0</v>
      </c>
      <c r="N205" t="n">
        <v>0</v>
      </c>
      <c r="O205" t="n">
        <v>0</v>
      </c>
      <c r="P205" t="n">
        <v>0</v>
      </c>
      <c r="Q205" t="n">
        <v>0</v>
      </c>
      <c r="R205" s="2" t="inlineStr"/>
    </row>
    <row r="206" ht="15" customHeight="1">
      <c r="A206" t="inlineStr">
        <is>
          <t>A 61288-2022</t>
        </is>
      </c>
      <c r="B206" s="1" t="n">
        <v>44915</v>
      </c>
      <c r="C206" s="1" t="n">
        <v>45904</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28128-2022</t>
        </is>
      </c>
      <c r="B207" s="1" t="n">
        <v>44746.50628472222</v>
      </c>
      <c r="C207" s="1" t="n">
        <v>45904</v>
      </c>
      <c r="D207" t="inlineStr">
        <is>
          <t>DALARNAS LÄN</t>
        </is>
      </c>
      <c r="E207" t="inlineStr">
        <is>
          <t>LEKSAND</t>
        </is>
      </c>
      <c r="G207" t="n">
        <v>3.5</v>
      </c>
      <c r="H207" t="n">
        <v>0</v>
      </c>
      <c r="I207" t="n">
        <v>0</v>
      </c>
      <c r="J207" t="n">
        <v>0</v>
      </c>
      <c r="K207" t="n">
        <v>0</v>
      </c>
      <c r="L207" t="n">
        <v>0</v>
      </c>
      <c r="M207" t="n">
        <v>0</v>
      </c>
      <c r="N207" t="n">
        <v>0</v>
      </c>
      <c r="O207" t="n">
        <v>0</v>
      </c>
      <c r="P207" t="n">
        <v>0</v>
      </c>
      <c r="Q207" t="n">
        <v>0</v>
      </c>
      <c r="R207" s="2" t="inlineStr"/>
    </row>
    <row r="208" ht="15" customHeight="1">
      <c r="A208" t="inlineStr">
        <is>
          <t>A 61787-2022</t>
        </is>
      </c>
      <c r="B208" s="1" t="n">
        <v>44917</v>
      </c>
      <c r="C208" s="1" t="n">
        <v>45904</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1215-2024</t>
        </is>
      </c>
      <c r="B209" s="1" t="n">
        <v>45302</v>
      </c>
      <c r="C209" s="1" t="n">
        <v>45904</v>
      </c>
      <c r="D209" t="inlineStr">
        <is>
          <t>DALARNAS LÄN</t>
        </is>
      </c>
      <c r="E209" t="inlineStr">
        <is>
          <t>LEKSAND</t>
        </is>
      </c>
      <c r="G209" t="n">
        <v>1.3</v>
      </c>
      <c r="H209" t="n">
        <v>0</v>
      </c>
      <c r="I209" t="n">
        <v>0</v>
      </c>
      <c r="J209" t="n">
        <v>0</v>
      </c>
      <c r="K209" t="n">
        <v>0</v>
      </c>
      <c r="L209" t="n">
        <v>0</v>
      </c>
      <c r="M209" t="n">
        <v>0</v>
      </c>
      <c r="N209" t="n">
        <v>0</v>
      </c>
      <c r="O209" t="n">
        <v>0</v>
      </c>
      <c r="P209" t="n">
        <v>0</v>
      </c>
      <c r="Q209" t="n">
        <v>0</v>
      </c>
      <c r="R209" s="2" t="inlineStr"/>
    </row>
    <row r="210" ht="15" customHeight="1">
      <c r="A210" t="inlineStr">
        <is>
          <t>A 61502-2023</t>
        </is>
      </c>
      <c r="B210" s="1" t="n">
        <v>45264</v>
      </c>
      <c r="C210" s="1" t="n">
        <v>45904</v>
      </c>
      <c r="D210" t="inlineStr">
        <is>
          <t>DALARNAS LÄN</t>
        </is>
      </c>
      <c r="E210" t="inlineStr">
        <is>
          <t>LEKSAND</t>
        </is>
      </c>
      <c r="G210" t="n">
        <v>5.2</v>
      </c>
      <c r="H210" t="n">
        <v>0</v>
      </c>
      <c r="I210" t="n">
        <v>0</v>
      </c>
      <c r="J210" t="n">
        <v>0</v>
      </c>
      <c r="K210" t="n">
        <v>0</v>
      </c>
      <c r="L210" t="n">
        <v>0</v>
      </c>
      <c r="M210" t="n">
        <v>0</v>
      </c>
      <c r="N210" t="n">
        <v>0</v>
      </c>
      <c r="O210" t="n">
        <v>0</v>
      </c>
      <c r="P210" t="n">
        <v>0</v>
      </c>
      <c r="Q210" t="n">
        <v>0</v>
      </c>
      <c r="R210" s="2" t="inlineStr"/>
    </row>
    <row r="211" ht="15" customHeight="1">
      <c r="A211" t="inlineStr">
        <is>
          <t>A 60040-2023</t>
        </is>
      </c>
      <c r="B211" s="1" t="n">
        <v>45256</v>
      </c>
      <c r="C211" s="1" t="n">
        <v>45904</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52059-2024</t>
        </is>
      </c>
      <c r="B212" s="1" t="n">
        <v>45608.35609953704</v>
      </c>
      <c r="C212" s="1" t="n">
        <v>45904</v>
      </c>
      <c r="D212" t="inlineStr">
        <is>
          <t>DALARNAS LÄN</t>
        </is>
      </c>
      <c r="E212" t="inlineStr">
        <is>
          <t>LEKSAND</t>
        </is>
      </c>
      <c r="G212" t="n">
        <v>0.8</v>
      </c>
      <c r="H212" t="n">
        <v>0</v>
      </c>
      <c r="I212" t="n">
        <v>0</v>
      </c>
      <c r="J212" t="n">
        <v>0</v>
      </c>
      <c r="K212" t="n">
        <v>0</v>
      </c>
      <c r="L212" t="n">
        <v>0</v>
      </c>
      <c r="M212" t="n">
        <v>0</v>
      </c>
      <c r="N212" t="n">
        <v>0</v>
      </c>
      <c r="O212" t="n">
        <v>0</v>
      </c>
      <c r="P212" t="n">
        <v>0</v>
      </c>
      <c r="Q212" t="n">
        <v>0</v>
      </c>
      <c r="R212" s="2" t="inlineStr"/>
    </row>
    <row r="213" ht="15" customHeight="1">
      <c r="A213" t="inlineStr">
        <is>
          <t>A 21839-2022</t>
        </is>
      </c>
      <c r="B213" s="1" t="n">
        <v>44711</v>
      </c>
      <c r="C213" s="1" t="n">
        <v>45904</v>
      </c>
      <c r="D213" t="inlineStr">
        <is>
          <t>DALARNAS LÄN</t>
        </is>
      </c>
      <c r="E213" t="inlineStr">
        <is>
          <t>LEKSAND</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19417-2025</t>
        </is>
      </c>
      <c r="B214" s="1" t="n">
        <v>45769.7234837963</v>
      </c>
      <c r="C214" s="1" t="n">
        <v>45904</v>
      </c>
      <c r="D214" t="inlineStr">
        <is>
          <t>DALARNAS LÄN</t>
        </is>
      </c>
      <c r="E214" t="inlineStr">
        <is>
          <t>LEKSAND</t>
        </is>
      </c>
      <c r="G214" t="n">
        <v>3.3</v>
      </c>
      <c r="H214" t="n">
        <v>0</v>
      </c>
      <c r="I214" t="n">
        <v>0</v>
      </c>
      <c r="J214" t="n">
        <v>0</v>
      </c>
      <c r="K214" t="n">
        <v>0</v>
      </c>
      <c r="L214" t="n">
        <v>0</v>
      </c>
      <c r="M214" t="n">
        <v>0</v>
      </c>
      <c r="N214" t="n">
        <v>0</v>
      </c>
      <c r="O214" t="n">
        <v>0</v>
      </c>
      <c r="P214" t="n">
        <v>0</v>
      </c>
      <c r="Q214" t="n">
        <v>0</v>
      </c>
      <c r="R214" s="2" t="inlineStr"/>
    </row>
    <row r="215" ht="15" customHeight="1">
      <c r="A215" t="inlineStr">
        <is>
          <t>A 57468-2023</t>
        </is>
      </c>
      <c r="B215" s="1" t="n">
        <v>45246</v>
      </c>
      <c r="C215" s="1" t="n">
        <v>45904</v>
      </c>
      <c r="D215" t="inlineStr">
        <is>
          <t>DALARNAS LÄN</t>
        </is>
      </c>
      <c r="E215" t="inlineStr">
        <is>
          <t>LEKSAND</t>
        </is>
      </c>
      <c r="G215" t="n">
        <v>4.6</v>
      </c>
      <c r="H215" t="n">
        <v>0</v>
      </c>
      <c r="I215" t="n">
        <v>0</v>
      </c>
      <c r="J215" t="n">
        <v>0</v>
      </c>
      <c r="K215" t="n">
        <v>0</v>
      </c>
      <c r="L215" t="n">
        <v>0</v>
      </c>
      <c r="M215" t="n">
        <v>0</v>
      </c>
      <c r="N215" t="n">
        <v>0</v>
      </c>
      <c r="O215" t="n">
        <v>0</v>
      </c>
      <c r="P215" t="n">
        <v>0</v>
      </c>
      <c r="Q215" t="n">
        <v>0</v>
      </c>
      <c r="R215" s="2" t="inlineStr"/>
    </row>
    <row r="216" ht="15" customHeight="1">
      <c r="A216" t="inlineStr">
        <is>
          <t>A 61269-2022</t>
        </is>
      </c>
      <c r="B216" s="1" t="n">
        <v>44909</v>
      </c>
      <c r="C216" s="1" t="n">
        <v>45904</v>
      </c>
      <c r="D216" t="inlineStr">
        <is>
          <t>DALARNAS LÄN</t>
        </is>
      </c>
      <c r="E216" t="inlineStr">
        <is>
          <t>LEKSAND</t>
        </is>
      </c>
      <c r="G216" t="n">
        <v>4.2</v>
      </c>
      <c r="H216" t="n">
        <v>0</v>
      </c>
      <c r="I216" t="n">
        <v>0</v>
      </c>
      <c r="J216" t="n">
        <v>0</v>
      </c>
      <c r="K216" t="n">
        <v>0</v>
      </c>
      <c r="L216" t="n">
        <v>0</v>
      </c>
      <c r="M216" t="n">
        <v>0</v>
      </c>
      <c r="N216" t="n">
        <v>0</v>
      </c>
      <c r="O216" t="n">
        <v>0</v>
      </c>
      <c r="P216" t="n">
        <v>0</v>
      </c>
      <c r="Q216" t="n">
        <v>0</v>
      </c>
      <c r="R216" s="2" t="inlineStr"/>
    </row>
    <row r="217" ht="15" customHeight="1">
      <c r="A217" t="inlineStr">
        <is>
          <t>A 64933-2023</t>
        </is>
      </c>
      <c r="B217" s="1" t="n">
        <v>45282</v>
      </c>
      <c r="C217" s="1" t="n">
        <v>45904</v>
      </c>
      <c r="D217" t="inlineStr">
        <is>
          <t>DALARNAS LÄN</t>
        </is>
      </c>
      <c r="E217" t="inlineStr">
        <is>
          <t>LEKSAND</t>
        </is>
      </c>
      <c r="G217" t="n">
        <v>2.3</v>
      </c>
      <c r="H217" t="n">
        <v>0</v>
      </c>
      <c r="I217" t="n">
        <v>0</v>
      </c>
      <c r="J217" t="n">
        <v>0</v>
      </c>
      <c r="K217" t="n">
        <v>0</v>
      </c>
      <c r="L217" t="n">
        <v>0</v>
      </c>
      <c r="M217" t="n">
        <v>0</v>
      </c>
      <c r="N217" t="n">
        <v>0</v>
      </c>
      <c r="O217" t="n">
        <v>0</v>
      </c>
      <c r="P217" t="n">
        <v>0</v>
      </c>
      <c r="Q217" t="n">
        <v>0</v>
      </c>
      <c r="R217" s="2" t="inlineStr"/>
    </row>
    <row r="218" ht="15" customHeight="1">
      <c r="A218" t="inlineStr">
        <is>
          <t>A 22876-2025</t>
        </is>
      </c>
      <c r="B218" s="1" t="n">
        <v>45790.3728587963</v>
      </c>
      <c r="C218" s="1" t="n">
        <v>45904</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55268-2024</t>
        </is>
      </c>
      <c r="B219" s="1" t="n">
        <v>45621.61266203703</v>
      </c>
      <c r="C219" s="1" t="n">
        <v>45904</v>
      </c>
      <c r="D219" t="inlineStr">
        <is>
          <t>DALARNAS LÄN</t>
        </is>
      </c>
      <c r="E219" t="inlineStr">
        <is>
          <t>LEKSAND</t>
        </is>
      </c>
      <c r="G219" t="n">
        <v>4.2</v>
      </c>
      <c r="H219" t="n">
        <v>0</v>
      </c>
      <c r="I219" t="n">
        <v>0</v>
      </c>
      <c r="J219" t="n">
        <v>0</v>
      </c>
      <c r="K219" t="n">
        <v>0</v>
      </c>
      <c r="L219" t="n">
        <v>0</v>
      </c>
      <c r="M219" t="n">
        <v>0</v>
      </c>
      <c r="N219" t="n">
        <v>0</v>
      </c>
      <c r="O219" t="n">
        <v>0</v>
      </c>
      <c r="P219" t="n">
        <v>0</v>
      </c>
      <c r="Q219" t="n">
        <v>0</v>
      </c>
      <c r="R219" s="2" t="inlineStr"/>
    </row>
    <row r="220" ht="15" customHeight="1">
      <c r="A220" t="inlineStr">
        <is>
          <t>A 8743-2023</t>
        </is>
      </c>
      <c r="B220" s="1" t="n">
        <v>44978</v>
      </c>
      <c r="C220" s="1" t="n">
        <v>45904</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24003-2024</t>
        </is>
      </c>
      <c r="B221" s="1" t="n">
        <v>45456.39003472222</v>
      </c>
      <c r="C221" s="1" t="n">
        <v>45904</v>
      </c>
      <c r="D221" t="inlineStr">
        <is>
          <t>DALARNAS LÄN</t>
        </is>
      </c>
      <c r="E221" t="inlineStr">
        <is>
          <t>LEKSAND</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49499-2024</t>
        </is>
      </c>
      <c r="B222" s="1" t="n">
        <v>45596</v>
      </c>
      <c r="C222" s="1" t="n">
        <v>45904</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15020-2023</t>
        </is>
      </c>
      <c r="B223" s="1" t="n">
        <v>45015.6196412037</v>
      </c>
      <c r="C223" s="1" t="n">
        <v>45904</v>
      </c>
      <c r="D223" t="inlineStr">
        <is>
          <t>DALARNAS LÄN</t>
        </is>
      </c>
      <c r="E223" t="inlineStr">
        <is>
          <t>LEKSAND</t>
        </is>
      </c>
      <c r="G223" t="n">
        <v>2.6</v>
      </c>
      <c r="H223" t="n">
        <v>0</v>
      </c>
      <c r="I223" t="n">
        <v>0</v>
      </c>
      <c r="J223" t="n">
        <v>0</v>
      </c>
      <c r="K223" t="n">
        <v>0</v>
      </c>
      <c r="L223" t="n">
        <v>0</v>
      </c>
      <c r="M223" t="n">
        <v>0</v>
      </c>
      <c r="N223" t="n">
        <v>0</v>
      </c>
      <c r="O223" t="n">
        <v>0</v>
      </c>
      <c r="P223" t="n">
        <v>0</v>
      </c>
      <c r="Q223" t="n">
        <v>0</v>
      </c>
      <c r="R223" s="2" t="inlineStr"/>
    </row>
    <row r="224" ht="15" customHeight="1">
      <c r="A224" t="inlineStr">
        <is>
          <t>A 55029-2024</t>
        </is>
      </c>
      <c r="B224" s="1" t="n">
        <v>45621.38016203704</v>
      </c>
      <c r="C224" s="1" t="n">
        <v>45904</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44822-2024</t>
        </is>
      </c>
      <c r="B225" s="1" t="n">
        <v>45574.6646412037</v>
      </c>
      <c r="C225" s="1" t="n">
        <v>45904</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47640-2024</t>
        </is>
      </c>
      <c r="B226" s="1" t="n">
        <v>45588.36508101852</v>
      </c>
      <c r="C226" s="1" t="n">
        <v>45904</v>
      </c>
      <c r="D226" t="inlineStr">
        <is>
          <t>DALARNAS LÄN</t>
        </is>
      </c>
      <c r="E226" t="inlineStr">
        <is>
          <t>LEKSAND</t>
        </is>
      </c>
      <c r="G226" t="n">
        <v>9.1</v>
      </c>
      <c r="H226" t="n">
        <v>0</v>
      </c>
      <c r="I226" t="n">
        <v>0</v>
      </c>
      <c r="J226" t="n">
        <v>0</v>
      </c>
      <c r="K226" t="n">
        <v>0</v>
      </c>
      <c r="L226" t="n">
        <v>0</v>
      </c>
      <c r="M226" t="n">
        <v>0</v>
      </c>
      <c r="N226" t="n">
        <v>0</v>
      </c>
      <c r="O226" t="n">
        <v>0</v>
      </c>
      <c r="P226" t="n">
        <v>0</v>
      </c>
      <c r="Q226" t="n">
        <v>0</v>
      </c>
      <c r="R226" s="2" t="inlineStr"/>
    </row>
    <row r="227" ht="15" customHeight="1">
      <c r="A227" t="inlineStr">
        <is>
          <t>A 23058-2025</t>
        </is>
      </c>
      <c r="B227" s="1" t="n">
        <v>45790.78076388889</v>
      </c>
      <c r="C227" s="1" t="n">
        <v>45904</v>
      </c>
      <c r="D227" t="inlineStr">
        <is>
          <t>DALARNAS LÄN</t>
        </is>
      </c>
      <c r="E227" t="inlineStr">
        <is>
          <t>LEKSAND</t>
        </is>
      </c>
      <c r="G227" t="n">
        <v>6.7</v>
      </c>
      <c r="H227" t="n">
        <v>0</v>
      </c>
      <c r="I227" t="n">
        <v>0</v>
      </c>
      <c r="J227" t="n">
        <v>0</v>
      </c>
      <c r="K227" t="n">
        <v>0</v>
      </c>
      <c r="L227" t="n">
        <v>0</v>
      </c>
      <c r="M227" t="n">
        <v>0</v>
      </c>
      <c r="N227" t="n">
        <v>0</v>
      </c>
      <c r="O227" t="n">
        <v>0</v>
      </c>
      <c r="P227" t="n">
        <v>0</v>
      </c>
      <c r="Q227" t="n">
        <v>0</v>
      </c>
      <c r="R227" s="2" t="inlineStr"/>
    </row>
    <row r="228" ht="15" customHeight="1">
      <c r="A228" t="inlineStr">
        <is>
          <t>A 23076-2025</t>
        </is>
      </c>
      <c r="B228" s="1" t="n">
        <v>45790.90960648148</v>
      </c>
      <c r="C228" s="1" t="n">
        <v>45904</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34585-2024</t>
        </is>
      </c>
      <c r="B229" s="1" t="n">
        <v>45526.37697916666</v>
      </c>
      <c r="C229" s="1" t="n">
        <v>45904</v>
      </c>
      <c r="D229" t="inlineStr">
        <is>
          <t>DALARNAS LÄN</t>
        </is>
      </c>
      <c r="E229" t="inlineStr">
        <is>
          <t>LEKSAND</t>
        </is>
      </c>
      <c r="G229" t="n">
        <v>0.9</v>
      </c>
      <c r="H229" t="n">
        <v>0</v>
      </c>
      <c r="I229" t="n">
        <v>0</v>
      </c>
      <c r="J229" t="n">
        <v>0</v>
      </c>
      <c r="K229" t="n">
        <v>0</v>
      </c>
      <c r="L229" t="n">
        <v>0</v>
      </c>
      <c r="M229" t="n">
        <v>0</v>
      </c>
      <c r="N229" t="n">
        <v>0</v>
      </c>
      <c r="O229" t="n">
        <v>0</v>
      </c>
      <c r="P229" t="n">
        <v>0</v>
      </c>
      <c r="Q229" t="n">
        <v>0</v>
      </c>
      <c r="R229" s="2" t="inlineStr"/>
    </row>
    <row r="230" ht="15" customHeight="1">
      <c r="A230" t="inlineStr">
        <is>
          <t>A 23855-2025</t>
        </is>
      </c>
      <c r="B230" s="1" t="n">
        <v>45793.65900462963</v>
      </c>
      <c r="C230" s="1" t="n">
        <v>45904</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23891-2025</t>
        </is>
      </c>
      <c r="B231" s="1" t="n">
        <v>45793</v>
      </c>
      <c r="C231" s="1" t="n">
        <v>45904</v>
      </c>
      <c r="D231" t="inlineStr">
        <is>
          <t>DALARNAS LÄN</t>
        </is>
      </c>
      <c r="E231" t="inlineStr">
        <is>
          <t>LEKSAND</t>
        </is>
      </c>
      <c r="F231" t="inlineStr">
        <is>
          <t>Kommuner</t>
        </is>
      </c>
      <c r="G231" t="n">
        <v>1.5</v>
      </c>
      <c r="H231" t="n">
        <v>0</v>
      </c>
      <c r="I231" t="n">
        <v>0</v>
      </c>
      <c r="J231" t="n">
        <v>0</v>
      </c>
      <c r="K231" t="n">
        <v>0</v>
      </c>
      <c r="L231" t="n">
        <v>0</v>
      </c>
      <c r="M231" t="n">
        <v>0</v>
      </c>
      <c r="N231" t="n">
        <v>0</v>
      </c>
      <c r="O231" t="n">
        <v>0</v>
      </c>
      <c r="P231" t="n">
        <v>0</v>
      </c>
      <c r="Q231" t="n">
        <v>0</v>
      </c>
      <c r="R231" s="2" t="inlineStr"/>
    </row>
    <row r="232" ht="15" customHeight="1">
      <c r="A232" t="inlineStr">
        <is>
          <t>A 17759-2023</t>
        </is>
      </c>
      <c r="B232" s="1" t="n">
        <v>45037.48765046296</v>
      </c>
      <c r="C232" s="1" t="n">
        <v>45904</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10743-2024</t>
        </is>
      </c>
      <c r="B233" s="1" t="n">
        <v>45369.52167824074</v>
      </c>
      <c r="C233" s="1" t="n">
        <v>45904</v>
      </c>
      <c r="D233" t="inlineStr">
        <is>
          <t>DALARNAS LÄN</t>
        </is>
      </c>
      <c r="E233" t="inlineStr">
        <is>
          <t>LEKSAND</t>
        </is>
      </c>
      <c r="G233" t="n">
        <v>2.7</v>
      </c>
      <c r="H233" t="n">
        <v>0</v>
      </c>
      <c r="I233" t="n">
        <v>0</v>
      </c>
      <c r="J233" t="n">
        <v>0</v>
      </c>
      <c r="K233" t="n">
        <v>0</v>
      </c>
      <c r="L233" t="n">
        <v>0</v>
      </c>
      <c r="M233" t="n">
        <v>0</v>
      </c>
      <c r="N233" t="n">
        <v>0</v>
      </c>
      <c r="O233" t="n">
        <v>0</v>
      </c>
      <c r="P233" t="n">
        <v>0</v>
      </c>
      <c r="Q233" t="n">
        <v>0</v>
      </c>
      <c r="R233" s="2" t="inlineStr"/>
    </row>
    <row r="234" ht="15" customHeight="1">
      <c r="A234" t="inlineStr">
        <is>
          <t>A 10771-2024</t>
        </is>
      </c>
      <c r="B234" s="1" t="n">
        <v>45369.57342592593</v>
      </c>
      <c r="C234" s="1" t="n">
        <v>45904</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23517-2025</t>
        </is>
      </c>
      <c r="B235" s="1" t="n">
        <v>45792</v>
      </c>
      <c r="C235" s="1" t="n">
        <v>45904</v>
      </c>
      <c r="D235" t="inlineStr">
        <is>
          <t>DALARNAS LÄN</t>
        </is>
      </c>
      <c r="E235" t="inlineStr">
        <is>
          <t>LEKSAND</t>
        </is>
      </c>
      <c r="G235" t="n">
        <v>2.2</v>
      </c>
      <c r="H235" t="n">
        <v>0</v>
      </c>
      <c r="I235" t="n">
        <v>0</v>
      </c>
      <c r="J235" t="n">
        <v>0</v>
      </c>
      <c r="K235" t="n">
        <v>0</v>
      </c>
      <c r="L235" t="n">
        <v>0</v>
      </c>
      <c r="M235" t="n">
        <v>0</v>
      </c>
      <c r="N235" t="n">
        <v>0</v>
      </c>
      <c r="O235" t="n">
        <v>0</v>
      </c>
      <c r="P235" t="n">
        <v>0</v>
      </c>
      <c r="Q235" t="n">
        <v>0</v>
      </c>
      <c r="R235" s="2" t="inlineStr"/>
    </row>
    <row r="236" ht="15" customHeight="1">
      <c r="A236" t="inlineStr">
        <is>
          <t>A 72575-2021</t>
        </is>
      </c>
      <c r="B236" s="1" t="n">
        <v>44546</v>
      </c>
      <c r="C236" s="1" t="n">
        <v>45904</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72581-2021</t>
        </is>
      </c>
      <c r="B237" s="1" t="n">
        <v>44546.46354166666</v>
      </c>
      <c r="C237" s="1" t="n">
        <v>45904</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33143-2024</t>
        </is>
      </c>
      <c r="B238" s="1" t="n">
        <v>45518</v>
      </c>
      <c r="C238" s="1" t="n">
        <v>45904</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56941-2024</t>
        </is>
      </c>
      <c r="B239" s="1" t="n">
        <v>45625</v>
      </c>
      <c r="C239" s="1" t="n">
        <v>45904</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16051-2023</t>
        </is>
      </c>
      <c r="B240" s="1" t="n">
        <v>45027</v>
      </c>
      <c r="C240" s="1" t="n">
        <v>45904</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63514-2023</t>
        </is>
      </c>
      <c r="B241" s="1" t="n">
        <v>45274</v>
      </c>
      <c r="C241" s="1" t="n">
        <v>45904</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2311-2021</t>
        </is>
      </c>
      <c r="B242" s="1" t="n">
        <v>44213</v>
      </c>
      <c r="C242" s="1" t="n">
        <v>45904</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24187-2025</t>
        </is>
      </c>
      <c r="B243" s="1" t="n">
        <v>45796</v>
      </c>
      <c r="C243" s="1" t="n">
        <v>45904</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24188-2025</t>
        </is>
      </c>
      <c r="B244" s="1" t="n">
        <v>45796</v>
      </c>
      <c r="C244" s="1" t="n">
        <v>45904</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46446-2023</t>
        </is>
      </c>
      <c r="B245" s="1" t="n">
        <v>45197.59344907408</v>
      </c>
      <c r="C245" s="1" t="n">
        <v>45904</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7450-2023</t>
        </is>
      </c>
      <c r="B246" s="1" t="n">
        <v>44971</v>
      </c>
      <c r="C246" s="1" t="n">
        <v>45904</v>
      </c>
      <c r="D246" t="inlineStr">
        <is>
          <t>DALARNAS LÄN</t>
        </is>
      </c>
      <c r="E246" t="inlineStr">
        <is>
          <t>LEKSAND</t>
        </is>
      </c>
      <c r="G246" t="n">
        <v>3</v>
      </c>
      <c r="H246" t="n">
        <v>0</v>
      </c>
      <c r="I246" t="n">
        <v>0</v>
      </c>
      <c r="J246" t="n">
        <v>0</v>
      </c>
      <c r="K246" t="n">
        <v>0</v>
      </c>
      <c r="L246" t="n">
        <v>0</v>
      </c>
      <c r="M246" t="n">
        <v>0</v>
      </c>
      <c r="N246" t="n">
        <v>0</v>
      </c>
      <c r="O246" t="n">
        <v>0</v>
      </c>
      <c r="P246" t="n">
        <v>0</v>
      </c>
      <c r="Q246" t="n">
        <v>0</v>
      </c>
      <c r="R246" s="2" t="inlineStr"/>
    </row>
    <row r="247" ht="15" customHeight="1">
      <c r="A247" t="inlineStr">
        <is>
          <t>A 52100-2024</t>
        </is>
      </c>
      <c r="B247" s="1" t="n">
        <v>45608.41634259259</v>
      </c>
      <c r="C247" s="1" t="n">
        <v>45904</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24373-2025</t>
        </is>
      </c>
      <c r="B248" s="1" t="n">
        <v>45797.61113425926</v>
      </c>
      <c r="C248" s="1" t="n">
        <v>45904</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53981-2024</t>
        </is>
      </c>
      <c r="B249" s="1" t="n">
        <v>45615</v>
      </c>
      <c r="C249" s="1" t="n">
        <v>45904</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22646-2025</t>
        </is>
      </c>
      <c r="B250" s="1" t="n">
        <v>45786</v>
      </c>
      <c r="C250" s="1" t="n">
        <v>45904</v>
      </c>
      <c r="D250" t="inlineStr">
        <is>
          <t>DALARNAS LÄN</t>
        </is>
      </c>
      <c r="E250" t="inlineStr">
        <is>
          <t>LEKSAND</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34033-2024</t>
        </is>
      </c>
      <c r="B251" s="1" t="n">
        <v>45523.59265046296</v>
      </c>
      <c r="C251" s="1" t="n">
        <v>45904</v>
      </c>
      <c r="D251" t="inlineStr">
        <is>
          <t>DALARNAS LÄN</t>
        </is>
      </c>
      <c r="E251" t="inlineStr">
        <is>
          <t>LEKSAND</t>
        </is>
      </c>
      <c r="G251" t="n">
        <v>2.6</v>
      </c>
      <c r="H251" t="n">
        <v>0</v>
      </c>
      <c r="I251" t="n">
        <v>0</v>
      </c>
      <c r="J251" t="n">
        <v>0</v>
      </c>
      <c r="K251" t="n">
        <v>0</v>
      </c>
      <c r="L251" t="n">
        <v>0</v>
      </c>
      <c r="M251" t="n">
        <v>0</v>
      </c>
      <c r="N251" t="n">
        <v>0</v>
      </c>
      <c r="O251" t="n">
        <v>0</v>
      </c>
      <c r="P251" t="n">
        <v>0</v>
      </c>
      <c r="Q251" t="n">
        <v>0</v>
      </c>
      <c r="R251" s="2" t="inlineStr"/>
    </row>
    <row r="252" ht="15" customHeight="1">
      <c r="A252" t="inlineStr">
        <is>
          <t>A 24317-2025</t>
        </is>
      </c>
      <c r="B252" s="1" t="n">
        <v>45797.53577546297</v>
      </c>
      <c r="C252" s="1" t="n">
        <v>45904</v>
      </c>
      <c r="D252" t="inlineStr">
        <is>
          <t>DALARNAS LÄN</t>
        </is>
      </c>
      <c r="E252" t="inlineStr">
        <is>
          <t>LEKSAND</t>
        </is>
      </c>
      <c r="G252" t="n">
        <v>3.4</v>
      </c>
      <c r="H252" t="n">
        <v>0</v>
      </c>
      <c r="I252" t="n">
        <v>0</v>
      </c>
      <c r="J252" t="n">
        <v>0</v>
      </c>
      <c r="K252" t="n">
        <v>0</v>
      </c>
      <c r="L252" t="n">
        <v>0</v>
      </c>
      <c r="M252" t="n">
        <v>0</v>
      </c>
      <c r="N252" t="n">
        <v>0</v>
      </c>
      <c r="O252" t="n">
        <v>0</v>
      </c>
      <c r="P252" t="n">
        <v>0</v>
      </c>
      <c r="Q252" t="n">
        <v>0</v>
      </c>
      <c r="R252" s="2" t="inlineStr"/>
    </row>
    <row r="253" ht="15" customHeight="1">
      <c r="A253" t="inlineStr">
        <is>
          <t>A 24919-2024</t>
        </is>
      </c>
      <c r="B253" s="1" t="n">
        <v>45461.60636574074</v>
      </c>
      <c r="C253" s="1" t="n">
        <v>45904</v>
      </c>
      <c r="D253" t="inlineStr">
        <is>
          <t>DALARNAS LÄN</t>
        </is>
      </c>
      <c r="E253" t="inlineStr">
        <is>
          <t>LEKSAND</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47503-2024</t>
        </is>
      </c>
      <c r="B254" s="1" t="n">
        <v>45587.60262731482</v>
      </c>
      <c r="C254" s="1" t="n">
        <v>45904</v>
      </c>
      <c r="D254" t="inlineStr">
        <is>
          <t>DALARNAS LÄN</t>
        </is>
      </c>
      <c r="E254" t="inlineStr">
        <is>
          <t>LEKSAND</t>
        </is>
      </c>
      <c r="G254" t="n">
        <v>3.6</v>
      </c>
      <c r="H254" t="n">
        <v>0</v>
      </c>
      <c r="I254" t="n">
        <v>0</v>
      </c>
      <c r="J254" t="n">
        <v>0</v>
      </c>
      <c r="K254" t="n">
        <v>0</v>
      </c>
      <c r="L254" t="n">
        <v>0</v>
      </c>
      <c r="M254" t="n">
        <v>0</v>
      </c>
      <c r="N254" t="n">
        <v>0</v>
      </c>
      <c r="O254" t="n">
        <v>0</v>
      </c>
      <c r="P254" t="n">
        <v>0</v>
      </c>
      <c r="Q254" t="n">
        <v>0</v>
      </c>
      <c r="R254" s="2" t="inlineStr"/>
    </row>
    <row r="255" ht="15" customHeight="1">
      <c r="A255" t="inlineStr">
        <is>
          <t>A 56211-2023</t>
        </is>
      </c>
      <c r="B255" s="1" t="n">
        <v>45240</v>
      </c>
      <c r="C255" s="1" t="n">
        <v>45904</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402-2024</t>
        </is>
      </c>
      <c r="B256" s="1" t="n">
        <v>45296.45545138889</v>
      </c>
      <c r="C256" s="1" t="n">
        <v>45904</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24369-2025</t>
        </is>
      </c>
      <c r="B257" s="1" t="n">
        <v>45797.60731481481</v>
      </c>
      <c r="C257" s="1" t="n">
        <v>45904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24715-2025</t>
        </is>
      </c>
      <c r="B258" s="1" t="n">
        <v>45798.97899305556</v>
      </c>
      <c r="C258" s="1" t="n">
        <v>45904</v>
      </c>
      <c r="D258" t="inlineStr">
        <is>
          <t>DALARNAS LÄN</t>
        </is>
      </c>
      <c r="E258" t="inlineStr">
        <is>
          <t>LEKSAND</t>
        </is>
      </c>
      <c r="G258" t="n">
        <v>8.4</v>
      </c>
      <c r="H258" t="n">
        <v>0</v>
      </c>
      <c r="I258" t="n">
        <v>0</v>
      </c>
      <c r="J258" t="n">
        <v>0</v>
      </c>
      <c r="K258" t="n">
        <v>0</v>
      </c>
      <c r="L258" t="n">
        <v>0</v>
      </c>
      <c r="M258" t="n">
        <v>0</v>
      </c>
      <c r="N258" t="n">
        <v>0</v>
      </c>
      <c r="O258" t="n">
        <v>0</v>
      </c>
      <c r="P258" t="n">
        <v>0</v>
      </c>
      <c r="Q258" t="n">
        <v>0</v>
      </c>
      <c r="R258" s="2" t="inlineStr"/>
    </row>
    <row r="259" ht="15" customHeight="1">
      <c r="A259" t="inlineStr">
        <is>
          <t>A 40868-2024</t>
        </is>
      </c>
      <c r="B259" s="1" t="n">
        <v>45558</v>
      </c>
      <c r="C259" s="1" t="n">
        <v>45904</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2517-2024</t>
        </is>
      </c>
      <c r="B260" s="1" t="n">
        <v>45313</v>
      </c>
      <c r="C260" s="1" t="n">
        <v>45904</v>
      </c>
      <c r="D260" t="inlineStr">
        <is>
          <t>DALARNAS LÄN</t>
        </is>
      </c>
      <c r="E260" t="inlineStr">
        <is>
          <t>LEKSAND</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14504-2025</t>
        </is>
      </c>
      <c r="B261" s="1" t="n">
        <v>45741</v>
      </c>
      <c r="C261" s="1" t="n">
        <v>45904</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59199-2024</t>
        </is>
      </c>
      <c r="B262" s="1" t="n">
        <v>45637</v>
      </c>
      <c r="C262" s="1" t="n">
        <v>45904</v>
      </c>
      <c r="D262" t="inlineStr">
        <is>
          <t>DALARNAS LÄN</t>
        </is>
      </c>
      <c r="E262" t="inlineStr">
        <is>
          <t>LEKSAND</t>
        </is>
      </c>
      <c r="G262" t="n">
        <v>5.4</v>
      </c>
      <c r="H262" t="n">
        <v>0</v>
      </c>
      <c r="I262" t="n">
        <v>0</v>
      </c>
      <c r="J262" t="n">
        <v>0</v>
      </c>
      <c r="K262" t="n">
        <v>0</v>
      </c>
      <c r="L262" t="n">
        <v>0</v>
      </c>
      <c r="M262" t="n">
        <v>0</v>
      </c>
      <c r="N262" t="n">
        <v>0</v>
      </c>
      <c r="O262" t="n">
        <v>0</v>
      </c>
      <c r="P262" t="n">
        <v>0</v>
      </c>
      <c r="Q262" t="n">
        <v>0</v>
      </c>
      <c r="R262" s="2" t="inlineStr"/>
    </row>
    <row r="263" ht="15" customHeight="1">
      <c r="A263" t="inlineStr">
        <is>
          <t>A 24714-2025</t>
        </is>
      </c>
      <c r="B263" s="1" t="n">
        <v>45798.96927083333</v>
      </c>
      <c r="C263" s="1" t="n">
        <v>45904</v>
      </c>
      <c r="D263" t="inlineStr">
        <is>
          <t>DALARNAS LÄN</t>
        </is>
      </c>
      <c r="E263" t="inlineStr">
        <is>
          <t>LEKSAND</t>
        </is>
      </c>
      <c r="F263" t="inlineStr">
        <is>
          <t>Bergvik skog väst AB</t>
        </is>
      </c>
      <c r="G263" t="n">
        <v>6.2</v>
      </c>
      <c r="H263" t="n">
        <v>0</v>
      </c>
      <c r="I263" t="n">
        <v>0</v>
      </c>
      <c r="J263" t="n">
        <v>0</v>
      </c>
      <c r="K263" t="n">
        <v>0</v>
      </c>
      <c r="L263" t="n">
        <v>0</v>
      </c>
      <c r="M263" t="n">
        <v>0</v>
      </c>
      <c r="N263" t="n">
        <v>0</v>
      </c>
      <c r="O263" t="n">
        <v>0</v>
      </c>
      <c r="P263" t="n">
        <v>0</v>
      </c>
      <c r="Q263" t="n">
        <v>0</v>
      </c>
      <c r="R263" s="2" t="inlineStr"/>
    </row>
    <row r="264" ht="15" customHeight="1">
      <c r="A264" t="inlineStr">
        <is>
          <t>A 36932-2023</t>
        </is>
      </c>
      <c r="B264" s="1" t="n">
        <v>45154</v>
      </c>
      <c r="C264" s="1" t="n">
        <v>45904</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2579-2022</t>
        </is>
      </c>
      <c r="B265" s="1" t="n">
        <v>44580</v>
      </c>
      <c r="C265" s="1" t="n">
        <v>45904</v>
      </c>
      <c r="D265" t="inlineStr">
        <is>
          <t>DALARNAS LÄN</t>
        </is>
      </c>
      <c r="E265" t="inlineStr">
        <is>
          <t>LEKSAND</t>
        </is>
      </c>
      <c r="G265" t="n">
        <v>0.3</v>
      </c>
      <c r="H265" t="n">
        <v>0</v>
      </c>
      <c r="I265" t="n">
        <v>0</v>
      </c>
      <c r="J265" t="n">
        <v>0</v>
      </c>
      <c r="K265" t="n">
        <v>0</v>
      </c>
      <c r="L265" t="n">
        <v>0</v>
      </c>
      <c r="M265" t="n">
        <v>0</v>
      </c>
      <c r="N265" t="n">
        <v>0</v>
      </c>
      <c r="O265" t="n">
        <v>0</v>
      </c>
      <c r="P265" t="n">
        <v>0</v>
      </c>
      <c r="Q265" t="n">
        <v>0</v>
      </c>
      <c r="R265" s="2" t="inlineStr"/>
    </row>
    <row r="266" ht="15" customHeight="1">
      <c r="A266" t="inlineStr">
        <is>
          <t>A 57013-2023</t>
        </is>
      </c>
      <c r="B266" s="1" t="n">
        <v>45244</v>
      </c>
      <c r="C266" s="1" t="n">
        <v>45904</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2140-2024</t>
        </is>
      </c>
      <c r="B267" s="1" t="n">
        <v>45309</v>
      </c>
      <c r="C267" s="1" t="n">
        <v>45904</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23615-2024</t>
        </is>
      </c>
      <c r="B268" s="1" t="n">
        <v>45454.43050925926</v>
      </c>
      <c r="C268" s="1" t="n">
        <v>45904</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22349-2024</t>
        </is>
      </c>
      <c r="B269" s="1" t="n">
        <v>45446</v>
      </c>
      <c r="C269" s="1" t="n">
        <v>45904</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53717-2023</t>
        </is>
      </c>
      <c r="B270" s="1" t="n">
        <v>45230</v>
      </c>
      <c r="C270" s="1" t="n">
        <v>45904</v>
      </c>
      <c r="D270" t="inlineStr">
        <is>
          <t>DALARNAS LÄN</t>
        </is>
      </c>
      <c r="E270" t="inlineStr">
        <is>
          <t>LEKSAND</t>
        </is>
      </c>
      <c r="G270" t="n">
        <v>2.4</v>
      </c>
      <c r="H270" t="n">
        <v>0</v>
      </c>
      <c r="I270" t="n">
        <v>0</v>
      </c>
      <c r="J270" t="n">
        <v>0</v>
      </c>
      <c r="K270" t="n">
        <v>0</v>
      </c>
      <c r="L270" t="n">
        <v>0</v>
      </c>
      <c r="M270" t="n">
        <v>0</v>
      </c>
      <c r="N270" t="n">
        <v>0</v>
      </c>
      <c r="O270" t="n">
        <v>0</v>
      </c>
      <c r="P270" t="n">
        <v>0</v>
      </c>
      <c r="Q270" t="n">
        <v>0</v>
      </c>
      <c r="R270" s="2" t="inlineStr"/>
    </row>
    <row r="271" ht="15" customHeight="1">
      <c r="A271" t="inlineStr">
        <is>
          <t>A 25610-2025</t>
        </is>
      </c>
      <c r="B271" s="1" t="n">
        <v>45803.56033564815</v>
      </c>
      <c r="C271" s="1" t="n">
        <v>45904</v>
      </c>
      <c r="D271" t="inlineStr">
        <is>
          <t>DALARNAS LÄN</t>
        </is>
      </c>
      <c r="E271" t="inlineStr">
        <is>
          <t>LEKSAND</t>
        </is>
      </c>
      <c r="G271" t="n">
        <v>5.2</v>
      </c>
      <c r="H271" t="n">
        <v>0</v>
      </c>
      <c r="I271" t="n">
        <v>0</v>
      </c>
      <c r="J271" t="n">
        <v>0</v>
      </c>
      <c r="K271" t="n">
        <v>0</v>
      </c>
      <c r="L271" t="n">
        <v>0</v>
      </c>
      <c r="M271" t="n">
        <v>0</v>
      </c>
      <c r="N271" t="n">
        <v>0</v>
      </c>
      <c r="O271" t="n">
        <v>0</v>
      </c>
      <c r="P271" t="n">
        <v>0</v>
      </c>
      <c r="Q271" t="n">
        <v>0</v>
      </c>
      <c r="R271" s="2" t="inlineStr"/>
    </row>
    <row r="272" ht="15" customHeight="1">
      <c r="A272" t="inlineStr">
        <is>
          <t>A 64516-2023</t>
        </is>
      </c>
      <c r="B272" s="1" t="n">
        <v>45280</v>
      </c>
      <c r="C272" s="1" t="n">
        <v>45904</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25105-2025</t>
        </is>
      </c>
      <c r="B273" s="1" t="n">
        <v>45800.34751157407</v>
      </c>
      <c r="C273" s="1" t="n">
        <v>45904</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45788-2021</t>
        </is>
      </c>
      <c r="B274" s="1" t="n">
        <v>44441</v>
      </c>
      <c r="C274" s="1" t="n">
        <v>45904</v>
      </c>
      <c r="D274" t="inlineStr">
        <is>
          <t>DALARNAS LÄN</t>
        </is>
      </c>
      <c r="E274" t="inlineStr">
        <is>
          <t>LEKSAND</t>
        </is>
      </c>
      <c r="G274" t="n">
        <v>3</v>
      </c>
      <c r="H274" t="n">
        <v>0</v>
      </c>
      <c r="I274" t="n">
        <v>0</v>
      </c>
      <c r="J274" t="n">
        <v>0</v>
      </c>
      <c r="K274" t="n">
        <v>0</v>
      </c>
      <c r="L274" t="n">
        <v>0</v>
      </c>
      <c r="M274" t="n">
        <v>0</v>
      </c>
      <c r="N274" t="n">
        <v>0</v>
      </c>
      <c r="O274" t="n">
        <v>0</v>
      </c>
      <c r="P274" t="n">
        <v>0</v>
      </c>
      <c r="Q274" t="n">
        <v>0</v>
      </c>
      <c r="R274" s="2" t="inlineStr"/>
    </row>
    <row r="275" ht="15" customHeight="1">
      <c r="A275" t="inlineStr">
        <is>
          <t>A 57925-2024</t>
        </is>
      </c>
      <c r="B275" s="1" t="n">
        <v>45630</v>
      </c>
      <c r="C275" s="1" t="n">
        <v>45904</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11004-2023</t>
        </is>
      </c>
      <c r="B276" s="1" t="n">
        <v>44986</v>
      </c>
      <c r="C276" s="1" t="n">
        <v>45904</v>
      </c>
      <c r="D276" t="inlineStr">
        <is>
          <t>DALARNAS LÄN</t>
        </is>
      </c>
      <c r="E276" t="inlineStr">
        <is>
          <t>LEKSAND</t>
        </is>
      </c>
      <c r="G276" t="n">
        <v>1.3</v>
      </c>
      <c r="H276" t="n">
        <v>0</v>
      </c>
      <c r="I276" t="n">
        <v>0</v>
      </c>
      <c r="J276" t="n">
        <v>0</v>
      </c>
      <c r="K276" t="n">
        <v>0</v>
      </c>
      <c r="L276" t="n">
        <v>0</v>
      </c>
      <c r="M276" t="n">
        <v>0</v>
      </c>
      <c r="N276" t="n">
        <v>0</v>
      </c>
      <c r="O276" t="n">
        <v>0</v>
      </c>
      <c r="P276" t="n">
        <v>0</v>
      </c>
      <c r="Q276" t="n">
        <v>0</v>
      </c>
      <c r="R276" s="2" t="inlineStr"/>
    </row>
    <row r="277" ht="15" customHeight="1">
      <c r="A277" t="inlineStr">
        <is>
          <t>A 52977-2022</t>
        </is>
      </c>
      <c r="B277" s="1" t="n">
        <v>44875</v>
      </c>
      <c r="C277" s="1" t="n">
        <v>45904</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25096-2025</t>
        </is>
      </c>
      <c r="B278" s="1" t="n">
        <v>45800.33868055556</v>
      </c>
      <c r="C278" s="1" t="n">
        <v>45904</v>
      </c>
      <c r="D278" t="inlineStr">
        <is>
          <t>DALARNAS LÄN</t>
        </is>
      </c>
      <c r="E278" t="inlineStr">
        <is>
          <t>LEKSAND</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32688-2024</t>
        </is>
      </c>
      <c r="B279" s="1" t="n">
        <v>45515.83091435185</v>
      </c>
      <c r="C279" s="1" t="n">
        <v>45904</v>
      </c>
      <c r="D279" t="inlineStr">
        <is>
          <t>DALARNAS LÄN</t>
        </is>
      </c>
      <c r="E279" t="inlineStr">
        <is>
          <t>LEKSAND</t>
        </is>
      </c>
      <c r="G279" t="n">
        <v>1.3</v>
      </c>
      <c r="H279" t="n">
        <v>0</v>
      </c>
      <c r="I279" t="n">
        <v>0</v>
      </c>
      <c r="J279" t="n">
        <v>0</v>
      </c>
      <c r="K279" t="n">
        <v>0</v>
      </c>
      <c r="L279" t="n">
        <v>0</v>
      </c>
      <c r="M279" t="n">
        <v>0</v>
      </c>
      <c r="N279" t="n">
        <v>0</v>
      </c>
      <c r="O279" t="n">
        <v>0</v>
      </c>
      <c r="P279" t="n">
        <v>0</v>
      </c>
      <c r="Q279" t="n">
        <v>0</v>
      </c>
      <c r="R279" s="2" t="inlineStr"/>
    </row>
    <row r="280" ht="15" customHeight="1">
      <c r="A280" t="inlineStr">
        <is>
          <t>A 31255-2023</t>
        </is>
      </c>
      <c r="B280" s="1" t="n">
        <v>45114.36729166667</v>
      </c>
      <c r="C280" s="1" t="n">
        <v>45904</v>
      </c>
      <c r="D280" t="inlineStr">
        <is>
          <t>DALARNAS LÄN</t>
        </is>
      </c>
      <c r="E280" t="inlineStr">
        <is>
          <t>LEKSAND</t>
        </is>
      </c>
      <c r="G280" t="n">
        <v>1.3</v>
      </c>
      <c r="H280" t="n">
        <v>0</v>
      </c>
      <c r="I280" t="n">
        <v>0</v>
      </c>
      <c r="J280" t="n">
        <v>0</v>
      </c>
      <c r="K280" t="n">
        <v>0</v>
      </c>
      <c r="L280" t="n">
        <v>0</v>
      </c>
      <c r="M280" t="n">
        <v>0</v>
      </c>
      <c r="N280" t="n">
        <v>0</v>
      </c>
      <c r="O280" t="n">
        <v>0</v>
      </c>
      <c r="P280" t="n">
        <v>0</v>
      </c>
      <c r="Q280" t="n">
        <v>0</v>
      </c>
      <c r="R280" s="2" t="inlineStr"/>
    </row>
    <row r="281" ht="15" customHeight="1">
      <c r="A281" t="inlineStr">
        <is>
          <t>A 43221-2024</t>
        </is>
      </c>
      <c r="B281" s="1" t="n">
        <v>45567.86695601852</v>
      </c>
      <c r="C281" s="1" t="n">
        <v>45904</v>
      </c>
      <c r="D281" t="inlineStr">
        <is>
          <t>DALARNAS LÄN</t>
        </is>
      </c>
      <c r="E281" t="inlineStr">
        <is>
          <t>LEKSAND</t>
        </is>
      </c>
      <c r="G281" t="n">
        <v>1.1</v>
      </c>
      <c r="H281" t="n">
        <v>0</v>
      </c>
      <c r="I281" t="n">
        <v>0</v>
      </c>
      <c r="J281" t="n">
        <v>0</v>
      </c>
      <c r="K281" t="n">
        <v>0</v>
      </c>
      <c r="L281" t="n">
        <v>0</v>
      </c>
      <c r="M281" t="n">
        <v>0</v>
      </c>
      <c r="N281" t="n">
        <v>0</v>
      </c>
      <c r="O281" t="n">
        <v>0</v>
      </c>
      <c r="P281" t="n">
        <v>0</v>
      </c>
      <c r="Q281" t="n">
        <v>0</v>
      </c>
      <c r="R281" s="2" t="inlineStr"/>
    </row>
    <row r="282" ht="15" customHeight="1">
      <c r="A282" t="inlineStr">
        <is>
          <t>A 43419-2024</t>
        </is>
      </c>
      <c r="B282" s="1" t="n">
        <v>45568</v>
      </c>
      <c r="C282" s="1" t="n">
        <v>45904</v>
      </c>
      <c r="D282" t="inlineStr">
        <is>
          <t>DALARNAS LÄN</t>
        </is>
      </c>
      <c r="E282" t="inlineStr">
        <is>
          <t>LEKSAND</t>
        </is>
      </c>
      <c r="G282" t="n">
        <v>0.4</v>
      </c>
      <c r="H282" t="n">
        <v>0</v>
      </c>
      <c r="I282" t="n">
        <v>0</v>
      </c>
      <c r="J282" t="n">
        <v>0</v>
      </c>
      <c r="K282" t="n">
        <v>0</v>
      </c>
      <c r="L282" t="n">
        <v>0</v>
      </c>
      <c r="M282" t="n">
        <v>0</v>
      </c>
      <c r="N282" t="n">
        <v>0</v>
      </c>
      <c r="O282" t="n">
        <v>0</v>
      </c>
      <c r="P282" t="n">
        <v>0</v>
      </c>
      <c r="Q282" t="n">
        <v>0</v>
      </c>
      <c r="R282" s="2" t="inlineStr"/>
    </row>
    <row r="283" ht="15" customHeight="1">
      <c r="A283" t="inlineStr">
        <is>
          <t>A 47854-2023</t>
        </is>
      </c>
      <c r="B283" s="1" t="n">
        <v>45198</v>
      </c>
      <c r="C283" s="1" t="n">
        <v>45904</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28633-2023</t>
        </is>
      </c>
      <c r="B284" s="1" t="n">
        <v>45103.61575231481</v>
      </c>
      <c r="C284" s="1" t="n">
        <v>45904</v>
      </c>
      <c r="D284" t="inlineStr">
        <is>
          <t>DALARNAS LÄN</t>
        </is>
      </c>
      <c r="E284" t="inlineStr">
        <is>
          <t>LEKSAND</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9459-2023</t>
        </is>
      </c>
      <c r="B285" s="1" t="n">
        <v>44977</v>
      </c>
      <c r="C285" s="1" t="n">
        <v>45904</v>
      </c>
      <c r="D285" t="inlineStr">
        <is>
          <t>DALARNAS LÄN</t>
        </is>
      </c>
      <c r="E285" t="inlineStr">
        <is>
          <t>LEKSAND</t>
        </is>
      </c>
      <c r="G285" t="n">
        <v>1.1</v>
      </c>
      <c r="H285" t="n">
        <v>0</v>
      </c>
      <c r="I285" t="n">
        <v>0</v>
      </c>
      <c r="J285" t="n">
        <v>0</v>
      </c>
      <c r="K285" t="n">
        <v>0</v>
      </c>
      <c r="L285" t="n">
        <v>0</v>
      </c>
      <c r="M285" t="n">
        <v>0</v>
      </c>
      <c r="N285" t="n">
        <v>0</v>
      </c>
      <c r="O285" t="n">
        <v>0</v>
      </c>
      <c r="P285" t="n">
        <v>0</v>
      </c>
      <c r="Q285" t="n">
        <v>0</v>
      </c>
      <c r="R285" s="2" t="inlineStr"/>
    </row>
    <row r="286" ht="15" customHeight="1">
      <c r="A286" t="inlineStr">
        <is>
          <t>A 30198-2024</t>
        </is>
      </c>
      <c r="B286" s="1" t="n">
        <v>45490.34765046297</v>
      </c>
      <c r="C286" s="1" t="n">
        <v>45904</v>
      </c>
      <c r="D286" t="inlineStr">
        <is>
          <t>DALARNAS LÄN</t>
        </is>
      </c>
      <c r="E286" t="inlineStr">
        <is>
          <t>LEKSAND</t>
        </is>
      </c>
      <c r="G286" t="n">
        <v>0.8</v>
      </c>
      <c r="H286" t="n">
        <v>0</v>
      </c>
      <c r="I286" t="n">
        <v>0</v>
      </c>
      <c r="J286" t="n">
        <v>0</v>
      </c>
      <c r="K286" t="n">
        <v>0</v>
      </c>
      <c r="L286" t="n">
        <v>0</v>
      </c>
      <c r="M286" t="n">
        <v>0</v>
      </c>
      <c r="N286" t="n">
        <v>0</v>
      </c>
      <c r="O286" t="n">
        <v>0</v>
      </c>
      <c r="P286" t="n">
        <v>0</v>
      </c>
      <c r="Q286" t="n">
        <v>0</v>
      </c>
      <c r="R286" s="2" t="inlineStr"/>
    </row>
    <row r="287" ht="15" customHeight="1">
      <c r="A287" t="inlineStr">
        <is>
          <t>A 59718-2023</t>
        </is>
      </c>
      <c r="B287" s="1" t="n">
        <v>45257</v>
      </c>
      <c r="C287" s="1" t="n">
        <v>45904</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17589-2025</t>
        </is>
      </c>
      <c r="B288" s="1" t="n">
        <v>45757.67844907408</v>
      </c>
      <c r="C288" s="1" t="n">
        <v>45904</v>
      </c>
      <c r="D288" t="inlineStr">
        <is>
          <t>DALARNAS LÄN</t>
        </is>
      </c>
      <c r="E288" t="inlineStr">
        <is>
          <t>LEKSAND</t>
        </is>
      </c>
      <c r="G288" t="n">
        <v>5.8</v>
      </c>
      <c r="H288" t="n">
        <v>0</v>
      </c>
      <c r="I288" t="n">
        <v>0</v>
      </c>
      <c r="J288" t="n">
        <v>0</v>
      </c>
      <c r="K288" t="n">
        <v>0</v>
      </c>
      <c r="L288" t="n">
        <v>0</v>
      </c>
      <c r="M288" t="n">
        <v>0</v>
      </c>
      <c r="N288" t="n">
        <v>0</v>
      </c>
      <c r="O288" t="n">
        <v>0</v>
      </c>
      <c r="P288" t="n">
        <v>0</v>
      </c>
      <c r="Q288" t="n">
        <v>0</v>
      </c>
      <c r="R288" s="2" t="inlineStr"/>
    </row>
    <row r="289" ht="15" customHeight="1">
      <c r="A289" t="inlineStr">
        <is>
          <t>A 7395-2025</t>
        </is>
      </c>
      <c r="B289" s="1" t="n">
        <v>45705.34516203704</v>
      </c>
      <c r="C289" s="1" t="n">
        <v>45904</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16744-2025</t>
        </is>
      </c>
      <c r="B290" s="1" t="n">
        <v>45754</v>
      </c>
      <c r="C290" s="1" t="n">
        <v>45904</v>
      </c>
      <c r="D290" t="inlineStr">
        <is>
          <t>DALARNAS LÄN</t>
        </is>
      </c>
      <c r="E290" t="inlineStr">
        <is>
          <t>LEKSAND</t>
        </is>
      </c>
      <c r="F290" t="inlineStr">
        <is>
          <t>Bergvik skog väst AB</t>
        </is>
      </c>
      <c r="G290" t="n">
        <v>1.8</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44750.48355324074</v>
      </c>
      <c r="C291" s="1" t="n">
        <v>45904</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11080-2023</t>
        </is>
      </c>
      <c r="B292" s="1" t="n">
        <v>44992</v>
      </c>
      <c r="C292" s="1" t="n">
        <v>45904</v>
      </c>
      <c r="D292" t="inlineStr">
        <is>
          <t>DALARNAS LÄN</t>
        </is>
      </c>
      <c r="E292" t="inlineStr">
        <is>
          <t>LEKSAND</t>
        </is>
      </c>
      <c r="G292" t="n">
        <v>6.9</v>
      </c>
      <c r="H292" t="n">
        <v>0</v>
      </c>
      <c r="I292" t="n">
        <v>0</v>
      </c>
      <c r="J292" t="n">
        <v>0</v>
      </c>
      <c r="K292" t="n">
        <v>0</v>
      </c>
      <c r="L292" t="n">
        <v>0</v>
      </c>
      <c r="M292" t="n">
        <v>0</v>
      </c>
      <c r="N292" t="n">
        <v>0</v>
      </c>
      <c r="O292" t="n">
        <v>0</v>
      </c>
      <c r="P292" t="n">
        <v>0</v>
      </c>
      <c r="Q292" t="n">
        <v>0</v>
      </c>
      <c r="R292" s="2" t="inlineStr"/>
    </row>
    <row r="293" ht="15" customHeight="1">
      <c r="A293" t="inlineStr">
        <is>
          <t>A 320-2023</t>
        </is>
      </c>
      <c r="B293" s="1" t="n">
        <v>44929</v>
      </c>
      <c r="C293" s="1" t="n">
        <v>45904</v>
      </c>
      <c r="D293" t="inlineStr">
        <is>
          <t>DALARNAS LÄN</t>
        </is>
      </c>
      <c r="E293" t="inlineStr">
        <is>
          <t>LEKSAND</t>
        </is>
      </c>
      <c r="F293" t="inlineStr">
        <is>
          <t>Övriga Aktiebolag</t>
        </is>
      </c>
      <c r="G293" t="n">
        <v>5.4</v>
      </c>
      <c r="H293" t="n">
        <v>0</v>
      </c>
      <c r="I293" t="n">
        <v>0</v>
      </c>
      <c r="J293" t="n">
        <v>0</v>
      </c>
      <c r="K293" t="n">
        <v>0</v>
      </c>
      <c r="L293" t="n">
        <v>0</v>
      </c>
      <c r="M293" t="n">
        <v>0</v>
      </c>
      <c r="N293" t="n">
        <v>0</v>
      </c>
      <c r="O293" t="n">
        <v>0</v>
      </c>
      <c r="P293" t="n">
        <v>0</v>
      </c>
      <c r="Q293" t="n">
        <v>0</v>
      </c>
      <c r="R293" s="2" t="inlineStr"/>
    </row>
    <row r="294" ht="15" customHeight="1">
      <c r="A294" t="inlineStr">
        <is>
          <t>A 11859-2024</t>
        </is>
      </c>
      <c r="B294" s="1" t="n">
        <v>45376.44569444445</v>
      </c>
      <c r="C294" s="1" t="n">
        <v>45904</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26423-2025</t>
        </is>
      </c>
      <c r="B295" s="1" t="n">
        <v>45807.37829861111</v>
      </c>
      <c r="C295" s="1" t="n">
        <v>45904</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40181-2023</t>
        </is>
      </c>
      <c r="B296" s="1" t="n">
        <v>45169</v>
      </c>
      <c r="C296" s="1" t="n">
        <v>45904</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51320-2023</t>
        </is>
      </c>
      <c r="B297" s="1" t="n">
        <v>45219.57456018519</v>
      </c>
      <c r="C297" s="1" t="n">
        <v>45904</v>
      </c>
      <c r="D297" t="inlineStr">
        <is>
          <t>DALARNAS LÄN</t>
        </is>
      </c>
      <c r="E297" t="inlineStr">
        <is>
          <t>LEKSAND</t>
        </is>
      </c>
      <c r="G297" t="n">
        <v>2.1</v>
      </c>
      <c r="H297" t="n">
        <v>0</v>
      </c>
      <c r="I297" t="n">
        <v>0</v>
      </c>
      <c r="J297" t="n">
        <v>0</v>
      </c>
      <c r="K297" t="n">
        <v>0</v>
      </c>
      <c r="L297" t="n">
        <v>0</v>
      </c>
      <c r="M297" t="n">
        <v>0</v>
      </c>
      <c r="N297" t="n">
        <v>0</v>
      </c>
      <c r="O297" t="n">
        <v>0</v>
      </c>
      <c r="P297" t="n">
        <v>0</v>
      </c>
      <c r="Q297" t="n">
        <v>0</v>
      </c>
      <c r="R297" s="2" t="inlineStr"/>
    </row>
    <row r="298" ht="15" customHeight="1">
      <c r="A298" t="inlineStr">
        <is>
          <t>A 26386-2025</t>
        </is>
      </c>
      <c r="B298" s="1" t="n">
        <v>45806</v>
      </c>
      <c r="C298" s="1" t="n">
        <v>45904</v>
      </c>
      <c r="D298" t="inlineStr">
        <is>
          <t>DALARNAS LÄN</t>
        </is>
      </c>
      <c r="E298" t="inlineStr">
        <is>
          <t>LEKSAND</t>
        </is>
      </c>
      <c r="F298" t="inlineStr">
        <is>
          <t>Bergvik skog väst AB</t>
        </is>
      </c>
      <c r="G298" t="n">
        <v>26.3</v>
      </c>
      <c r="H298" t="n">
        <v>0</v>
      </c>
      <c r="I298" t="n">
        <v>0</v>
      </c>
      <c r="J298" t="n">
        <v>0</v>
      </c>
      <c r="K298" t="n">
        <v>0</v>
      </c>
      <c r="L298" t="n">
        <v>0</v>
      </c>
      <c r="M298" t="n">
        <v>0</v>
      </c>
      <c r="N298" t="n">
        <v>0</v>
      </c>
      <c r="O298" t="n">
        <v>0</v>
      </c>
      <c r="P298" t="n">
        <v>0</v>
      </c>
      <c r="Q298" t="n">
        <v>0</v>
      </c>
      <c r="R298" s="2" t="inlineStr"/>
    </row>
    <row r="299" ht="15" customHeight="1">
      <c r="A299" t="inlineStr">
        <is>
          <t>A 28630-2023</t>
        </is>
      </c>
      <c r="B299" s="1" t="n">
        <v>45103.61003472222</v>
      </c>
      <c r="C299" s="1" t="n">
        <v>45904</v>
      </c>
      <c r="D299" t="inlineStr">
        <is>
          <t>DALARNAS LÄN</t>
        </is>
      </c>
      <c r="E299" t="inlineStr">
        <is>
          <t>LEKSAND</t>
        </is>
      </c>
      <c r="F299" t="inlineStr">
        <is>
          <t>Bergvik skog väst AB</t>
        </is>
      </c>
      <c r="G299" t="n">
        <v>0.3</v>
      </c>
      <c r="H299" t="n">
        <v>0</v>
      </c>
      <c r="I299" t="n">
        <v>0</v>
      </c>
      <c r="J299" t="n">
        <v>0</v>
      </c>
      <c r="K299" t="n">
        <v>0</v>
      </c>
      <c r="L299" t="n">
        <v>0</v>
      </c>
      <c r="M299" t="n">
        <v>0</v>
      </c>
      <c r="N299" t="n">
        <v>0</v>
      </c>
      <c r="O299" t="n">
        <v>0</v>
      </c>
      <c r="P299" t="n">
        <v>0</v>
      </c>
      <c r="Q299" t="n">
        <v>0</v>
      </c>
      <c r="R299" s="2" t="inlineStr"/>
    </row>
    <row r="300" ht="15" customHeight="1">
      <c r="A300" t="inlineStr">
        <is>
          <t>A 16829-2025</t>
        </is>
      </c>
      <c r="B300" s="1" t="n">
        <v>45754</v>
      </c>
      <c r="C300" s="1" t="n">
        <v>45904</v>
      </c>
      <c r="D300" t="inlineStr">
        <is>
          <t>DALARNAS LÄN</t>
        </is>
      </c>
      <c r="E300" t="inlineStr">
        <is>
          <t>LEKSAND</t>
        </is>
      </c>
      <c r="F300" t="inlineStr">
        <is>
          <t>Bergvik skog väst AB</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63544-2023</t>
        </is>
      </c>
      <c r="B301" s="1" t="n">
        <v>45275</v>
      </c>
      <c r="C301" s="1" t="n">
        <v>45904</v>
      </c>
      <c r="D301" t="inlineStr">
        <is>
          <t>DALARNAS LÄN</t>
        </is>
      </c>
      <c r="E301" t="inlineStr">
        <is>
          <t>LEKSAND</t>
        </is>
      </c>
      <c r="G301" t="n">
        <v>0.3</v>
      </c>
      <c r="H301" t="n">
        <v>0</v>
      </c>
      <c r="I301" t="n">
        <v>0</v>
      </c>
      <c r="J301" t="n">
        <v>0</v>
      </c>
      <c r="K301" t="n">
        <v>0</v>
      </c>
      <c r="L301" t="n">
        <v>0</v>
      </c>
      <c r="M301" t="n">
        <v>0</v>
      </c>
      <c r="N301" t="n">
        <v>0</v>
      </c>
      <c r="O301" t="n">
        <v>0</v>
      </c>
      <c r="P301" t="n">
        <v>0</v>
      </c>
      <c r="Q301" t="n">
        <v>0</v>
      </c>
      <c r="R301" s="2" t="inlineStr"/>
    </row>
    <row r="302" ht="15" customHeight="1">
      <c r="A302" t="inlineStr">
        <is>
          <t>A 30860-2024</t>
        </is>
      </c>
      <c r="B302" s="1" t="n">
        <v>45497.69108796296</v>
      </c>
      <c r="C302" s="1" t="n">
        <v>45904</v>
      </c>
      <c r="D302" t="inlineStr">
        <is>
          <t>DALARNAS LÄN</t>
        </is>
      </c>
      <c r="E302" t="inlineStr">
        <is>
          <t>LEKSAND</t>
        </is>
      </c>
      <c r="F302" t="inlineStr">
        <is>
          <t>Bergvik skog väst AB</t>
        </is>
      </c>
      <c r="G302" t="n">
        <v>0.7</v>
      </c>
      <c r="H302" t="n">
        <v>0</v>
      </c>
      <c r="I302" t="n">
        <v>0</v>
      </c>
      <c r="J302" t="n">
        <v>0</v>
      </c>
      <c r="K302" t="n">
        <v>0</v>
      </c>
      <c r="L302" t="n">
        <v>0</v>
      </c>
      <c r="M302" t="n">
        <v>0</v>
      </c>
      <c r="N302" t="n">
        <v>0</v>
      </c>
      <c r="O302" t="n">
        <v>0</v>
      </c>
      <c r="P302" t="n">
        <v>0</v>
      </c>
      <c r="Q302" t="n">
        <v>0</v>
      </c>
      <c r="R302" s="2" t="inlineStr"/>
    </row>
    <row r="303" ht="15" customHeight="1">
      <c r="A303" t="inlineStr">
        <is>
          <t>A 30864-2024</t>
        </is>
      </c>
      <c r="B303" s="1" t="n">
        <v>45497.71550925926</v>
      </c>
      <c r="C303" s="1" t="n">
        <v>45904</v>
      </c>
      <c r="D303" t="inlineStr">
        <is>
          <t>DALARNAS LÄN</t>
        </is>
      </c>
      <c r="E303" t="inlineStr">
        <is>
          <t>LEKSAND</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58877-2023</t>
        </is>
      </c>
      <c r="B304" s="1" t="n">
        <v>45252</v>
      </c>
      <c r="C304" s="1" t="n">
        <v>45904</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51377-2023</t>
        </is>
      </c>
      <c r="B305" s="1" t="n">
        <v>45219</v>
      </c>
      <c r="C305" s="1" t="n">
        <v>45904</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61252-2023</t>
        </is>
      </c>
      <c r="B306" s="1" t="n">
        <v>45261</v>
      </c>
      <c r="C306" s="1" t="n">
        <v>45904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52572-2024</t>
        </is>
      </c>
      <c r="B307" s="1" t="n">
        <v>45609.66488425926</v>
      </c>
      <c r="C307" s="1" t="n">
        <v>45904</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41853-2023</t>
        </is>
      </c>
      <c r="B308" s="1" t="n">
        <v>45176.62483796296</v>
      </c>
      <c r="C308" s="1" t="n">
        <v>45904</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27520-2023</t>
        </is>
      </c>
      <c r="B309" s="1" t="n">
        <v>45097</v>
      </c>
      <c r="C309" s="1" t="n">
        <v>45904</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55926-2024</t>
        </is>
      </c>
      <c r="B310" s="1" t="n">
        <v>45623.601875</v>
      </c>
      <c r="C310" s="1" t="n">
        <v>45904</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49405-2024</t>
        </is>
      </c>
      <c r="B311" s="1" t="n">
        <v>45595</v>
      </c>
      <c r="C311" s="1" t="n">
        <v>45904</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45512-2023</t>
        </is>
      </c>
      <c r="B312" s="1" t="n">
        <v>45194.49178240741</v>
      </c>
      <c r="C312" s="1" t="n">
        <v>45904</v>
      </c>
      <c r="D312" t="inlineStr">
        <is>
          <t>DALARNAS LÄN</t>
        </is>
      </c>
      <c r="E312" t="inlineStr">
        <is>
          <t>LEKSAND</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44731.8799537037</v>
      </c>
      <c r="C313" s="1" t="n">
        <v>45904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17078-2023</t>
        </is>
      </c>
      <c r="B314" s="1" t="n">
        <v>45034</v>
      </c>
      <c r="C314" s="1" t="n">
        <v>45904</v>
      </c>
      <c r="D314" t="inlineStr">
        <is>
          <t>DALARNAS LÄN</t>
        </is>
      </c>
      <c r="E314" t="inlineStr">
        <is>
          <t>LEKSAND</t>
        </is>
      </c>
      <c r="G314" t="n">
        <v>0.5</v>
      </c>
      <c r="H314" t="n">
        <v>0</v>
      </c>
      <c r="I314" t="n">
        <v>0</v>
      </c>
      <c r="J314" t="n">
        <v>0</v>
      </c>
      <c r="K314" t="n">
        <v>0</v>
      </c>
      <c r="L314" t="n">
        <v>0</v>
      </c>
      <c r="M314" t="n">
        <v>0</v>
      </c>
      <c r="N314" t="n">
        <v>0</v>
      </c>
      <c r="O314" t="n">
        <v>0</v>
      </c>
      <c r="P314" t="n">
        <v>0</v>
      </c>
      <c r="Q314" t="n">
        <v>0</v>
      </c>
      <c r="R314" s="2" t="inlineStr"/>
    </row>
    <row r="315" ht="15" customHeight="1">
      <c r="A315" t="inlineStr">
        <is>
          <t>A 11110-2023</t>
        </is>
      </c>
      <c r="B315" s="1" t="n">
        <v>44992</v>
      </c>
      <c r="C315" s="1" t="n">
        <v>45904</v>
      </c>
      <c r="D315" t="inlineStr">
        <is>
          <t>DALARNAS LÄN</t>
        </is>
      </c>
      <c r="E315" t="inlineStr">
        <is>
          <t>LEKSAND</t>
        </is>
      </c>
      <c r="G315" t="n">
        <v>11.2</v>
      </c>
      <c r="H315" t="n">
        <v>0</v>
      </c>
      <c r="I315" t="n">
        <v>0</v>
      </c>
      <c r="J315" t="n">
        <v>0</v>
      </c>
      <c r="K315" t="n">
        <v>0</v>
      </c>
      <c r="L315" t="n">
        <v>0</v>
      </c>
      <c r="M315" t="n">
        <v>0</v>
      </c>
      <c r="N315" t="n">
        <v>0</v>
      </c>
      <c r="O315" t="n">
        <v>0</v>
      </c>
      <c r="P315" t="n">
        <v>0</v>
      </c>
      <c r="Q315" t="n">
        <v>0</v>
      </c>
      <c r="R315" s="2" t="inlineStr"/>
    </row>
    <row r="316" ht="15" customHeight="1">
      <c r="A316" t="inlineStr">
        <is>
          <t>A 60024-2023</t>
        </is>
      </c>
      <c r="B316" s="1" t="n">
        <v>45258</v>
      </c>
      <c r="C316" s="1" t="n">
        <v>45904</v>
      </c>
      <c r="D316" t="inlineStr">
        <is>
          <t>DALARNAS LÄN</t>
        </is>
      </c>
      <c r="E316" t="inlineStr">
        <is>
          <t>LEKSAND</t>
        </is>
      </c>
      <c r="G316" t="n">
        <v>4.2</v>
      </c>
      <c r="H316" t="n">
        <v>0</v>
      </c>
      <c r="I316" t="n">
        <v>0</v>
      </c>
      <c r="J316" t="n">
        <v>0</v>
      </c>
      <c r="K316" t="n">
        <v>0</v>
      </c>
      <c r="L316" t="n">
        <v>0</v>
      </c>
      <c r="M316" t="n">
        <v>0</v>
      </c>
      <c r="N316" t="n">
        <v>0</v>
      </c>
      <c r="O316" t="n">
        <v>0</v>
      </c>
      <c r="P316" t="n">
        <v>0</v>
      </c>
      <c r="Q316" t="n">
        <v>0</v>
      </c>
      <c r="R316" s="2" t="inlineStr"/>
    </row>
    <row r="317" ht="15" customHeight="1">
      <c r="A317" t="inlineStr">
        <is>
          <t>A 19330-2025</t>
        </is>
      </c>
      <c r="B317" s="1" t="n">
        <v>45769</v>
      </c>
      <c r="C317" s="1" t="n">
        <v>45904</v>
      </c>
      <c r="D317" t="inlineStr">
        <is>
          <t>DALARNAS LÄN</t>
        </is>
      </c>
      <c r="E317" t="inlineStr">
        <is>
          <t>LEKSAND</t>
        </is>
      </c>
      <c r="G317" t="n">
        <v>1.6</v>
      </c>
      <c r="H317" t="n">
        <v>0</v>
      </c>
      <c r="I317" t="n">
        <v>0</v>
      </c>
      <c r="J317" t="n">
        <v>0</v>
      </c>
      <c r="K317" t="n">
        <v>0</v>
      </c>
      <c r="L317" t="n">
        <v>0</v>
      </c>
      <c r="M317" t="n">
        <v>0</v>
      </c>
      <c r="N317" t="n">
        <v>0</v>
      </c>
      <c r="O317" t="n">
        <v>0</v>
      </c>
      <c r="P317" t="n">
        <v>0</v>
      </c>
      <c r="Q317" t="n">
        <v>0</v>
      </c>
      <c r="R317" s="2" t="inlineStr"/>
    </row>
    <row r="318" ht="15" customHeight="1">
      <c r="A318" t="inlineStr">
        <is>
          <t>A 27323-2025</t>
        </is>
      </c>
      <c r="B318" s="1" t="n">
        <v>45812.60392361111</v>
      </c>
      <c r="C318" s="1" t="n">
        <v>45904</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59826-2023</t>
        </is>
      </c>
      <c r="B319" s="1" t="n">
        <v>45254</v>
      </c>
      <c r="C319" s="1" t="n">
        <v>45904</v>
      </c>
      <c r="D319" t="inlineStr">
        <is>
          <t>DALARNAS LÄN</t>
        </is>
      </c>
      <c r="E319" t="inlineStr">
        <is>
          <t>LEKSAND</t>
        </is>
      </c>
      <c r="G319" t="n">
        <v>1.1</v>
      </c>
      <c r="H319" t="n">
        <v>0</v>
      </c>
      <c r="I319" t="n">
        <v>0</v>
      </c>
      <c r="J319" t="n">
        <v>0</v>
      </c>
      <c r="K319" t="n">
        <v>0</v>
      </c>
      <c r="L319" t="n">
        <v>0</v>
      </c>
      <c r="M319" t="n">
        <v>0</v>
      </c>
      <c r="N319" t="n">
        <v>0</v>
      </c>
      <c r="O319" t="n">
        <v>0</v>
      </c>
      <c r="P319" t="n">
        <v>0</v>
      </c>
      <c r="Q319" t="n">
        <v>0</v>
      </c>
      <c r="R319" s="2" t="inlineStr"/>
    </row>
    <row r="320" ht="15" customHeight="1">
      <c r="A320" t="inlineStr">
        <is>
          <t>A 28913-2024</t>
        </is>
      </c>
      <c r="B320" s="1" t="n">
        <v>45480.75318287037</v>
      </c>
      <c r="C320" s="1" t="n">
        <v>45904</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27262-2025</t>
        </is>
      </c>
      <c r="B321" s="1" t="n">
        <v>45812</v>
      </c>
      <c r="C321" s="1" t="n">
        <v>45904</v>
      </c>
      <c r="D321" t="inlineStr">
        <is>
          <t>DALARNAS LÄN</t>
        </is>
      </c>
      <c r="E321" t="inlineStr">
        <is>
          <t>LEKSAND</t>
        </is>
      </c>
      <c r="F321" t="inlineStr">
        <is>
          <t>Bergvik skog väst AB</t>
        </is>
      </c>
      <c r="G321" t="n">
        <v>7.7</v>
      </c>
      <c r="H321" t="n">
        <v>0</v>
      </c>
      <c r="I321" t="n">
        <v>0</v>
      </c>
      <c r="J321" t="n">
        <v>0</v>
      </c>
      <c r="K321" t="n">
        <v>0</v>
      </c>
      <c r="L321" t="n">
        <v>0</v>
      </c>
      <c r="M321" t="n">
        <v>0</v>
      </c>
      <c r="N321" t="n">
        <v>0</v>
      </c>
      <c r="O321" t="n">
        <v>0</v>
      </c>
      <c r="P321" t="n">
        <v>0</v>
      </c>
      <c r="Q321" t="n">
        <v>0</v>
      </c>
      <c r="R321" s="2" t="inlineStr"/>
    </row>
    <row r="322" ht="15" customHeight="1">
      <c r="A322" t="inlineStr">
        <is>
          <t>A 14617-2024</t>
        </is>
      </c>
      <c r="B322" s="1" t="n">
        <v>45397</v>
      </c>
      <c r="C322" s="1" t="n">
        <v>45904</v>
      </c>
      <c r="D322" t="inlineStr">
        <is>
          <t>DALARNAS LÄN</t>
        </is>
      </c>
      <c r="E322" t="inlineStr">
        <is>
          <t>LEKSAND</t>
        </is>
      </c>
      <c r="G322" t="n">
        <v>0.2</v>
      </c>
      <c r="H322" t="n">
        <v>0</v>
      </c>
      <c r="I322" t="n">
        <v>0</v>
      </c>
      <c r="J322" t="n">
        <v>0</v>
      </c>
      <c r="K322" t="n">
        <v>0</v>
      </c>
      <c r="L322" t="n">
        <v>0</v>
      </c>
      <c r="M322" t="n">
        <v>0</v>
      </c>
      <c r="N322" t="n">
        <v>0</v>
      </c>
      <c r="O322" t="n">
        <v>0</v>
      </c>
      <c r="P322" t="n">
        <v>0</v>
      </c>
      <c r="Q322" t="n">
        <v>0</v>
      </c>
      <c r="R322" s="2" t="inlineStr"/>
    </row>
    <row r="323" ht="15" customHeight="1">
      <c r="A323" t="inlineStr">
        <is>
          <t>A 12646-2025</t>
        </is>
      </c>
      <c r="B323" s="1" t="n">
        <v>45733.39496527778</v>
      </c>
      <c r="C323" s="1" t="n">
        <v>45904</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60945-2024</t>
        </is>
      </c>
      <c r="B324" s="1" t="n">
        <v>45645.37893518519</v>
      </c>
      <c r="C324" s="1" t="n">
        <v>45904</v>
      </c>
      <c r="D324" t="inlineStr">
        <is>
          <t>DALARNAS LÄN</t>
        </is>
      </c>
      <c r="E324" t="inlineStr">
        <is>
          <t>LEKSAND</t>
        </is>
      </c>
      <c r="G324" t="n">
        <v>2.2</v>
      </c>
      <c r="H324" t="n">
        <v>0</v>
      </c>
      <c r="I324" t="n">
        <v>0</v>
      </c>
      <c r="J324" t="n">
        <v>0</v>
      </c>
      <c r="K324" t="n">
        <v>0</v>
      </c>
      <c r="L324" t="n">
        <v>0</v>
      </c>
      <c r="M324" t="n">
        <v>0</v>
      </c>
      <c r="N324" t="n">
        <v>0</v>
      </c>
      <c r="O324" t="n">
        <v>0</v>
      </c>
      <c r="P324" t="n">
        <v>0</v>
      </c>
      <c r="Q324" t="n">
        <v>0</v>
      </c>
      <c r="R324" s="2" t="inlineStr"/>
    </row>
    <row r="325" ht="15" customHeight="1">
      <c r="A325" t="inlineStr">
        <is>
          <t>A 56059-2024</t>
        </is>
      </c>
      <c r="B325" s="1" t="n">
        <v>45624.36729166667</v>
      </c>
      <c r="C325" s="1" t="n">
        <v>45904</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27332-2025</t>
        </is>
      </c>
      <c r="B326" s="1" t="n">
        <v>45812.61265046296</v>
      </c>
      <c r="C326" s="1" t="n">
        <v>45904</v>
      </c>
      <c r="D326" t="inlineStr">
        <is>
          <t>DALARNAS LÄN</t>
        </is>
      </c>
      <c r="E326" t="inlineStr">
        <is>
          <t>LEKSAND</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60692-2023</t>
        </is>
      </c>
      <c r="B327" s="1" t="n">
        <v>45260.50008101852</v>
      </c>
      <c r="C327" s="1" t="n">
        <v>45904</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7467-2023</t>
        </is>
      </c>
      <c r="B328" s="1" t="n">
        <v>44966</v>
      </c>
      <c r="C328" s="1" t="n">
        <v>45904</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27183-2025</t>
        </is>
      </c>
      <c r="B329" s="1" t="n">
        <v>45812.36097222222</v>
      </c>
      <c r="C329" s="1" t="n">
        <v>45904</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44491-2023</t>
        </is>
      </c>
      <c r="B330" s="1" t="n">
        <v>45183</v>
      </c>
      <c r="C330" s="1" t="n">
        <v>45904</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27680-2025</t>
        </is>
      </c>
      <c r="B331" s="1" t="n">
        <v>45813.64618055556</v>
      </c>
      <c r="C331" s="1" t="n">
        <v>45904</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27682-2025</t>
        </is>
      </c>
      <c r="B332" s="1" t="n">
        <v>45813.64782407408</v>
      </c>
      <c r="C332" s="1" t="n">
        <v>45904</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45943-2022</t>
        </is>
      </c>
      <c r="B333" s="1" t="n">
        <v>44846.64418981481</v>
      </c>
      <c r="C333" s="1" t="n">
        <v>45904</v>
      </c>
      <c r="D333" t="inlineStr">
        <is>
          <t>DALARNAS LÄN</t>
        </is>
      </c>
      <c r="E333" t="inlineStr">
        <is>
          <t>LEKSAND</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27705-2025</t>
        </is>
      </c>
      <c r="B334" s="1" t="n">
        <v>45813</v>
      </c>
      <c r="C334" s="1" t="n">
        <v>45904</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27329-2025</t>
        </is>
      </c>
      <c r="B335" s="1" t="n">
        <v>45812.60864583333</v>
      </c>
      <c r="C335" s="1" t="n">
        <v>45904</v>
      </c>
      <c r="D335" t="inlineStr">
        <is>
          <t>DALARNAS LÄN</t>
        </is>
      </c>
      <c r="E335" t="inlineStr">
        <is>
          <t>LEKSAND</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60920-2020</t>
        </is>
      </c>
      <c r="B336" s="1" t="n">
        <v>44153</v>
      </c>
      <c r="C336" s="1" t="n">
        <v>45904</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61614-2023</t>
        </is>
      </c>
      <c r="B337" s="1" t="n">
        <v>45261</v>
      </c>
      <c r="C337" s="1" t="n">
        <v>45904</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7928-2023</t>
        </is>
      </c>
      <c r="B338" s="1" t="n">
        <v>44973</v>
      </c>
      <c r="C338" s="1" t="n">
        <v>45904</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45904</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60113-2022</t>
        </is>
      </c>
      <c r="B340" s="1" t="n">
        <v>44909</v>
      </c>
      <c r="C340" s="1" t="n">
        <v>45904</v>
      </c>
      <c r="D340" t="inlineStr">
        <is>
          <t>DALARNAS LÄN</t>
        </is>
      </c>
      <c r="E340" t="inlineStr">
        <is>
          <t>LEKSAND</t>
        </is>
      </c>
      <c r="G340" t="n">
        <v>3.7</v>
      </c>
      <c r="H340" t="n">
        <v>0</v>
      </c>
      <c r="I340" t="n">
        <v>0</v>
      </c>
      <c r="J340" t="n">
        <v>0</v>
      </c>
      <c r="K340" t="n">
        <v>0</v>
      </c>
      <c r="L340" t="n">
        <v>0</v>
      </c>
      <c r="M340" t="n">
        <v>0</v>
      </c>
      <c r="N340" t="n">
        <v>0</v>
      </c>
      <c r="O340" t="n">
        <v>0</v>
      </c>
      <c r="P340" t="n">
        <v>0</v>
      </c>
      <c r="Q340" t="n">
        <v>0</v>
      </c>
      <c r="R340" s="2" t="inlineStr"/>
    </row>
    <row r="341" ht="15" customHeight="1">
      <c r="A341" t="inlineStr">
        <is>
          <t>A 19550-2023</t>
        </is>
      </c>
      <c r="B341" s="1" t="n">
        <v>45049</v>
      </c>
      <c r="C341" s="1" t="n">
        <v>45904</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31915-2024</t>
        </is>
      </c>
      <c r="B342" s="1" t="n">
        <v>45510.38956018518</v>
      </c>
      <c r="C342" s="1" t="n">
        <v>45904</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27984-2025</t>
        </is>
      </c>
      <c r="B343" s="1" t="n">
        <v>45817.57710648148</v>
      </c>
      <c r="C343" s="1" t="n">
        <v>45904</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51480-2022</t>
        </is>
      </c>
      <c r="B344" s="1" t="n">
        <v>44869.57961805556</v>
      </c>
      <c r="C344" s="1" t="n">
        <v>45904</v>
      </c>
      <c r="D344" t="inlineStr">
        <is>
          <t>DALARNAS LÄN</t>
        </is>
      </c>
      <c r="E344" t="inlineStr">
        <is>
          <t>LEKSAND</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1267-2025</t>
        </is>
      </c>
      <c r="B345" s="1" t="n">
        <v>45667</v>
      </c>
      <c r="C345" s="1" t="n">
        <v>45904</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14792-2024</t>
        </is>
      </c>
      <c r="B346" s="1" t="n">
        <v>45397.8344212963</v>
      </c>
      <c r="C346" s="1" t="n">
        <v>45904</v>
      </c>
      <c r="D346" t="inlineStr">
        <is>
          <t>DALARNAS LÄN</t>
        </is>
      </c>
      <c r="E346" t="inlineStr">
        <is>
          <t>LEKSAND</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28499-2025</t>
        </is>
      </c>
      <c r="B347" s="1" t="n">
        <v>45818</v>
      </c>
      <c r="C347" s="1" t="n">
        <v>45904</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43220-2024</t>
        </is>
      </c>
      <c r="B348" s="1" t="n">
        <v>45567.86112268519</v>
      </c>
      <c r="C348" s="1" t="n">
        <v>45904</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19700-2025</t>
        </is>
      </c>
      <c r="B349" s="1" t="n">
        <v>45771.32445601852</v>
      </c>
      <c r="C349" s="1" t="n">
        <v>45904</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28483-2025</t>
        </is>
      </c>
      <c r="B350" s="1" t="n">
        <v>45818</v>
      </c>
      <c r="C350" s="1" t="n">
        <v>45904</v>
      </c>
      <c r="D350" t="inlineStr">
        <is>
          <t>DALARNAS LÄN</t>
        </is>
      </c>
      <c r="E350" t="inlineStr">
        <is>
          <t>LEKSAND</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28458-2025</t>
        </is>
      </c>
      <c r="B351" s="1" t="n">
        <v>45819.413125</v>
      </c>
      <c r="C351" s="1" t="n">
        <v>45904</v>
      </c>
      <c r="D351" t="inlineStr">
        <is>
          <t>DALARNAS LÄN</t>
        </is>
      </c>
      <c r="E351" t="inlineStr">
        <is>
          <t>LEKSAND</t>
        </is>
      </c>
      <c r="G351" t="n">
        <v>3</v>
      </c>
      <c r="H351" t="n">
        <v>0</v>
      </c>
      <c r="I351" t="n">
        <v>0</v>
      </c>
      <c r="J351" t="n">
        <v>0</v>
      </c>
      <c r="K351" t="n">
        <v>0</v>
      </c>
      <c r="L351" t="n">
        <v>0</v>
      </c>
      <c r="M351" t="n">
        <v>0</v>
      </c>
      <c r="N351" t="n">
        <v>0</v>
      </c>
      <c r="O351" t="n">
        <v>0</v>
      </c>
      <c r="P351" t="n">
        <v>0</v>
      </c>
      <c r="Q351" t="n">
        <v>0</v>
      </c>
      <c r="R351" s="2" t="inlineStr"/>
    </row>
    <row r="352" ht="15" customHeight="1">
      <c r="A352" t="inlineStr">
        <is>
          <t>A 28505-2025</t>
        </is>
      </c>
      <c r="B352" s="1" t="n">
        <v>45818</v>
      </c>
      <c r="C352" s="1" t="n">
        <v>45904</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28488-2025</t>
        </is>
      </c>
      <c r="B353" s="1" t="n">
        <v>45818</v>
      </c>
      <c r="C353" s="1" t="n">
        <v>45904</v>
      </c>
      <c r="D353" t="inlineStr">
        <is>
          <t>DALARNAS LÄN</t>
        </is>
      </c>
      <c r="E353" t="inlineStr">
        <is>
          <t>LEKSAND</t>
        </is>
      </c>
      <c r="G353" t="n">
        <v>1.1</v>
      </c>
      <c r="H353" t="n">
        <v>0</v>
      </c>
      <c r="I353" t="n">
        <v>0</v>
      </c>
      <c r="J353" t="n">
        <v>0</v>
      </c>
      <c r="K353" t="n">
        <v>0</v>
      </c>
      <c r="L353" t="n">
        <v>0</v>
      </c>
      <c r="M353" t="n">
        <v>0</v>
      </c>
      <c r="N353" t="n">
        <v>0</v>
      </c>
      <c r="O353" t="n">
        <v>0</v>
      </c>
      <c r="P353" t="n">
        <v>0</v>
      </c>
      <c r="Q353" t="n">
        <v>0</v>
      </c>
      <c r="R353" s="2" t="inlineStr"/>
    </row>
    <row r="354" ht="15" customHeight="1">
      <c r="A354" t="inlineStr">
        <is>
          <t>A 12582-2025</t>
        </is>
      </c>
      <c r="B354" s="1" t="n">
        <v>45732.62988425926</v>
      </c>
      <c r="C354" s="1" t="n">
        <v>45904</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28770-2025</t>
        </is>
      </c>
      <c r="B355" s="1" t="n">
        <v>45820</v>
      </c>
      <c r="C355" s="1" t="n">
        <v>45904</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62116-2024</t>
        </is>
      </c>
      <c r="B356" s="1" t="n">
        <v>45646</v>
      </c>
      <c r="C356" s="1" t="n">
        <v>45904</v>
      </c>
      <c r="D356" t="inlineStr">
        <is>
          <t>DALARNAS LÄN</t>
        </is>
      </c>
      <c r="E356" t="inlineStr">
        <is>
          <t>LEKSAND</t>
        </is>
      </c>
      <c r="G356" t="n">
        <v>1.4</v>
      </c>
      <c r="H356" t="n">
        <v>0</v>
      </c>
      <c r="I356" t="n">
        <v>0</v>
      </c>
      <c r="J356" t="n">
        <v>0</v>
      </c>
      <c r="K356" t="n">
        <v>0</v>
      </c>
      <c r="L356" t="n">
        <v>0</v>
      </c>
      <c r="M356" t="n">
        <v>0</v>
      </c>
      <c r="N356" t="n">
        <v>0</v>
      </c>
      <c r="O356" t="n">
        <v>0</v>
      </c>
      <c r="P356" t="n">
        <v>0</v>
      </c>
      <c r="Q356" t="n">
        <v>0</v>
      </c>
      <c r="R356" s="2" t="inlineStr"/>
    </row>
    <row r="357" ht="15" customHeight="1">
      <c r="A357" t="inlineStr">
        <is>
          <t>A 28985-2025</t>
        </is>
      </c>
      <c r="B357" s="1" t="n">
        <v>45821.36862268519</v>
      </c>
      <c r="C357" s="1" t="n">
        <v>45904</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30169-2023</t>
        </is>
      </c>
      <c r="B358" s="1" t="n">
        <v>45110</v>
      </c>
      <c r="C358" s="1" t="n">
        <v>45904</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35998-2025</t>
        </is>
      </c>
      <c r="B359" s="1" t="n">
        <v>45863.51550925926</v>
      </c>
      <c r="C359" s="1" t="n">
        <v>45904</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49397-2024</t>
        </is>
      </c>
      <c r="B360" s="1" t="n">
        <v>45595</v>
      </c>
      <c r="C360" s="1" t="n">
        <v>45904</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29553-2025</t>
        </is>
      </c>
      <c r="B361" s="1" t="n">
        <v>45825.35315972222</v>
      </c>
      <c r="C361" s="1" t="n">
        <v>45904</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57907-2024</t>
        </is>
      </c>
      <c r="B362" s="1" t="n">
        <v>45630</v>
      </c>
      <c r="C362" s="1" t="n">
        <v>45904</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13063-2023</t>
        </is>
      </c>
      <c r="B363" s="1" t="n">
        <v>45001</v>
      </c>
      <c r="C363" s="1" t="n">
        <v>45904</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14943-2023</t>
        </is>
      </c>
      <c r="B364" s="1" t="n">
        <v>45015</v>
      </c>
      <c r="C364" s="1" t="n">
        <v>45904</v>
      </c>
      <c r="D364" t="inlineStr">
        <is>
          <t>DALARNAS LÄN</t>
        </is>
      </c>
      <c r="E364" t="inlineStr">
        <is>
          <t>LEKSAND</t>
        </is>
      </c>
      <c r="G364" t="n">
        <v>1.7</v>
      </c>
      <c r="H364" t="n">
        <v>0</v>
      </c>
      <c r="I364" t="n">
        <v>0</v>
      </c>
      <c r="J364" t="n">
        <v>0</v>
      </c>
      <c r="K364" t="n">
        <v>0</v>
      </c>
      <c r="L364" t="n">
        <v>0</v>
      </c>
      <c r="M364" t="n">
        <v>0</v>
      </c>
      <c r="N364" t="n">
        <v>0</v>
      </c>
      <c r="O364" t="n">
        <v>0</v>
      </c>
      <c r="P364" t="n">
        <v>0</v>
      </c>
      <c r="Q364" t="n">
        <v>0</v>
      </c>
      <c r="R364" s="2" t="inlineStr"/>
    </row>
    <row r="365" ht="15" customHeight="1">
      <c r="A365" t="inlineStr">
        <is>
          <t>A 29005-2025</t>
        </is>
      </c>
      <c r="B365" s="1" t="n">
        <v>45821.39326388889</v>
      </c>
      <c r="C365" s="1" t="n">
        <v>45904</v>
      </c>
      <c r="D365" t="inlineStr">
        <is>
          <t>DALARNAS LÄN</t>
        </is>
      </c>
      <c r="E365" t="inlineStr">
        <is>
          <t>LEKSAND</t>
        </is>
      </c>
      <c r="G365" t="n">
        <v>2.1</v>
      </c>
      <c r="H365" t="n">
        <v>0</v>
      </c>
      <c r="I365" t="n">
        <v>0</v>
      </c>
      <c r="J365" t="n">
        <v>0</v>
      </c>
      <c r="K365" t="n">
        <v>0</v>
      </c>
      <c r="L365" t="n">
        <v>0</v>
      </c>
      <c r="M365" t="n">
        <v>0</v>
      </c>
      <c r="N365" t="n">
        <v>0</v>
      </c>
      <c r="O365" t="n">
        <v>0</v>
      </c>
      <c r="P365" t="n">
        <v>0</v>
      </c>
      <c r="Q365" t="n">
        <v>0</v>
      </c>
      <c r="R365" s="2" t="inlineStr"/>
    </row>
    <row r="366" ht="15" customHeight="1">
      <c r="A366" t="inlineStr">
        <is>
          <t>A 29729-2025</t>
        </is>
      </c>
      <c r="B366" s="1" t="n">
        <v>45825.58077546296</v>
      </c>
      <c r="C366" s="1" t="n">
        <v>45904</v>
      </c>
      <c r="D366" t="inlineStr">
        <is>
          <t>DALARNAS LÄN</t>
        </is>
      </c>
      <c r="E366" t="inlineStr">
        <is>
          <t>LEKSAND</t>
        </is>
      </c>
      <c r="F366" t="inlineStr">
        <is>
          <t>Bergvik skog väst AB</t>
        </is>
      </c>
      <c r="G366" t="n">
        <v>4.3</v>
      </c>
      <c r="H366" t="n">
        <v>0</v>
      </c>
      <c r="I366" t="n">
        <v>0</v>
      </c>
      <c r="J366" t="n">
        <v>0</v>
      </c>
      <c r="K366" t="n">
        <v>0</v>
      </c>
      <c r="L366" t="n">
        <v>0</v>
      </c>
      <c r="M366" t="n">
        <v>0</v>
      </c>
      <c r="N366" t="n">
        <v>0</v>
      </c>
      <c r="O366" t="n">
        <v>0</v>
      </c>
      <c r="P366" t="n">
        <v>0</v>
      </c>
      <c r="Q366" t="n">
        <v>0</v>
      </c>
      <c r="R366" s="2" t="inlineStr"/>
    </row>
    <row r="367" ht="15" customHeight="1">
      <c r="A367" t="inlineStr">
        <is>
          <t>A 30254-2025</t>
        </is>
      </c>
      <c r="B367" s="1" t="n">
        <v>45827.42336805556</v>
      </c>
      <c r="C367" s="1" t="n">
        <v>45904</v>
      </c>
      <c r="D367" t="inlineStr">
        <is>
          <t>DALARNAS LÄN</t>
        </is>
      </c>
      <c r="E367" t="inlineStr">
        <is>
          <t>LEKSAND</t>
        </is>
      </c>
      <c r="G367" t="n">
        <v>3.5</v>
      </c>
      <c r="H367" t="n">
        <v>0</v>
      </c>
      <c r="I367" t="n">
        <v>0</v>
      </c>
      <c r="J367" t="n">
        <v>0</v>
      </c>
      <c r="K367" t="n">
        <v>0</v>
      </c>
      <c r="L367" t="n">
        <v>0</v>
      </c>
      <c r="M367" t="n">
        <v>0</v>
      </c>
      <c r="N367" t="n">
        <v>0</v>
      </c>
      <c r="O367" t="n">
        <v>0</v>
      </c>
      <c r="P367" t="n">
        <v>0</v>
      </c>
      <c r="Q367" t="n">
        <v>0</v>
      </c>
      <c r="R367" s="2" t="inlineStr"/>
    </row>
    <row r="368" ht="15" customHeight="1">
      <c r="A368" t="inlineStr">
        <is>
          <t>A 54289-2023</t>
        </is>
      </c>
      <c r="B368" s="1" t="n">
        <v>45232.71193287037</v>
      </c>
      <c r="C368" s="1" t="n">
        <v>45904</v>
      </c>
      <c r="D368" t="inlineStr">
        <is>
          <t>DALARNAS LÄN</t>
        </is>
      </c>
      <c r="E368" t="inlineStr">
        <is>
          <t>LEKSAND</t>
        </is>
      </c>
      <c r="G368" t="n">
        <v>2</v>
      </c>
      <c r="H368" t="n">
        <v>0</v>
      </c>
      <c r="I368" t="n">
        <v>0</v>
      </c>
      <c r="J368" t="n">
        <v>0</v>
      </c>
      <c r="K368" t="n">
        <v>0</v>
      </c>
      <c r="L368" t="n">
        <v>0</v>
      </c>
      <c r="M368" t="n">
        <v>0</v>
      </c>
      <c r="N368" t="n">
        <v>0</v>
      </c>
      <c r="O368" t="n">
        <v>0</v>
      </c>
      <c r="P368" t="n">
        <v>0</v>
      </c>
      <c r="Q368" t="n">
        <v>0</v>
      </c>
      <c r="R368" s="2" t="inlineStr"/>
    </row>
    <row r="369" ht="15" customHeight="1">
      <c r="A369" t="inlineStr">
        <is>
          <t>A 36540-2025</t>
        </is>
      </c>
      <c r="B369" s="1" t="n">
        <v>45869.63885416667</v>
      </c>
      <c r="C369" s="1" t="n">
        <v>45904</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11869-2024</t>
        </is>
      </c>
      <c r="B370" s="1" t="n">
        <v>45376.45800925926</v>
      </c>
      <c r="C370" s="1" t="n">
        <v>45904</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32666-2023</t>
        </is>
      </c>
      <c r="B371" s="1" t="n">
        <v>45121</v>
      </c>
      <c r="C371" s="1" t="n">
        <v>45904</v>
      </c>
      <c r="D371" t="inlineStr">
        <is>
          <t>DALARNAS LÄN</t>
        </is>
      </c>
      <c r="E371" t="inlineStr">
        <is>
          <t>LEKSAND</t>
        </is>
      </c>
      <c r="G371" t="n">
        <v>9.9</v>
      </c>
      <c r="H371" t="n">
        <v>0</v>
      </c>
      <c r="I371" t="n">
        <v>0</v>
      </c>
      <c r="J371" t="n">
        <v>0</v>
      </c>
      <c r="K371" t="n">
        <v>0</v>
      </c>
      <c r="L371" t="n">
        <v>0</v>
      </c>
      <c r="M371" t="n">
        <v>0</v>
      </c>
      <c r="N371" t="n">
        <v>0</v>
      </c>
      <c r="O371" t="n">
        <v>0</v>
      </c>
      <c r="P371" t="n">
        <v>0</v>
      </c>
      <c r="Q371" t="n">
        <v>0</v>
      </c>
      <c r="R371" s="2" t="inlineStr"/>
    </row>
    <row r="372" ht="15" customHeight="1">
      <c r="A372" t="inlineStr">
        <is>
          <t>A 5231-2024</t>
        </is>
      </c>
      <c r="B372" s="1" t="n">
        <v>45330</v>
      </c>
      <c r="C372" s="1" t="n">
        <v>45904</v>
      </c>
      <c r="D372" t="inlineStr">
        <is>
          <t>DALARNAS LÄN</t>
        </is>
      </c>
      <c r="E372" t="inlineStr">
        <is>
          <t>LEKSAND</t>
        </is>
      </c>
      <c r="F372" t="inlineStr">
        <is>
          <t>Bergvik skog väst AB</t>
        </is>
      </c>
      <c r="G372" t="n">
        <v>11.2</v>
      </c>
      <c r="H372" t="n">
        <v>0</v>
      </c>
      <c r="I372" t="n">
        <v>0</v>
      </c>
      <c r="J372" t="n">
        <v>0</v>
      </c>
      <c r="K372" t="n">
        <v>0</v>
      </c>
      <c r="L372" t="n">
        <v>0</v>
      </c>
      <c r="M372" t="n">
        <v>0</v>
      </c>
      <c r="N372" t="n">
        <v>0</v>
      </c>
      <c r="O372" t="n">
        <v>0</v>
      </c>
      <c r="P372" t="n">
        <v>0</v>
      </c>
      <c r="Q372" t="n">
        <v>0</v>
      </c>
      <c r="R372" s="2" t="inlineStr"/>
    </row>
    <row r="373" ht="15" customHeight="1">
      <c r="A373" t="inlineStr">
        <is>
          <t>A 16137-2023</t>
        </is>
      </c>
      <c r="B373" s="1" t="n">
        <v>45027</v>
      </c>
      <c r="C373" s="1" t="n">
        <v>45904</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19618-2024</t>
        </is>
      </c>
      <c r="B374" s="1" t="n">
        <v>45432.32896990741</v>
      </c>
      <c r="C374" s="1" t="n">
        <v>45904</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54682-2023</t>
        </is>
      </c>
      <c r="B375" s="1" t="n">
        <v>45235.90439814814</v>
      </c>
      <c r="C375" s="1" t="n">
        <v>45904</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9105-2024</t>
        </is>
      </c>
      <c r="B376" s="1" t="n">
        <v>45357</v>
      </c>
      <c r="C376" s="1" t="n">
        <v>45904</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30920-2025</t>
        </is>
      </c>
      <c r="B377" s="1" t="n">
        <v>45832.38484953704</v>
      </c>
      <c r="C377" s="1" t="n">
        <v>45904</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30969-2025</t>
        </is>
      </c>
      <c r="B378" s="1" t="n">
        <v>45832.45914351852</v>
      </c>
      <c r="C378" s="1" t="n">
        <v>45904</v>
      </c>
      <c r="D378" t="inlineStr">
        <is>
          <t>DALARNAS LÄN</t>
        </is>
      </c>
      <c r="E378" t="inlineStr">
        <is>
          <t>LEKSAND</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30917-2025</t>
        </is>
      </c>
      <c r="B379" s="1" t="n">
        <v>45832.37989583334</v>
      </c>
      <c r="C379" s="1" t="n">
        <v>45904</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24005-2024</t>
        </is>
      </c>
      <c r="B380" s="1" t="n">
        <v>45456.39239583333</v>
      </c>
      <c r="C380" s="1" t="n">
        <v>45904</v>
      </c>
      <c r="D380" t="inlineStr">
        <is>
          <t>DALARNAS LÄN</t>
        </is>
      </c>
      <c r="E380" t="inlineStr">
        <is>
          <t>LEKSAND</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5847-2025</t>
        </is>
      </c>
      <c r="B381" s="1" t="n">
        <v>45695.30824074074</v>
      </c>
      <c r="C381" s="1" t="n">
        <v>45904</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61225-2023</t>
        </is>
      </c>
      <c r="B382" s="1" t="n">
        <v>45264</v>
      </c>
      <c r="C382" s="1" t="n">
        <v>45904</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31619-2025</t>
        </is>
      </c>
      <c r="B383" s="1" t="n">
        <v>45833</v>
      </c>
      <c r="C383" s="1" t="n">
        <v>45904</v>
      </c>
      <c r="D383" t="inlineStr">
        <is>
          <t>DALARNAS LÄN</t>
        </is>
      </c>
      <c r="E383" t="inlineStr">
        <is>
          <t>LEKSAND</t>
        </is>
      </c>
      <c r="G383" t="n">
        <v>2.5</v>
      </c>
      <c r="H383" t="n">
        <v>0</v>
      </c>
      <c r="I383" t="n">
        <v>0</v>
      </c>
      <c r="J383" t="n">
        <v>0</v>
      </c>
      <c r="K383" t="n">
        <v>0</v>
      </c>
      <c r="L383" t="n">
        <v>0</v>
      </c>
      <c r="M383" t="n">
        <v>0</v>
      </c>
      <c r="N383" t="n">
        <v>0</v>
      </c>
      <c r="O383" t="n">
        <v>0</v>
      </c>
      <c r="P383" t="n">
        <v>0</v>
      </c>
      <c r="Q383" t="n">
        <v>0</v>
      </c>
      <c r="R383" s="2" t="inlineStr"/>
    </row>
    <row r="384" ht="15" customHeight="1">
      <c r="A384" t="inlineStr">
        <is>
          <t>A 30916-2025</t>
        </is>
      </c>
      <c r="B384" s="1" t="n">
        <v>45832.37885416667</v>
      </c>
      <c r="C384" s="1" t="n">
        <v>45904</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31446-2025</t>
        </is>
      </c>
      <c r="B385" s="1" t="n">
        <v>45833</v>
      </c>
      <c r="C385" s="1" t="n">
        <v>45904</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30911-2025</t>
        </is>
      </c>
      <c r="B386" s="1" t="n">
        <v>45832.37547453704</v>
      </c>
      <c r="C386" s="1" t="n">
        <v>45904</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60878-2023</t>
        </is>
      </c>
      <c r="B387" s="1" t="n">
        <v>45259</v>
      </c>
      <c r="C387" s="1" t="n">
        <v>45904</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15968-2025</t>
        </is>
      </c>
      <c r="B388" s="1" t="n">
        <v>45749.54818287037</v>
      </c>
      <c r="C388" s="1" t="n">
        <v>45904</v>
      </c>
      <c r="D388" t="inlineStr">
        <is>
          <t>DALARNAS LÄN</t>
        </is>
      </c>
      <c r="E388" t="inlineStr">
        <is>
          <t>LEKSAND</t>
        </is>
      </c>
      <c r="G388" t="n">
        <v>3.2</v>
      </c>
      <c r="H388" t="n">
        <v>0</v>
      </c>
      <c r="I388" t="n">
        <v>0</v>
      </c>
      <c r="J388" t="n">
        <v>0</v>
      </c>
      <c r="K388" t="n">
        <v>0</v>
      </c>
      <c r="L388" t="n">
        <v>0</v>
      </c>
      <c r="M388" t="n">
        <v>0</v>
      </c>
      <c r="N388" t="n">
        <v>0</v>
      </c>
      <c r="O388" t="n">
        <v>0</v>
      </c>
      <c r="P388" t="n">
        <v>0</v>
      </c>
      <c r="Q388" t="n">
        <v>0</v>
      </c>
      <c r="R388" s="2" t="inlineStr"/>
    </row>
    <row r="389" ht="15" customHeight="1">
      <c r="A389" t="inlineStr">
        <is>
          <t>A 36262-2023</t>
        </is>
      </c>
      <c r="B389" s="1" t="n">
        <v>45151.9096875</v>
      </c>
      <c r="C389" s="1" t="n">
        <v>45904</v>
      </c>
      <c r="D389" t="inlineStr">
        <is>
          <t>DALARNAS LÄN</t>
        </is>
      </c>
      <c r="E389" t="inlineStr">
        <is>
          <t>LEKSAND</t>
        </is>
      </c>
      <c r="G389" t="n">
        <v>1.2</v>
      </c>
      <c r="H389" t="n">
        <v>0</v>
      </c>
      <c r="I389" t="n">
        <v>0</v>
      </c>
      <c r="J389" t="n">
        <v>0</v>
      </c>
      <c r="K389" t="n">
        <v>0</v>
      </c>
      <c r="L389" t="n">
        <v>0</v>
      </c>
      <c r="M389" t="n">
        <v>0</v>
      </c>
      <c r="N389" t="n">
        <v>0</v>
      </c>
      <c r="O389" t="n">
        <v>0</v>
      </c>
      <c r="P389" t="n">
        <v>0</v>
      </c>
      <c r="Q389" t="n">
        <v>0</v>
      </c>
      <c r="R389" s="2" t="inlineStr"/>
    </row>
    <row r="390" ht="15" customHeight="1">
      <c r="A390" t="inlineStr">
        <is>
          <t>A 31179-2025</t>
        </is>
      </c>
      <c r="B390" s="1" t="n">
        <v>45832.67648148148</v>
      </c>
      <c r="C390" s="1" t="n">
        <v>45904</v>
      </c>
      <c r="D390" t="inlineStr">
        <is>
          <t>DALARNAS LÄN</t>
        </is>
      </c>
      <c r="E390" t="inlineStr">
        <is>
          <t>LEKSAND</t>
        </is>
      </c>
      <c r="G390" t="n">
        <v>4.7</v>
      </c>
      <c r="H390" t="n">
        <v>0</v>
      </c>
      <c r="I390" t="n">
        <v>0</v>
      </c>
      <c r="J390" t="n">
        <v>0</v>
      </c>
      <c r="K390" t="n">
        <v>0</v>
      </c>
      <c r="L390" t="n">
        <v>0</v>
      </c>
      <c r="M390" t="n">
        <v>0</v>
      </c>
      <c r="N390" t="n">
        <v>0</v>
      </c>
      <c r="O390" t="n">
        <v>0</v>
      </c>
      <c r="P390" t="n">
        <v>0</v>
      </c>
      <c r="Q390" t="n">
        <v>0</v>
      </c>
      <c r="R390" s="2" t="inlineStr"/>
    </row>
    <row r="391" ht="15" customHeight="1">
      <c r="A391" t="inlineStr">
        <is>
          <t>A 31189-2025</t>
        </is>
      </c>
      <c r="B391" s="1" t="n">
        <v>45832.6799537037</v>
      </c>
      <c r="C391" s="1" t="n">
        <v>45904</v>
      </c>
      <c r="D391" t="inlineStr">
        <is>
          <t>DALARNAS LÄN</t>
        </is>
      </c>
      <c r="E391" t="inlineStr">
        <is>
          <t>LEKSAND</t>
        </is>
      </c>
      <c r="G391" t="n">
        <v>5</v>
      </c>
      <c r="H391" t="n">
        <v>0</v>
      </c>
      <c r="I391" t="n">
        <v>0</v>
      </c>
      <c r="J391" t="n">
        <v>0</v>
      </c>
      <c r="K391" t="n">
        <v>0</v>
      </c>
      <c r="L391" t="n">
        <v>0</v>
      </c>
      <c r="M391" t="n">
        <v>0</v>
      </c>
      <c r="N391" t="n">
        <v>0</v>
      </c>
      <c r="O391" t="n">
        <v>0</v>
      </c>
      <c r="P391" t="n">
        <v>0</v>
      </c>
      <c r="Q391" t="n">
        <v>0</v>
      </c>
      <c r="R391" s="2" t="inlineStr"/>
    </row>
    <row r="392" ht="15" customHeight="1">
      <c r="A392" t="inlineStr">
        <is>
          <t>A 30973-2025</t>
        </is>
      </c>
      <c r="B392" s="1" t="n">
        <v>45832.46300925926</v>
      </c>
      <c r="C392" s="1" t="n">
        <v>45904</v>
      </c>
      <c r="D392" t="inlineStr">
        <is>
          <t>DALARNAS LÄN</t>
        </is>
      </c>
      <c r="E392" t="inlineStr">
        <is>
          <t>LEKSAND</t>
        </is>
      </c>
      <c r="F392" t="inlineStr">
        <is>
          <t>Bergvik skog väst AB</t>
        </is>
      </c>
      <c r="G392" t="n">
        <v>3.1</v>
      </c>
      <c r="H392" t="n">
        <v>0</v>
      </c>
      <c r="I392" t="n">
        <v>0</v>
      </c>
      <c r="J392" t="n">
        <v>0</v>
      </c>
      <c r="K392" t="n">
        <v>0</v>
      </c>
      <c r="L392" t="n">
        <v>0</v>
      </c>
      <c r="M392" t="n">
        <v>0</v>
      </c>
      <c r="N392" t="n">
        <v>0</v>
      </c>
      <c r="O392" t="n">
        <v>0</v>
      </c>
      <c r="P392" t="n">
        <v>0</v>
      </c>
      <c r="Q392" t="n">
        <v>0</v>
      </c>
      <c r="R392" s="2" t="inlineStr"/>
    </row>
    <row r="393" ht="15" customHeight="1">
      <c r="A393" t="inlineStr">
        <is>
          <t>A 30196-2023</t>
        </is>
      </c>
      <c r="B393" s="1" t="n">
        <v>45110</v>
      </c>
      <c r="C393" s="1" t="n">
        <v>45904</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10367-2023</t>
        </is>
      </c>
      <c r="B394" s="1" t="n">
        <v>44987</v>
      </c>
      <c r="C394" s="1" t="n">
        <v>45904</v>
      </c>
      <c r="D394" t="inlineStr">
        <is>
          <t>DALARNAS LÄN</t>
        </is>
      </c>
      <c r="E394" t="inlineStr">
        <is>
          <t>LEKSAND</t>
        </is>
      </c>
      <c r="G394" t="n">
        <v>0.7</v>
      </c>
      <c r="H394" t="n">
        <v>0</v>
      </c>
      <c r="I394" t="n">
        <v>0</v>
      </c>
      <c r="J394" t="n">
        <v>0</v>
      </c>
      <c r="K394" t="n">
        <v>0</v>
      </c>
      <c r="L394" t="n">
        <v>0</v>
      </c>
      <c r="M394" t="n">
        <v>0</v>
      </c>
      <c r="N394" t="n">
        <v>0</v>
      </c>
      <c r="O394" t="n">
        <v>0</v>
      </c>
      <c r="P394" t="n">
        <v>0</v>
      </c>
      <c r="Q394" t="n">
        <v>0</v>
      </c>
      <c r="R394" s="2" t="inlineStr"/>
    </row>
    <row r="395" ht="15" customHeight="1">
      <c r="A395" t="inlineStr">
        <is>
          <t>A 31493-2025</t>
        </is>
      </c>
      <c r="B395" s="1" t="n">
        <v>45833</v>
      </c>
      <c r="C395" s="1" t="n">
        <v>45904</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31945-2025</t>
        </is>
      </c>
      <c r="B396" s="1" t="n">
        <v>45835</v>
      </c>
      <c r="C396" s="1" t="n">
        <v>45904</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10833-2023</t>
        </is>
      </c>
      <c r="B397" s="1" t="n">
        <v>44990</v>
      </c>
      <c r="C397" s="1" t="n">
        <v>45904</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37508-2025</t>
        </is>
      </c>
      <c r="B398" s="1" t="n">
        <v>45877.66282407408</v>
      </c>
      <c r="C398" s="1" t="n">
        <v>45904</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47121-2021</t>
        </is>
      </c>
      <c r="B399" s="1" t="n">
        <v>44446</v>
      </c>
      <c r="C399" s="1" t="n">
        <v>45904</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36444-2023</t>
        </is>
      </c>
      <c r="B400" s="1" t="n">
        <v>45152.63138888889</v>
      </c>
      <c r="C400" s="1" t="n">
        <v>45904</v>
      </c>
      <c r="D400" t="inlineStr">
        <is>
          <t>DALARNAS LÄN</t>
        </is>
      </c>
      <c r="E400" t="inlineStr">
        <is>
          <t>LEKSAND</t>
        </is>
      </c>
      <c r="G400" t="n">
        <v>0.5</v>
      </c>
      <c r="H400" t="n">
        <v>0</v>
      </c>
      <c r="I400" t="n">
        <v>0</v>
      </c>
      <c r="J400" t="n">
        <v>0</v>
      </c>
      <c r="K400" t="n">
        <v>0</v>
      </c>
      <c r="L400" t="n">
        <v>0</v>
      </c>
      <c r="M400" t="n">
        <v>0</v>
      </c>
      <c r="N400" t="n">
        <v>0</v>
      </c>
      <c r="O400" t="n">
        <v>0</v>
      </c>
      <c r="P400" t="n">
        <v>0</v>
      </c>
      <c r="Q400" t="n">
        <v>0</v>
      </c>
      <c r="R400" s="2" t="inlineStr"/>
    </row>
    <row r="401" ht="15" customHeight="1">
      <c r="A401" t="inlineStr">
        <is>
          <t>A 21402-2023</t>
        </is>
      </c>
      <c r="B401" s="1" t="n">
        <v>45061</v>
      </c>
      <c r="C401" s="1" t="n">
        <v>45904</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32104-2025</t>
        </is>
      </c>
      <c r="B402" s="1" t="n">
        <v>45835</v>
      </c>
      <c r="C402" s="1" t="n">
        <v>45904</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31391-2024</t>
        </is>
      </c>
      <c r="B403" s="1" t="n">
        <v>45505.46616898148</v>
      </c>
      <c r="C403" s="1" t="n">
        <v>45904</v>
      </c>
      <c r="D403" t="inlineStr">
        <is>
          <t>DALARNAS LÄN</t>
        </is>
      </c>
      <c r="E403" t="inlineStr">
        <is>
          <t>LEKSAND</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167-2023</t>
        </is>
      </c>
      <c r="B404" s="1" t="n">
        <v>44918</v>
      </c>
      <c r="C404" s="1" t="n">
        <v>45904</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30863-2024</t>
        </is>
      </c>
      <c r="B405" s="1" t="n">
        <v>45497.71074074074</v>
      </c>
      <c r="C405" s="1" t="n">
        <v>45904</v>
      </c>
      <c r="D405" t="inlineStr">
        <is>
          <t>DALARNAS LÄN</t>
        </is>
      </c>
      <c r="E405" t="inlineStr">
        <is>
          <t>LEKSAND</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24481-2024</t>
        </is>
      </c>
      <c r="B406" s="1" t="n">
        <v>45459.36460648148</v>
      </c>
      <c r="C406" s="1" t="n">
        <v>45904</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31850-2024</t>
        </is>
      </c>
      <c r="B407" s="1" t="n">
        <v>45509.67334490741</v>
      </c>
      <c r="C407" s="1" t="n">
        <v>45904</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58495-2023</t>
        </is>
      </c>
      <c r="B408" s="1" t="n">
        <v>45251</v>
      </c>
      <c r="C408" s="1" t="n">
        <v>45904</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31787-2025</t>
        </is>
      </c>
      <c r="B409" s="1" t="n">
        <v>45834</v>
      </c>
      <c r="C409" s="1" t="n">
        <v>45904</v>
      </c>
      <c r="D409" t="inlineStr">
        <is>
          <t>DALARNAS LÄN</t>
        </is>
      </c>
      <c r="E409" t="inlineStr">
        <is>
          <t>LEKSAND</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27244-2023</t>
        </is>
      </c>
      <c r="B410" s="1" t="n">
        <v>45096</v>
      </c>
      <c r="C410" s="1" t="n">
        <v>45904</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32301-2025</t>
        </is>
      </c>
      <c r="B411" s="1" t="n">
        <v>45835</v>
      </c>
      <c r="C411" s="1" t="n">
        <v>45904</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32274-2025</t>
        </is>
      </c>
      <c r="B412" s="1" t="n">
        <v>45835</v>
      </c>
      <c r="C412" s="1" t="n">
        <v>45904</v>
      </c>
      <c r="D412" t="inlineStr">
        <is>
          <t>DALARNAS LÄN</t>
        </is>
      </c>
      <c r="E412" t="inlineStr">
        <is>
          <t>LEKSAND</t>
        </is>
      </c>
      <c r="G412" t="n">
        <v>4.5</v>
      </c>
      <c r="H412" t="n">
        <v>0</v>
      </c>
      <c r="I412" t="n">
        <v>0</v>
      </c>
      <c r="J412" t="n">
        <v>0</v>
      </c>
      <c r="K412" t="n">
        <v>0</v>
      </c>
      <c r="L412" t="n">
        <v>0</v>
      </c>
      <c r="M412" t="n">
        <v>0</v>
      </c>
      <c r="N412" t="n">
        <v>0</v>
      </c>
      <c r="O412" t="n">
        <v>0</v>
      </c>
      <c r="P412" t="n">
        <v>0</v>
      </c>
      <c r="Q412" t="n">
        <v>0</v>
      </c>
      <c r="R412" s="2" t="inlineStr"/>
    </row>
    <row r="413" ht="15" customHeight="1">
      <c r="A413" t="inlineStr">
        <is>
          <t>A 3183-2025</t>
        </is>
      </c>
      <c r="B413" s="1" t="n">
        <v>45679.40298611111</v>
      </c>
      <c r="C413" s="1" t="n">
        <v>45904</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16592-2023</t>
        </is>
      </c>
      <c r="B414" s="1" t="n">
        <v>45030</v>
      </c>
      <c r="C414" s="1" t="n">
        <v>45904</v>
      </c>
      <c r="D414" t="inlineStr">
        <is>
          <t>DALARNAS LÄN</t>
        </is>
      </c>
      <c r="E414" t="inlineStr">
        <is>
          <t>LEKSAND</t>
        </is>
      </c>
      <c r="G414" t="n">
        <v>11.5</v>
      </c>
      <c r="H414" t="n">
        <v>0</v>
      </c>
      <c r="I414" t="n">
        <v>0</v>
      </c>
      <c r="J414" t="n">
        <v>0</v>
      </c>
      <c r="K414" t="n">
        <v>0</v>
      </c>
      <c r="L414" t="n">
        <v>0</v>
      </c>
      <c r="M414" t="n">
        <v>0</v>
      </c>
      <c r="N414" t="n">
        <v>0</v>
      </c>
      <c r="O414" t="n">
        <v>0</v>
      </c>
      <c r="P414" t="n">
        <v>0</v>
      </c>
      <c r="Q414" t="n">
        <v>0</v>
      </c>
      <c r="R414" s="2" t="inlineStr"/>
    </row>
    <row r="415" ht="15" customHeight="1">
      <c r="A415" t="inlineStr">
        <is>
          <t>A 1519-2024</t>
        </is>
      </c>
      <c r="B415" s="1" t="n">
        <v>45306</v>
      </c>
      <c r="C415" s="1" t="n">
        <v>45904</v>
      </c>
      <c r="D415" t="inlineStr">
        <is>
          <t>DALARNAS LÄN</t>
        </is>
      </c>
      <c r="E415" t="inlineStr">
        <is>
          <t>LEKSAND</t>
        </is>
      </c>
      <c r="G415" t="n">
        <v>3.3</v>
      </c>
      <c r="H415" t="n">
        <v>0</v>
      </c>
      <c r="I415" t="n">
        <v>0</v>
      </c>
      <c r="J415" t="n">
        <v>0</v>
      </c>
      <c r="K415" t="n">
        <v>0</v>
      </c>
      <c r="L415" t="n">
        <v>0</v>
      </c>
      <c r="M415" t="n">
        <v>0</v>
      </c>
      <c r="N415" t="n">
        <v>0</v>
      </c>
      <c r="O415" t="n">
        <v>0</v>
      </c>
      <c r="P415" t="n">
        <v>0</v>
      </c>
      <c r="Q415" t="n">
        <v>0</v>
      </c>
      <c r="R415" s="2" t="inlineStr"/>
    </row>
    <row r="416" ht="15" customHeight="1">
      <c r="A416" t="inlineStr">
        <is>
          <t>A 36017-2025</t>
        </is>
      </c>
      <c r="B416" s="1" t="n">
        <v>45863</v>
      </c>
      <c r="C416" s="1" t="n">
        <v>45904</v>
      </c>
      <c r="D416" t="inlineStr">
        <is>
          <t>DALARNAS LÄN</t>
        </is>
      </c>
      <c r="E416" t="inlineStr">
        <is>
          <t>LEKSAND</t>
        </is>
      </c>
      <c r="F416" t="inlineStr">
        <is>
          <t>Bergvik skog väst AB</t>
        </is>
      </c>
      <c r="G416" t="n">
        <v>17.9</v>
      </c>
      <c r="H416" t="n">
        <v>0</v>
      </c>
      <c r="I416" t="n">
        <v>0</v>
      </c>
      <c r="J416" t="n">
        <v>0</v>
      </c>
      <c r="K416" t="n">
        <v>0</v>
      </c>
      <c r="L416" t="n">
        <v>0</v>
      </c>
      <c r="M416" t="n">
        <v>0</v>
      </c>
      <c r="N416" t="n">
        <v>0</v>
      </c>
      <c r="O416" t="n">
        <v>0</v>
      </c>
      <c r="P416" t="n">
        <v>0</v>
      </c>
      <c r="Q416" t="n">
        <v>0</v>
      </c>
      <c r="R416" s="2" t="inlineStr"/>
    </row>
    <row r="417" ht="15" customHeight="1">
      <c r="A417" t="inlineStr">
        <is>
          <t>A 12290-2024</t>
        </is>
      </c>
      <c r="B417" s="1" t="n">
        <v>45378.57877314815</v>
      </c>
      <c r="C417" s="1" t="n">
        <v>45904</v>
      </c>
      <c r="D417" t="inlineStr">
        <is>
          <t>DALARNAS LÄN</t>
        </is>
      </c>
      <c r="E417" t="inlineStr">
        <is>
          <t>LEKSAND</t>
        </is>
      </c>
      <c r="G417" t="n">
        <v>2.5</v>
      </c>
      <c r="H417" t="n">
        <v>0</v>
      </c>
      <c r="I417" t="n">
        <v>0</v>
      </c>
      <c r="J417" t="n">
        <v>0</v>
      </c>
      <c r="K417" t="n">
        <v>0</v>
      </c>
      <c r="L417" t="n">
        <v>0</v>
      </c>
      <c r="M417" t="n">
        <v>0</v>
      </c>
      <c r="N417" t="n">
        <v>0</v>
      </c>
      <c r="O417" t="n">
        <v>0</v>
      </c>
      <c r="P417" t="n">
        <v>0</v>
      </c>
      <c r="Q417" t="n">
        <v>0</v>
      </c>
      <c r="R417" s="2" t="inlineStr"/>
    </row>
    <row r="418" ht="15" customHeight="1">
      <c r="A418" t="inlineStr">
        <is>
          <t>A 32653-2025</t>
        </is>
      </c>
      <c r="B418" s="1" t="n">
        <v>45838</v>
      </c>
      <c r="C418" s="1" t="n">
        <v>45904</v>
      </c>
      <c r="D418" t="inlineStr">
        <is>
          <t>DALARNAS LÄN</t>
        </is>
      </c>
      <c r="E418" t="inlineStr">
        <is>
          <t>LEKSAND</t>
        </is>
      </c>
      <c r="G418" t="n">
        <v>5.6</v>
      </c>
      <c r="H418" t="n">
        <v>0</v>
      </c>
      <c r="I418" t="n">
        <v>0</v>
      </c>
      <c r="J418" t="n">
        <v>0</v>
      </c>
      <c r="K418" t="n">
        <v>0</v>
      </c>
      <c r="L418" t="n">
        <v>0</v>
      </c>
      <c r="M418" t="n">
        <v>0</v>
      </c>
      <c r="N418" t="n">
        <v>0</v>
      </c>
      <c r="O418" t="n">
        <v>0</v>
      </c>
      <c r="P418" t="n">
        <v>0</v>
      </c>
      <c r="Q418" t="n">
        <v>0</v>
      </c>
      <c r="R418" s="2" t="inlineStr"/>
    </row>
    <row r="419" ht="15" customHeight="1">
      <c r="A419" t="inlineStr">
        <is>
          <t>A 32855-2025</t>
        </is>
      </c>
      <c r="B419" s="1" t="n">
        <v>45839.57643518518</v>
      </c>
      <c r="C419" s="1" t="n">
        <v>45904</v>
      </c>
      <c r="D419" t="inlineStr">
        <is>
          <t>DALARNAS LÄN</t>
        </is>
      </c>
      <c r="E419" t="inlineStr">
        <is>
          <t>LEKSAND</t>
        </is>
      </c>
      <c r="G419" t="n">
        <v>0.7</v>
      </c>
      <c r="H419" t="n">
        <v>0</v>
      </c>
      <c r="I419" t="n">
        <v>0</v>
      </c>
      <c r="J419" t="n">
        <v>0</v>
      </c>
      <c r="K419" t="n">
        <v>0</v>
      </c>
      <c r="L419" t="n">
        <v>0</v>
      </c>
      <c r="M419" t="n">
        <v>0</v>
      </c>
      <c r="N419" t="n">
        <v>0</v>
      </c>
      <c r="O419" t="n">
        <v>0</v>
      </c>
      <c r="P419" t="n">
        <v>0</v>
      </c>
      <c r="Q419" t="n">
        <v>0</v>
      </c>
      <c r="R419" s="2" t="inlineStr"/>
    </row>
    <row r="420" ht="15" customHeight="1">
      <c r="A420" t="inlineStr">
        <is>
          <t>A 32661-2025</t>
        </is>
      </c>
      <c r="B420" s="1" t="n">
        <v>45838.67953703704</v>
      </c>
      <c r="C420" s="1" t="n">
        <v>45904</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17606-2024</t>
        </is>
      </c>
      <c r="B421" s="1" t="n">
        <v>45415</v>
      </c>
      <c r="C421" s="1" t="n">
        <v>45904</v>
      </c>
      <c r="D421" t="inlineStr">
        <is>
          <t>DALARNAS LÄN</t>
        </is>
      </c>
      <c r="E421" t="inlineStr">
        <is>
          <t>LEKSAND</t>
        </is>
      </c>
      <c r="G421" t="n">
        <v>0.6</v>
      </c>
      <c r="H421" t="n">
        <v>0</v>
      </c>
      <c r="I421" t="n">
        <v>0</v>
      </c>
      <c r="J421" t="n">
        <v>0</v>
      </c>
      <c r="K421" t="n">
        <v>0</v>
      </c>
      <c r="L421" t="n">
        <v>0</v>
      </c>
      <c r="M421" t="n">
        <v>0</v>
      </c>
      <c r="N421" t="n">
        <v>0</v>
      </c>
      <c r="O421" t="n">
        <v>0</v>
      </c>
      <c r="P421" t="n">
        <v>0</v>
      </c>
      <c r="Q421" t="n">
        <v>0</v>
      </c>
      <c r="R421" s="2" t="inlineStr"/>
    </row>
    <row r="422" ht="15" customHeight="1">
      <c r="A422" t="inlineStr">
        <is>
          <t>A 32593-2025</t>
        </is>
      </c>
      <c r="B422" s="1" t="n">
        <v>45838</v>
      </c>
      <c r="C422" s="1" t="n">
        <v>45904</v>
      </c>
      <c r="D422" t="inlineStr">
        <is>
          <t>DALARNAS LÄN</t>
        </is>
      </c>
      <c r="E422" t="inlineStr">
        <is>
          <t>LEKSAND</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39819-2024</t>
        </is>
      </c>
      <c r="B423" s="1" t="n">
        <v>45553.38774305556</v>
      </c>
      <c r="C423" s="1" t="n">
        <v>45904</v>
      </c>
      <c r="D423" t="inlineStr">
        <is>
          <t>DALARNAS LÄN</t>
        </is>
      </c>
      <c r="E423" t="inlineStr">
        <is>
          <t>LEKSAND</t>
        </is>
      </c>
      <c r="F423" t="inlineStr">
        <is>
          <t>Bergvik skog väst AB</t>
        </is>
      </c>
      <c r="G423" t="n">
        <v>3.7</v>
      </c>
      <c r="H423" t="n">
        <v>0</v>
      </c>
      <c r="I423" t="n">
        <v>0</v>
      </c>
      <c r="J423" t="n">
        <v>0</v>
      </c>
      <c r="K423" t="n">
        <v>0</v>
      </c>
      <c r="L423" t="n">
        <v>0</v>
      </c>
      <c r="M423" t="n">
        <v>0</v>
      </c>
      <c r="N423" t="n">
        <v>0</v>
      </c>
      <c r="O423" t="n">
        <v>0</v>
      </c>
      <c r="P423" t="n">
        <v>0</v>
      </c>
      <c r="Q423" t="n">
        <v>0</v>
      </c>
      <c r="R423" s="2" t="inlineStr"/>
    </row>
    <row r="424" ht="15" customHeight="1">
      <c r="A424" t="inlineStr">
        <is>
          <t>A 32726-2025</t>
        </is>
      </c>
      <c r="B424" s="1" t="n">
        <v>45839.3969212963</v>
      </c>
      <c r="C424" s="1" t="n">
        <v>45904</v>
      </c>
      <c r="D424" t="inlineStr">
        <is>
          <t>DALARNAS LÄN</t>
        </is>
      </c>
      <c r="E424" t="inlineStr">
        <is>
          <t>LEKSAND</t>
        </is>
      </c>
      <c r="F424" t="inlineStr">
        <is>
          <t>Bergvik skog väst AB</t>
        </is>
      </c>
      <c r="G424" t="n">
        <v>2.5</v>
      </c>
      <c r="H424" t="n">
        <v>0</v>
      </c>
      <c r="I424" t="n">
        <v>0</v>
      </c>
      <c r="J424" t="n">
        <v>0</v>
      </c>
      <c r="K424" t="n">
        <v>0</v>
      </c>
      <c r="L424" t="n">
        <v>0</v>
      </c>
      <c r="M424" t="n">
        <v>0</v>
      </c>
      <c r="N424" t="n">
        <v>0</v>
      </c>
      <c r="O424" t="n">
        <v>0</v>
      </c>
      <c r="P424" t="n">
        <v>0</v>
      </c>
      <c r="Q424" t="n">
        <v>0</v>
      </c>
      <c r="R424" s="2" t="inlineStr"/>
    </row>
    <row r="425" ht="15" customHeight="1">
      <c r="A425" t="inlineStr">
        <is>
          <t>A 2694-2025</t>
        </is>
      </c>
      <c r="B425" s="1" t="n">
        <v>45677.38246527778</v>
      </c>
      <c r="C425" s="1" t="n">
        <v>45904</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28892-2022</t>
        </is>
      </c>
      <c r="B426" s="1" t="n">
        <v>44749</v>
      </c>
      <c r="C426" s="1" t="n">
        <v>45904</v>
      </c>
      <c r="D426" t="inlineStr">
        <is>
          <t>DALARNAS LÄN</t>
        </is>
      </c>
      <c r="E426" t="inlineStr">
        <is>
          <t>LEKSAND</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36020-2025</t>
        </is>
      </c>
      <c r="B427" s="1" t="n">
        <v>45863</v>
      </c>
      <c r="C427" s="1" t="n">
        <v>45904</v>
      </c>
      <c r="D427" t="inlineStr">
        <is>
          <t>DALARNAS LÄN</t>
        </is>
      </c>
      <c r="E427" t="inlineStr">
        <is>
          <t>LEKSAND</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33593-2024</t>
        </is>
      </c>
      <c r="B428" s="1" t="n">
        <v>45520.36055555556</v>
      </c>
      <c r="C428" s="1" t="n">
        <v>45904</v>
      </c>
      <c r="D428" t="inlineStr">
        <is>
          <t>DALARNAS LÄN</t>
        </is>
      </c>
      <c r="E428" t="inlineStr">
        <is>
          <t>LEKSAND</t>
        </is>
      </c>
      <c r="G428" t="n">
        <v>0.3</v>
      </c>
      <c r="H428" t="n">
        <v>0</v>
      </c>
      <c r="I428" t="n">
        <v>0</v>
      </c>
      <c r="J428" t="n">
        <v>0</v>
      </c>
      <c r="K428" t="n">
        <v>0</v>
      </c>
      <c r="L428" t="n">
        <v>0</v>
      </c>
      <c r="M428" t="n">
        <v>0</v>
      </c>
      <c r="N428" t="n">
        <v>0</v>
      </c>
      <c r="O428" t="n">
        <v>0</v>
      </c>
      <c r="P428" t="n">
        <v>0</v>
      </c>
      <c r="Q428" t="n">
        <v>0</v>
      </c>
      <c r="R428" s="2" t="inlineStr"/>
    </row>
    <row r="429" ht="15" customHeight="1">
      <c r="A429" t="inlineStr">
        <is>
          <t>A 36450-2023</t>
        </is>
      </c>
      <c r="B429" s="1" t="n">
        <v>45152.64842592592</v>
      </c>
      <c r="C429" s="1" t="n">
        <v>45904</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37996-2025</t>
        </is>
      </c>
      <c r="B430" s="1" t="n">
        <v>45881.8299537037</v>
      </c>
      <c r="C430" s="1" t="n">
        <v>45904</v>
      </c>
      <c r="D430" t="inlineStr">
        <is>
          <t>DALARNAS LÄN</t>
        </is>
      </c>
      <c r="E430" t="inlineStr">
        <is>
          <t>LEKSAND</t>
        </is>
      </c>
      <c r="G430" t="n">
        <v>4.2</v>
      </c>
      <c r="H430" t="n">
        <v>0</v>
      </c>
      <c r="I430" t="n">
        <v>0</v>
      </c>
      <c r="J430" t="n">
        <v>0</v>
      </c>
      <c r="K430" t="n">
        <v>0</v>
      </c>
      <c r="L430" t="n">
        <v>0</v>
      </c>
      <c r="M430" t="n">
        <v>0</v>
      </c>
      <c r="N430" t="n">
        <v>0</v>
      </c>
      <c r="O430" t="n">
        <v>0</v>
      </c>
      <c r="P430" t="n">
        <v>0</v>
      </c>
      <c r="Q430" t="n">
        <v>0</v>
      </c>
      <c r="R430" s="2" t="inlineStr"/>
    </row>
    <row r="431" ht="15" customHeight="1">
      <c r="A431" t="inlineStr">
        <is>
          <t>A 7778-2025</t>
        </is>
      </c>
      <c r="B431" s="1" t="n">
        <v>45706</v>
      </c>
      <c r="C431" s="1" t="n">
        <v>45904</v>
      </c>
      <c r="D431" t="inlineStr">
        <is>
          <t>DALARNAS LÄN</t>
        </is>
      </c>
      <c r="E431" t="inlineStr">
        <is>
          <t>LEKSAND</t>
        </is>
      </c>
      <c r="G431" t="n">
        <v>2.2</v>
      </c>
      <c r="H431" t="n">
        <v>0</v>
      </c>
      <c r="I431" t="n">
        <v>0</v>
      </c>
      <c r="J431" t="n">
        <v>0</v>
      </c>
      <c r="K431" t="n">
        <v>0</v>
      </c>
      <c r="L431" t="n">
        <v>0</v>
      </c>
      <c r="M431" t="n">
        <v>0</v>
      </c>
      <c r="N431" t="n">
        <v>0</v>
      </c>
      <c r="O431" t="n">
        <v>0</v>
      </c>
      <c r="P431" t="n">
        <v>0</v>
      </c>
      <c r="Q431" t="n">
        <v>0</v>
      </c>
      <c r="R431" s="2" t="inlineStr"/>
    </row>
    <row r="432" ht="15" customHeight="1">
      <c r="A432" t="inlineStr">
        <is>
          <t>A 38090-2025</t>
        </is>
      </c>
      <c r="B432" s="1" t="n">
        <v>45882.48440972222</v>
      </c>
      <c r="C432" s="1" t="n">
        <v>45904</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33160-2025</t>
        </is>
      </c>
      <c r="B433" s="1" t="n">
        <v>45840</v>
      </c>
      <c r="C433" s="1" t="n">
        <v>45904</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19559-2023</t>
        </is>
      </c>
      <c r="B434" s="1" t="n">
        <v>45050</v>
      </c>
      <c r="C434" s="1" t="n">
        <v>45904</v>
      </c>
      <c r="D434" t="inlineStr">
        <is>
          <t>DALARNAS LÄN</t>
        </is>
      </c>
      <c r="E434" t="inlineStr">
        <is>
          <t>LEKSAND</t>
        </is>
      </c>
      <c r="G434" t="n">
        <v>0.1</v>
      </c>
      <c r="H434" t="n">
        <v>0</v>
      </c>
      <c r="I434" t="n">
        <v>0</v>
      </c>
      <c r="J434" t="n">
        <v>0</v>
      </c>
      <c r="K434" t="n">
        <v>0</v>
      </c>
      <c r="L434" t="n">
        <v>0</v>
      </c>
      <c r="M434" t="n">
        <v>0</v>
      </c>
      <c r="N434" t="n">
        <v>0</v>
      </c>
      <c r="O434" t="n">
        <v>0</v>
      </c>
      <c r="P434" t="n">
        <v>0</v>
      </c>
      <c r="Q434" t="n">
        <v>0</v>
      </c>
      <c r="R434" s="2" t="inlineStr"/>
    </row>
    <row r="435" ht="15" customHeight="1">
      <c r="A435" t="inlineStr">
        <is>
          <t>A 48721-2023</t>
        </is>
      </c>
      <c r="B435" s="1" t="n">
        <v>45203</v>
      </c>
      <c r="C435" s="1" t="n">
        <v>45904</v>
      </c>
      <c r="D435" t="inlineStr">
        <is>
          <t>DALARNAS LÄN</t>
        </is>
      </c>
      <c r="E435" t="inlineStr">
        <is>
          <t>LEKSAND</t>
        </is>
      </c>
      <c r="G435" t="n">
        <v>2.9</v>
      </c>
      <c r="H435" t="n">
        <v>0</v>
      </c>
      <c r="I435" t="n">
        <v>0</v>
      </c>
      <c r="J435" t="n">
        <v>0</v>
      </c>
      <c r="K435" t="n">
        <v>0</v>
      </c>
      <c r="L435" t="n">
        <v>0</v>
      </c>
      <c r="M435" t="n">
        <v>0</v>
      </c>
      <c r="N435" t="n">
        <v>0</v>
      </c>
      <c r="O435" t="n">
        <v>0</v>
      </c>
      <c r="P435" t="n">
        <v>0</v>
      </c>
      <c r="Q435" t="n">
        <v>0</v>
      </c>
      <c r="R435" s="2" t="inlineStr"/>
    </row>
    <row r="436" ht="15" customHeight="1">
      <c r="A436" t="inlineStr">
        <is>
          <t>A 43142-2024</t>
        </is>
      </c>
      <c r="B436" s="1" t="n">
        <v>45567.62144675926</v>
      </c>
      <c r="C436" s="1" t="n">
        <v>45904</v>
      </c>
      <c r="D436" t="inlineStr">
        <is>
          <t>DALARNAS LÄN</t>
        </is>
      </c>
      <c r="E436" t="inlineStr">
        <is>
          <t>LEKSAND</t>
        </is>
      </c>
      <c r="F436" t="inlineStr">
        <is>
          <t>Bergvik skog väst AB</t>
        </is>
      </c>
      <c r="G436" t="n">
        <v>2.9</v>
      </c>
      <c r="H436" t="n">
        <v>0</v>
      </c>
      <c r="I436" t="n">
        <v>0</v>
      </c>
      <c r="J436" t="n">
        <v>0</v>
      </c>
      <c r="K436" t="n">
        <v>0</v>
      </c>
      <c r="L436" t="n">
        <v>0</v>
      </c>
      <c r="M436" t="n">
        <v>0</v>
      </c>
      <c r="N436" t="n">
        <v>0</v>
      </c>
      <c r="O436" t="n">
        <v>0</v>
      </c>
      <c r="P436" t="n">
        <v>0</v>
      </c>
      <c r="Q436" t="n">
        <v>0</v>
      </c>
      <c r="R436" s="2" t="inlineStr"/>
    </row>
    <row r="437" ht="15" customHeight="1">
      <c r="A437" t="inlineStr">
        <is>
          <t>A 1984-2025</t>
        </is>
      </c>
      <c r="B437" s="1" t="n">
        <v>45670</v>
      </c>
      <c r="C437" s="1" t="n">
        <v>45904</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1443-2024</t>
        </is>
      </c>
      <c r="B438" s="1" t="n">
        <v>45303</v>
      </c>
      <c r="C438" s="1" t="n">
        <v>45904</v>
      </c>
      <c r="D438" t="inlineStr">
        <is>
          <t>DALARNAS LÄN</t>
        </is>
      </c>
      <c r="E438" t="inlineStr">
        <is>
          <t>LEKSAND</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45001.5000462963</v>
      </c>
      <c r="C439" s="1" t="n">
        <v>45904</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32072-2024</t>
        </is>
      </c>
      <c r="B440" s="1" t="n">
        <v>45510.98405092592</v>
      </c>
      <c r="C440" s="1" t="n">
        <v>45904</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56299-2024</t>
        </is>
      </c>
      <c r="B441" s="1" t="n">
        <v>45624.68607638889</v>
      </c>
      <c r="C441" s="1" t="n">
        <v>45904</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17483-2025</t>
        </is>
      </c>
      <c r="B442" s="1" t="n">
        <v>45757.49408564815</v>
      </c>
      <c r="C442" s="1" t="n">
        <v>45904</v>
      </c>
      <c r="D442" t="inlineStr">
        <is>
          <t>DALARNAS LÄN</t>
        </is>
      </c>
      <c r="E442" t="inlineStr">
        <is>
          <t>LEKSAND</t>
        </is>
      </c>
      <c r="G442" t="n">
        <v>4.1</v>
      </c>
      <c r="H442" t="n">
        <v>0</v>
      </c>
      <c r="I442" t="n">
        <v>0</v>
      </c>
      <c r="J442" t="n">
        <v>0</v>
      </c>
      <c r="K442" t="n">
        <v>0</v>
      </c>
      <c r="L442" t="n">
        <v>0</v>
      </c>
      <c r="M442" t="n">
        <v>0</v>
      </c>
      <c r="N442" t="n">
        <v>0</v>
      </c>
      <c r="O442" t="n">
        <v>0</v>
      </c>
      <c r="P442" t="n">
        <v>0</v>
      </c>
      <c r="Q442" t="n">
        <v>0</v>
      </c>
      <c r="R442" s="2" t="inlineStr"/>
    </row>
    <row r="443" ht="15" customHeight="1">
      <c r="A443" t="inlineStr">
        <is>
          <t>A 36021-2025</t>
        </is>
      </c>
      <c r="B443" s="1" t="n">
        <v>45863.72346064815</v>
      </c>
      <c r="C443" s="1" t="n">
        <v>45904</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38721-2025</t>
        </is>
      </c>
      <c r="B444" s="1" t="n">
        <v>45886.83605324074</v>
      </c>
      <c r="C444" s="1" t="n">
        <v>45904</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33804-2025</t>
        </is>
      </c>
      <c r="B445" s="1" t="n">
        <v>45842</v>
      </c>
      <c r="C445" s="1" t="n">
        <v>45904</v>
      </c>
      <c r="D445" t="inlineStr">
        <is>
          <t>DALARNAS LÄN</t>
        </is>
      </c>
      <c r="E445" t="inlineStr">
        <is>
          <t>LEKSAND</t>
        </is>
      </c>
      <c r="G445" t="n">
        <v>1.2</v>
      </c>
      <c r="H445" t="n">
        <v>0</v>
      </c>
      <c r="I445" t="n">
        <v>0</v>
      </c>
      <c r="J445" t="n">
        <v>0</v>
      </c>
      <c r="K445" t="n">
        <v>0</v>
      </c>
      <c r="L445" t="n">
        <v>0</v>
      </c>
      <c r="M445" t="n">
        <v>0</v>
      </c>
      <c r="N445" t="n">
        <v>0</v>
      </c>
      <c r="O445" t="n">
        <v>0</v>
      </c>
      <c r="P445" t="n">
        <v>0</v>
      </c>
      <c r="Q445" t="n">
        <v>0</v>
      </c>
      <c r="R445" s="2" t="inlineStr"/>
    </row>
    <row r="446" ht="15" customHeight="1">
      <c r="A446" t="inlineStr">
        <is>
          <t>A 38498-2025</t>
        </is>
      </c>
      <c r="B446" s="1" t="n">
        <v>45884.3706712963</v>
      </c>
      <c r="C446" s="1" t="n">
        <v>45904</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27446-2024</t>
        </is>
      </c>
      <c r="B447" s="1" t="n">
        <v>45474.42671296297</v>
      </c>
      <c r="C447" s="1" t="n">
        <v>45904</v>
      </c>
      <c r="D447" t="inlineStr">
        <is>
          <t>DALARNAS LÄN</t>
        </is>
      </c>
      <c r="E447" t="inlineStr">
        <is>
          <t>LEKSAND</t>
        </is>
      </c>
      <c r="G447" t="n">
        <v>2.9</v>
      </c>
      <c r="H447" t="n">
        <v>0</v>
      </c>
      <c r="I447" t="n">
        <v>0</v>
      </c>
      <c r="J447" t="n">
        <v>0</v>
      </c>
      <c r="K447" t="n">
        <v>0</v>
      </c>
      <c r="L447" t="n">
        <v>0</v>
      </c>
      <c r="M447" t="n">
        <v>0</v>
      </c>
      <c r="N447" t="n">
        <v>0</v>
      </c>
      <c r="O447" t="n">
        <v>0</v>
      </c>
      <c r="P447" t="n">
        <v>0</v>
      </c>
      <c r="Q447" t="n">
        <v>0</v>
      </c>
      <c r="R447" s="2" t="inlineStr"/>
    </row>
    <row r="448" ht="15" customHeight="1">
      <c r="A448" t="inlineStr">
        <is>
          <t>A 18481-2024</t>
        </is>
      </c>
      <c r="B448" s="1" t="n">
        <v>45425.52193287037</v>
      </c>
      <c r="C448" s="1" t="n">
        <v>45904</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8046-2024</t>
        </is>
      </c>
      <c r="B449" s="1" t="n">
        <v>45351.31555555556</v>
      </c>
      <c r="C449" s="1" t="n">
        <v>45904</v>
      </c>
      <c r="D449" t="inlineStr">
        <is>
          <t>DALARNAS LÄN</t>
        </is>
      </c>
      <c r="E449" t="inlineStr">
        <is>
          <t>LEKSAND</t>
        </is>
      </c>
      <c r="G449" t="n">
        <v>2.9</v>
      </c>
      <c r="H449" t="n">
        <v>0</v>
      </c>
      <c r="I449" t="n">
        <v>0</v>
      </c>
      <c r="J449" t="n">
        <v>0</v>
      </c>
      <c r="K449" t="n">
        <v>0</v>
      </c>
      <c r="L449" t="n">
        <v>0</v>
      </c>
      <c r="M449" t="n">
        <v>0</v>
      </c>
      <c r="N449" t="n">
        <v>0</v>
      </c>
      <c r="O449" t="n">
        <v>0</v>
      </c>
      <c r="P449" t="n">
        <v>0</v>
      </c>
      <c r="Q449" t="n">
        <v>0</v>
      </c>
      <c r="R449" s="2" t="inlineStr"/>
    </row>
    <row r="450" ht="15" customHeight="1">
      <c r="A450" t="inlineStr">
        <is>
          <t>A 7827-2024</t>
        </is>
      </c>
      <c r="B450" s="1" t="n">
        <v>45349.7467824074</v>
      </c>
      <c r="C450" s="1" t="n">
        <v>45904</v>
      </c>
      <c r="D450" t="inlineStr">
        <is>
          <t>DALARNAS LÄN</t>
        </is>
      </c>
      <c r="E450" t="inlineStr">
        <is>
          <t>LEKSAND</t>
        </is>
      </c>
      <c r="G450" t="n">
        <v>2.2</v>
      </c>
      <c r="H450" t="n">
        <v>0</v>
      </c>
      <c r="I450" t="n">
        <v>0</v>
      </c>
      <c r="J450" t="n">
        <v>0</v>
      </c>
      <c r="K450" t="n">
        <v>0</v>
      </c>
      <c r="L450" t="n">
        <v>0</v>
      </c>
      <c r="M450" t="n">
        <v>0</v>
      </c>
      <c r="N450" t="n">
        <v>0</v>
      </c>
      <c r="O450" t="n">
        <v>0</v>
      </c>
      <c r="P450" t="n">
        <v>0</v>
      </c>
      <c r="Q450" t="n">
        <v>0</v>
      </c>
      <c r="R450" s="2" t="inlineStr"/>
    </row>
    <row r="451" ht="15" customHeight="1">
      <c r="A451" t="inlineStr">
        <is>
          <t>A 53817-2023</t>
        </is>
      </c>
      <c r="B451" s="1" t="n">
        <v>45231.40488425926</v>
      </c>
      <c r="C451" s="1" t="n">
        <v>45904</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43735-2022</t>
        </is>
      </c>
      <c r="B452" s="1" t="n">
        <v>44837.70210648148</v>
      </c>
      <c r="C452" s="1" t="n">
        <v>45904</v>
      </c>
      <c r="D452" t="inlineStr">
        <is>
          <t>DALARNAS LÄN</t>
        </is>
      </c>
      <c r="E452" t="inlineStr">
        <is>
          <t>LEKSAND</t>
        </is>
      </c>
      <c r="G452" t="n">
        <v>2.9</v>
      </c>
      <c r="H452" t="n">
        <v>0</v>
      </c>
      <c r="I452" t="n">
        <v>0</v>
      </c>
      <c r="J452" t="n">
        <v>0</v>
      </c>
      <c r="K452" t="n">
        <v>0</v>
      </c>
      <c r="L452" t="n">
        <v>0</v>
      </c>
      <c r="M452" t="n">
        <v>0</v>
      </c>
      <c r="N452" t="n">
        <v>0</v>
      </c>
      <c r="O452" t="n">
        <v>0</v>
      </c>
      <c r="P452" t="n">
        <v>0</v>
      </c>
      <c r="Q452" t="n">
        <v>0</v>
      </c>
      <c r="R452" s="2" t="inlineStr"/>
    </row>
    <row r="453" ht="15" customHeight="1">
      <c r="A453" t="inlineStr">
        <is>
          <t>A 62993-2023</t>
        </is>
      </c>
      <c r="B453" s="1" t="n">
        <v>45272</v>
      </c>
      <c r="C453" s="1" t="n">
        <v>45904</v>
      </c>
      <c r="D453" t="inlineStr">
        <is>
          <t>DALARNAS LÄN</t>
        </is>
      </c>
      <c r="E453" t="inlineStr">
        <is>
          <t>LEKSAND</t>
        </is>
      </c>
      <c r="G453" t="n">
        <v>0.6</v>
      </c>
      <c r="H453" t="n">
        <v>0</v>
      </c>
      <c r="I453" t="n">
        <v>0</v>
      </c>
      <c r="J453" t="n">
        <v>0</v>
      </c>
      <c r="K453" t="n">
        <v>0</v>
      </c>
      <c r="L453" t="n">
        <v>0</v>
      </c>
      <c r="M453" t="n">
        <v>0</v>
      </c>
      <c r="N453" t="n">
        <v>0</v>
      </c>
      <c r="O453" t="n">
        <v>0</v>
      </c>
      <c r="P453" t="n">
        <v>0</v>
      </c>
      <c r="Q453" t="n">
        <v>0</v>
      </c>
      <c r="R453" s="2" t="inlineStr"/>
    </row>
    <row r="454" ht="15" customHeight="1">
      <c r="A454" t="inlineStr">
        <is>
          <t>A 17455-2022</t>
        </is>
      </c>
      <c r="B454" s="1" t="n">
        <v>44679.3775</v>
      </c>
      <c r="C454" s="1" t="n">
        <v>45904</v>
      </c>
      <c r="D454" t="inlineStr">
        <is>
          <t>DALARNAS LÄN</t>
        </is>
      </c>
      <c r="E454" t="inlineStr">
        <is>
          <t>LEKSAND</t>
        </is>
      </c>
      <c r="F454" t="inlineStr">
        <is>
          <t>Bergvik skog väst AB</t>
        </is>
      </c>
      <c r="G454" t="n">
        <v>1.8</v>
      </c>
      <c r="H454" t="n">
        <v>0</v>
      </c>
      <c r="I454" t="n">
        <v>0</v>
      </c>
      <c r="J454" t="n">
        <v>0</v>
      </c>
      <c r="K454" t="n">
        <v>0</v>
      </c>
      <c r="L454" t="n">
        <v>0</v>
      </c>
      <c r="M454" t="n">
        <v>0</v>
      </c>
      <c r="N454" t="n">
        <v>0</v>
      </c>
      <c r="O454" t="n">
        <v>0</v>
      </c>
      <c r="P454" t="n">
        <v>0</v>
      </c>
      <c r="Q454" t="n">
        <v>0</v>
      </c>
      <c r="R454" s="2" t="inlineStr"/>
    </row>
    <row r="455" ht="15" customHeight="1">
      <c r="A455" t="inlineStr">
        <is>
          <t>A 20936-2023</t>
        </is>
      </c>
      <c r="B455" s="1" t="n">
        <v>45061</v>
      </c>
      <c r="C455" s="1" t="n">
        <v>45904</v>
      </c>
      <c r="D455" t="inlineStr">
        <is>
          <t>DALARNAS LÄN</t>
        </is>
      </c>
      <c r="E455" t="inlineStr">
        <is>
          <t>LEKSAND</t>
        </is>
      </c>
      <c r="G455" t="n">
        <v>0.3</v>
      </c>
      <c r="H455" t="n">
        <v>0</v>
      </c>
      <c r="I455" t="n">
        <v>0</v>
      </c>
      <c r="J455" t="n">
        <v>0</v>
      </c>
      <c r="K455" t="n">
        <v>0</v>
      </c>
      <c r="L455" t="n">
        <v>0</v>
      </c>
      <c r="M455" t="n">
        <v>0</v>
      </c>
      <c r="N455" t="n">
        <v>0</v>
      </c>
      <c r="O455" t="n">
        <v>0</v>
      </c>
      <c r="P455" t="n">
        <v>0</v>
      </c>
      <c r="Q455" t="n">
        <v>0</v>
      </c>
      <c r="R455" s="2" t="inlineStr"/>
    </row>
    <row r="456" ht="15" customHeight="1">
      <c r="A456" t="inlineStr">
        <is>
          <t>A 44469-2024</t>
        </is>
      </c>
      <c r="B456" s="1" t="n">
        <v>45574</v>
      </c>
      <c r="C456" s="1" t="n">
        <v>45904</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34537-2025</t>
        </is>
      </c>
      <c r="B457" s="1" t="n">
        <v>45847</v>
      </c>
      <c r="C457" s="1" t="n">
        <v>45904</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39693-2025</t>
        </is>
      </c>
      <c r="B458" s="1" t="n">
        <v>45890.68304398148</v>
      </c>
      <c r="C458" s="1" t="n">
        <v>45904</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53464-2024</t>
        </is>
      </c>
      <c r="B459" s="1" t="n">
        <v>45611</v>
      </c>
      <c r="C459" s="1" t="n">
        <v>45904</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7417-2024</t>
        </is>
      </c>
      <c r="B460" s="1" t="n">
        <v>45345.62378472222</v>
      </c>
      <c r="C460" s="1" t="n">
        <v>45904</v>
      </c>
      <c r="D460" t="inlineStr">
        <is>
          <t>DALARNAS LÄN</t>
        </is>
      </c>
      <c r="E460" t="inlineStr">
        <is>
          <t>LEKSAND</t>
        </is>
      </c>
      <c r="G460" t="n">
        <v>2.8</v>
      </c>
      <c r="H460" t="n">
        <v>0</v>
      </c>
      <c r="I460" t="n">
        <v>0</v>
      </c>
      <c r="J460" t="n">
        <v>0</v>
      </c>
      <c r="K460" t="n">
        <v>0</v>
      </c>
      <c r="L460" t="n">
        <v>0</v>
      </c>
      <c r="M460" t="n">
        <v>0</v>
      </c>
      <c r="N460" t="n">
        <v>0</v>
      </c>
      <c r="O460" t="n">
        <v>0</v>
      </c>
      <c r="P460" t="n">
        <v>0</v>
      </c>
      <c r="Q460" t="n">
        <v>0</v>
      </c>
      <c r="R460" s="2" t="inlineStr"/>
    </row>
    <row r="461" ht="15" customHeight="1">
      <c r="A461" t="inlineStr">
        <is>
          <t>A 39569-2025</t>
        </is>
      </c>
      <c r="B461" s="1" t="n">
        <v>45890</v>
      </c>
      <c r="C461" s="1" t="n">
        <v>45904</v>
      </c>
      <c r="D461" t="inlineStr">
        <is>
          <t>DALARNAS LÄN</t>
        </is>
      </c>
      <c r="E461" t="inlineStr">
        <is>
          <t>LEKSAND</t>
        </is>
      </c>
      <c r="F461" t="inlineStr">
        <is>
          <t>Bergvik skog väst AB</t>
        </is>
      </c>
      <c r="G461" t="n">
        <v>1.6</v>
      </c>
      <c r="H461" t="n">
        <v>0</v>
      </c>
      <c r="I461" t="n">
        <v>0</v>
      </c>
      <c r="J461" t="n">
        <v>0</v>
      </c>
      <c r="K461" t="n">
        <v>0</v>
      </c>
      <c r="L461" t="n">
        <v>0</v>
      </c>
      <c r="M461" t="n">
        <v>0</v>
      </c>
      <c r="N461" t="n">
        <v>0</v>
      </c>
      <c r="O461" t="n">
        <v>0</v>
      </c>
      <c r="P461" t="n">
        <v>0</v>
      </c>
      <c r="Q461" t="n">
        <v>0</v>
      </c>
      <c r="R461" s="2" t="inlineStr"/>
    </row>
    <row r="462" ht="15" customHeight="1">
      <c r="A462" t="inlineStr">
        <is>
          <t>A 39516-2025</t>
        </is>
      </c>
      <c r="B462" s="1" t="n">
        <v>45890.42633101852</v>
      </c>
      <c r="C462" s="1" t="n">
        <v>45904</v>
      </c>
      <c r="D462" t="inlineStr">
        <is>
          <t>DALARNAS LÄN</t>
        </is>
      </c>
      <c r="E462" t="inlineStr">
        <is>
          <t>LEKSAND</t>
        </is>
      </c>
      <c r="G462" t="n">
        <v>3.6</v>
      </c>
      <c r="H462" t="n">
        <v>0</v>
      </c>
      <c r="I462" t="n">
        <v>0</v>
      </c>
      <c r="J462" t="n">
        <v>0</v>
      </c>
      <c r="K462" t="n">
        <v>0</v>
      </c>
      <c r="L462" t="n">
        <v>0</v>
      </c>
      <c r="M462" t="n">
        <v>0</v>
      </c>
      <c r="N462" t="n">
        <v>0</v>
      </c>
      <c r="O462" t="n">
        <v>0</v>
      </c>
      <c r="P462" t="n">
        <v>0</v>
      </c>
      <c r="Q462" t="n">
        <v>0</v>
      </c>
      <c r="R462" s="2" t="inlineStr"/>
    </row>
    <row r="463" ht="15" customHeight="1">
      <c r="A463" t="inlineStr">
        <is>
          <t>A 39660-2025</t>
        </is>
      </c>
      <c r="B463" s="1" t="n">
        <v>45890.63006944444</v>
      </c>
      <c r="C463" s="1" t="n">
        <v>45904</v>
      </c>
      <c r="D463" t="inlineStr">
        <is>
          <t>DALARNAS LÄN</t>
        </is>
      </c>
      <c r="E463" t="inlineStr">
        <is>
          <t>LEKSAND</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34965-2025</t>
        </is>
      </c>
      <c r="B464" s="1" t="n">
        <v>45849</v>
      </c>
      <c r="C464" s="1" t="n">
        <v>45904</v>
      </c>
      <c r="D464" t="inlineStr">
        <is>
          <t>DALARNAS LÄN</t>
        </is>
      </c>
      <c r="E464" t="inlineStr">
        <is>
          <t>LEKSAND</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41896-2024</t>
        </is>
      </c>
      <c r="B465" s="1" t="n">
        <v>45561.51310185185</v>
      </c>
      <c r="C465" s="1" t="n">
        <v>45904</v>
      </c>
      <c r="D465" t="inlineStr">
        <is>
          <t>DALARNAS LÄN</t>
        </is>
      </c>
      <c r="E465" t="inlineStr">
        <is>
          <t>LEKSAND</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39546-2025</t>
        </is>
      </c>
      <c r="B466" s="1" t="n">
        <v>45890.45706018519</v>
      </c>
      <c r="C466" s="1" t="n">
        <v>45904</v>
      </c>
      <c r="D466" t="inlineStr">
        <is>
          <t>DALARNAS LÄN</t>
        </is>
      </c>
      <c r="E466" t="inlineStr">
        <is>
          <t>LEKSAND</t>
        </is>
      </c>
      <c r="G466" t="n">
        <v>4.6</v>
      </c>
      <c r="H466" t="n">
        <v>0</v>
      </c>
      <c r="I466" t="n">
        <v>0</v>
      </c>
      <c r="J466" t="n">
        <v>0</v>
      </c>
      <c r="K466" t="n">
        <v>0</v>
      </c>
      <c r="L466" t="n">
        <v>0</v>
      </c>
      <c r="M466" t="n">
        <v>0</v>
      </c>
      <c r="N466" t="n">
        <v>0</v>
      </c>
      <c r="O466" t="n">
        <v>0</v>
      </c>
      <c r="P466" t="n">
        <v>0</v>
      </c>
      <c r="Q466" t="n">
        <v>0</v>
      </c>
      <c r="R466" s="2" t="inlineStr"/>
    </row>
    <row r="467" ht="15" customHeight="1">
      <c r="A467" t="inlineStr">
        <is>
          <t>A 39572-2025</t>
        </is>
      </c>
      <c r="B467" s="1" t="n">
        <v>45890</v>
      </c>
      <c r="C467" s="1" t="n">
        <v>45904</v>
      </c>
      <c r="D467" t="inlineStr">
        <is>
          <t>DALARNAS LÄN</t>
        </is>
      </c>
      <c r="E467" t="inlineStr">
        <is>
          <t>LEKSAND</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34789-2025</t>
        </is>
      </c>
      <c r="B468" s="1" t="n">
        <v>45848</v>
      </c>
      <c r="C468" s="1" t="n">
        <v>45904</v>
      </c>
      <c r="D468" t="inlineStr">
        <is>
          <t>DALARNAS LÄN</t>
        </is>
      </c>
      <c r="E468" t="inlineStr">
        <is>
          <t>LEKSAND</t>
        </is>
      </c>
      <c r="F468" t="inlineStr">
        <is>
          <t>Bergvik skog väst AB</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34966-2025</t>
        </is>
      </c>
      <c r="B469" s="1" t="n">
        <v>45849</v>
      </c>
      <c r="C469" s="1" t="n">
        <v>45904</v>
      </c>
      <c r="D469" t="inlineStr">
        <is>
          <t>DALARNAS LÄN</t>
        </is>
      </c>
      <c r="E469" t="inlineStr">
        <is>
          <t>LEKSAND</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46628-2024</t>
        </is>
      </c>
      <c r="B470" s="1" t="n">
        <v>45583.33195601852</v>
      </c>
      <c r="C470" s="1" t="n">
        <v>45904</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41169-2024</t>
        </is>
      </c>
      <c r="B471" s="1" t="n">
        <v>45559.48637731482</v>
      </c>
      <c r="C471" s="1" t="n">
        <v>45904</v>
      </c>
      <c r="D471" t="inlineStr">
        <is>
          <t>DALARNAS LÄN</t>
        </is>
      </c>
      <c r="E471" t="inlineStr">
        <is>
          <t>LEKSAND</t>
        </is>
      </c>
      <c r="G471" t="n">
        <v>8.9</v>
      </c>
      <c r="H471" t="n">
        <v>0</v>
      </c>
      <c r="I471" t="n">
        <v>0</v>
      </c>
      <c r="J471" t="n">
        <v>0</v>
      </c>
      <c r="K471" t="n">
        <v>0</v>
      </c>
      <c r="L471" t="n">
        <v>0</v>
      </c>
      <c r="M471" t="n">
        <v>0</v>
      </c>
      <c r="N471" t="n">
        <v>0</v>
      </c>
      <c r="O471" t="n">
        <v>0</v>
      </c>
      <c r="P471" t="n">
        <v>0</v>
      </c>
      <c r="Q471" t="n">
        <v>0</v>
      </c>
      <c r="R471" s="2" t="inlineStr"/>
    </row>
    <row r="472" ht="15" customHeight="1">
      <c r="A472" t="inlineStr">
        <is>
          <t>A 43222-2024</t>
        </is>
      </c>
      <c r="B472" s="1" t="n">
        <v>45567.87177083334</v>
      </c>
      <c r="C472" s="1" t="n">
        <v>45904</v>
      </c>
      <c r="D472" t="inlineStr">
        <is>
          <t>DALARNAS LÄN</t>
        </is>
      </c>
      <c r="E472" t="inlineStr">
        <is>
          <t>LEKSAND</t>
        </is>
      </c>
      <c r="F472" t="inlineStr">
        <is>
          <t>Bergvik skog väst AB</t>
        </is>
      </c>
      <c r="G472" t="n">
        <v>8.6</v>
      </c>
      <c r="H472" t="n">
        <v>0</v>
      </c>
      <c r="I472" t="n">
        <v>0</v>
      </c>
      <c r="J472" t="n">
        <v>0</v>
      </c>
      <c r="K472" t="n">
        <v>0</v>
      </c>
      <c r="L472" t="n">
        <v>0</v>
      </c>
      <c r="M472" t="n">
        <v>0</v>
      </c>
      <c r="N472" t="n">
        <v>0</v>
      </c>
      <c r="O472" t="n">
        <v>0</v>
      </c>
      <c r="P472" t="n">
        <v>0</v>
      </c>
      <c r="Q472" t="n">
        <v>0</v>
      </c>
      <c r="R472" s="2" t="inlineStr"/>
    </row>
    <row r="473" ht="15" customHeight="1">
      <c r="A473" t="inlineStr">
        <is>
          <t>A 43231-2024</t>
        </is>
      </c>
      <c r="B473" s="1" t="n">
        <v>45567.89709490741</v>
      </c>
      <c r="C473" s="1" t="n">
        <v>45904</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17533-2023</t>
        </is>
      </c>
      <c r="B474" s="1" t="n">
        <v>45036</v>
      </c>
      <c r="C474" s="1" t="n">
        <v>45904</v>
      </c>
      <c r="D474" t="inlineStr">
        <is>
          <t>DALARNAS LÄN</t>
        </is>
      </c>
      <c r="E474" t="inlineStr">
        <is>
          <t>LEKSAND</t>
        </is>
      </c>
      <c r="G474" t="n">
        <v>3</v>
      </c>
      <c r="H474" t="n">
        <v>0</v>
      </c>
      <c r="I474" t="n">
        <v>0</v>
      </c>
      <c r="J474" t="n">
        <v>0</v>
      </c>
      <c r="K474" t="n">
        <v>0</v>
      </c>
      <c r="L474" t="n">
        <v>0</v>
      </c>
      <c r="M474" t="n">
        <v>0</v>
      </c>
      <c r="N474" t="n">
        <v>0</v>
      </c>
      <c r="O474" t="n">
        <v>0</v>
      </c>
      <c r="P474" t="n">
        <v>0</v>
      </c>
      <c r="Q474" t="n">
        <v>0</v>
      </c>
      <c r="R474" s="2" t="inlineStr"/>
    </row>
    <row r="475" ht="15" customHeight="1">
      <c r="A475" t="inlineStr">
        <is>
          <t>A 54914-2024</t>
        </is>
      </c>
      <c r="B475" s="1" t="n">
        <v>45618.69380787037</v>
      </c>
      <c r="C475" s="1" t="n">
        <v>45904</v>
      </c>
      <c r="D475" t="inlineStr">
        <is>
          <t>DALARNAS LÄN</t>
        </is>
      </c>
      <c r="E475" t="inlineStr">
        <is>
          <t>LEKSAND</t>
        </is>
      </c>
      <c r="G475" t="n">
        <v>1.7</v>
      </c>
      <c r="H475" t="n">
        <v>0</v>
      </c>
      <c r="I475" t="n">
        <v>0</v>
      </c>
      <c r="J475" t="n">
        <v>0</v>
      </c>
      <c r="K475" t="n">
        <v>0</v>
      </c>
      <c r="L475" t="n">
        <v>0</v>
      </c>
      <c r="M475" t="n">
        <v>0</v>
      </c>
      <c r="N475" t="n">
        <v>0</v>
      </c>
      <c r="O475" t="n">
        <v>0</v>
      </c>
      <c r="P475" t="n">
        <v>0</v>
      </c>
      <c r="Q475" t="n">
        <v>0</v>
      </c>
      <c r="R475" s="2" t="inlineStr"/>
    </row>
    <row r="476" ht="15" customHeight="1">
      <c r="A476" t="inlineStr">
        <is>
          <t>A 39921-2024</t>
        </is>
      </c>
      <c r="B476" s="1" t="n">
        <v>45553</v>
      </c>
      <c r="C476" s="1" t="n">
        <v>45904</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58244-2024</t>
        </is>
      </c>
      <c r="B477" s="1" t="n">
        <v>45631</v>
      </c>
      <c r="C477" s="1" t="n">
        <v>45904</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35094-2025</t>
        </is>
      </c>
      <c r="B478" s="1" t="n">
        <v>45852</v>
      </c>
      <c r="C478" s="1" t="n">
        <v>45904</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5574-2024</t>
        </is>
      </c>
      <c r="B479" s="1" t="n">
        <v>45334</v>
      </c>
      <c r="C479" s="1" t="n">
        <v>45904</v>
      </c>
      <c r="D479" t="inlineStr">
        <is>
          <t>DALARNAS LÄN</t>
        </is>
      </c>
      <c r="E479" t="inlineStr">
        <is>
          <t>LEKSAND</t>
        </is>
      </c>
      <c r="G479" t="n">
        <v>0.4</v>
      </c>
      <c r="H479" t="n">
        <v>0</v>
      </c>
      <c r="I479" t="n">
        <v>0</v>
      </c>
      <c r="J479" t="n">
        <v>0</v>
      </c>
      <c r="K479" t="n">
        <v>0</v>
      </c>
      <c r="L479" t="n">
        <v>0</v>
      </c>
      <c r="M479" t="n">
        <v>0</v>
      </c>
      <c r="N479" t="n">
        <v>0</v>
      </c>
      <c r="O479" t="n">
        <v>0</v>
      </c>
      <c r="P479" t="n">
        <v>0</v>
      </c>
      <c r="Q479" t="n">
        <v>0</v>
      </c>
      <c r="R479" s="2" t="inlineStr"/>
    </row>
    <row r="480" ht="15" customHeight="1">
      <c r="A480" t="inlineStr">
        <is>
          <t>A 4121-2024</t>
        </is>
      </c>
      <c r="B480" s="1" t="n">
        <v>45323</v>
      </c>
      <c r="C480" s="1" t="n">
        <v>45904</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61546-2021</t>
        </is>
      </c>
      <c r="B481" s="1" t="n">
        <v>44501</v>
      </c>
      <c r="C481" s="1" t="n">
        <v>45904</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41046-2024</t>
        </is>
      </c>
      <c r="B482" s="1" t="n">
        <v>45559.36677083333</v>
      </c>
      <c r="C482" s="1" t="n">
        <v>45904</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40513-2025</t>
        </is>
      </c>
      <c r="B483" s="1" t="n">
        <v>45896.35100694445</v>
      </c>
      <c r="C483" s="1" t="n">
        <v>45904</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27317-2021</t>
        </is>
      </c>
      <c r="B484" s="1" t="n">
        <v>44351</v>
      </c>
      <c r="C484" s="1" t="n">
        <v>45904</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57665-2023</t>
        </is>
      </c>
      <c r="B485" s="1" t="n">
        <v>45246</v>
      </c>
      <c r="C485" s="1" t="n">
        <v>45904</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30858-2024</t>
        </is>
      </c>
      <c r="B486" s="1" t="n">
        <v>45497.67601851852</v>
      </c>
      <c r="C486" s="1" t="n">
        <v>45904</v>
      </c>
      <c r="D486" t="inlineStr">
        <is>
          <t>DALARNAS LÄN</t>
        </is>
      </c>
      <c r="E486" t="inlineStr">
        <is>
          <t>LEKSAND</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16005-2025</t>
        </is>
      </c>
      <c r="B487" s="1" t="n">
        <v>45749.59765046297</v>
      </c>
      <c r="C487" s="1" t="n">
        <v>45904</v>
      </c>
      <c r="D487" t="inlineStr">
        <is>
          <t>DALARNAS LÄN</t>
        </is>
      </c>
      <c r="E487" t="inlineStr">
        <is>
          <t>LEKSAND</t>
        </is>
      </c>
      <c r="G487" t="n">
        <v>2.1</v>
      </c>
      <c r="H487" t="n">
        <v>0</v>
      </c>
      <c r="I487" t="n">
        <v>0</v>
      </c>
      <c r="J487" t="n">
        <v>0</v>
      </c>
      <c r="K487" t="n">
        <v>0</v>
      </c>
      <c r="L487" t="n">
        <v>0</v>
      </c>
      <c r="M487" t="n">
        <v>0</v>
      </c>
      <c r="N487" t="n">
        <v>0</v>
      </c>
      <c r="O487" t="n">
        <v>0</v>
      </c>
      <c r="P487" t="n">
        <v>0</v>
      </c>
      <c r="Q487" t="n">
        <v>0</v>
      </c>
      <c r="R487" s="2" t="inlineStr"/>
    </row>
    <row r="488" ht="15" customHeight="1">
      <c r="A488" t="inlineStr">
        <is>
          <t>A 12923-2025</t>
        </is>
      </c>
      <c r="B488" s="1" t="n">
        <v>45734.29193287037</v>
      </c>
      <c r="C488" s="1" t="n">
        <v>45904</v>
      </c>
      <c r="D488" t="inlineStr">
        <is>
          <t>DALARNAS LÄN</t>
        </is>
      </c>
      <c r="E488" t="inlineStr">
        <is>
          <t>LEKSAND</t>
        </is>
      </c>
      <c r="G488" t="n">
        <v>7.2</v>
      </c>
      <c r="H488" t="n">
        <v>0</v>
      </c>
      <c r="I488" t="n">
        <v>0</v>
      </c>
      <c r="J488" t="n">
        <v>0</v>
      </c>
      <c r="K488" t="n">
        <v>0</v>
      </c>
      <c r="L488" t="n">
        <v>0</v>
      </c>
      <c r="M488" t="n">
        <v>0</v>
      </c>
      <c r="N488" t="n">
        <v>0</v>
      </c>
      <c r="O488" t="n">
        <v>0</v>
      </c>
      <c r="P488" t="n">
        <v>0</v>
      </c>
      <c r="Q488" t="n">
        <v>0</v>
      </c>
      <c r="R488" s="2" t="inlineStr"/>
    </row>
    <row r="489" ht="15" customHeight="1">
      <c r="A489" t="inlineStr">
        <is>
          <t>A 23892-2025</t>
        </is>
      </c>
      <c r="B489" s="1" t="n">
        <v>45793</v>
      </c>
      <c r="C489" s="1" t="n">
        <v>45904</v>
      </c>
      <c r="D489" t="inlineStr">
        <is>
          <t>DALARNAS LÄN</t>
        </is>
      </c>
      <c r="E489" t="inlineStr">
        <is>
          <t>LEKSAND</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5738-2023</t>
        </is>
      </c>
      <c r="B490" s="1" t="n">
        <v>44962</v>
      </c>
      <c r="C490" s="1" t="n">
        <v>45904</v>
      </c>
      <c r="D490" t="inlineStr">
        <is>
          <t>DALARNAS LÄN</t>
        </is>
      </c>
      <c r="E490" t="inlineStr">
        <is>
          <t>LEKSAND</t>
        </is>
      </c>
      <c r="G490" t="n">
        <v>0.2</v>
      </c>
      <c r="H490" t="n">
        <v>0</v>
      </c>
      <c r="I490" t="n">
        <v>0</v>
      </c>
      <c r="J490" t="n">
        <v>0</v>
      </c>
      <c r="K490" t="n">
        <v>0</v>
      </c>
      <c r="L490" t="n">
        <v>0</v>
      </c>
      <c r="M490" t="n">
        <v>0</v>
      </c>
      <c r="N490" t="n">
        <v>0</v>
      </c>
      <c r="O490" t="n">
        <v>0</v>
      </c>
      <c r="P490" t="n">
        <v>0</v>
      </c>
      <c r="Q490" t="n">
        <v>0</v>
      </c>
      <c r="R490" s="2" t="inlineStr"/>
    </row>
    <row r="491" ht="15" customHeight="1">
      <c r="A491" t="inlineStr">
        <is>
          <t>A 25921-2024</t>
        </is>
      </c>
      <c r="B491" s="1" t="n">
        <v>45467.6053587963</v>
      </c>
      <c r="C491" s="1" t="n">
        <v>45904</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41306-2024</t>
        </is>
      </c>
      <c r="B492" s="1" t="n">
        <v>45559.62550925926</v>
      </c>
      <c r="C492" s="1" t="n">
        <v>45904</v>
      </c>
      <c r="D492" t="inlineStr">
        <is>
          <t>DALARNAS LÄN</t>
        </is>
      </c>
      <c r="E492" t="inlineStr">
        <is>
          <t>LEKSAND</t>
        </is>
      </c>
      <c r="G492" t="n">
        <v>0.5</v>
      </c>
      <c r="H492" t="n">
        <v>0</v>
      </c>
      <c r="I492" t="n">
        <v>0</v>
      </c>
      <c r="J492" t="n">
        <v>0</v>
      </c>
      <c r="K492" t="n">
        <v>0</v>
      </c>
      <c r="L492" t="n">
        <v>0</v>
      </c>
      <c r="M492" t="n">
        <v>0</v>
      </c>
      <c r="N492" t="n">
        <v>0</v>
      </c>
      <c r="O492" t="n">
        <v>0</v>
      </c>
      <c r="P492" t="n">
        <v>0</v>
      </c>
      <c r="Q492" t="n">
        <v>0</v>
      </c>
      <c r="R492" s="2" t="inlineStr"/>
    </row>
    <row r="493" ht="15" customHeight="1">
      <c r="A493" t="inlineStr">
        <is>
          <t>A 40636-2025</t>
        </is>
      </c>
      <c r="B493" s="1" t="n">
        <v>45896.60490740741</v>
      </c>
      <c r="C493" s="1" t="n">
        <v>45904</v>
      </c>
      <c r="D493" t="inlineStr">
        <is>
          <t>DALARNAS LÄN</t>
        </is>
      </c>
      <c r="E493" t="inlineStr">
        <is>
          <t>LEKSAND</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8940-2023</t>
        </is>
      </c>
      <c r="B494" s="1" t="n">
        <v>44974</v>
      </c>
      <c r="C494" s="1" t="n">
        <v>45904</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17377-2025</t>
        </is>
      </c>
      <c r="B495" s="1" t="n">
        <v>45756.983125</v>
      </c>
      <c r="C495" s="1" t="n">
        <v>45904</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11128-2023</t>
        </is>
      </c>
      <c r="B496" s="1" t="n">
        <v>44992</v>
      </c>
      <c r="C496" s="1" t="n">
        <v>45904</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40517-2025</t>
        </is>
      </c>
      <c r="B497" s="1" t="n">
        <v>45896.36368055556</v>
      </c>
      <c r="C497" s="1" t="n">
        <v>45904</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1458-2024</t>
        </is>
      </c>
      <c r="B498" s="1" t="n">
        <v>45303</v>
      </c>
      <c r="C498" s="1" t="n">
        <v>45904</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1461-2024</t>
        </is>
      </c>
      <c r="B499" s="1" t="n">
        <v>45303</v>
      </c>
      <c r="C499" s="1" t="n">
        <v>45904</v>
      </c>
      <c r="D499" t="inlineStr">
        <is>
          <t>DALARNAS LÄN</t>
        </is>
      </c>
      <c r="E499" t="inlineStr">
        <is>
          <t>LEKSAND</t>
        </is>
      </c>
      <c r="G499" t="n">
        <v>2.4</v>
      </c>
      <c r="H499" t="n">
        <v>0</v>
      </c>
      <c r="I499" t="n">
        <v>0</v>
      </c>
      <c r="J499" t="n">
        <v>0</v>
      </c>
      <c r="K499" t="n">
        <v>0</v>
      </c>
      <c r="L499" t="n">
        <v>0</v>
      </c>
      <c r="M499" t="n">
        <v>0</v>
      </c>
      <c r="N499" t="n">
        <v>0</v>
      </c>
      <c r="O499" t="n">
        <v>0</v>
      </c>
      <c r="P499" t="n">
        <v>0</v>
      </c>
      <c r="Q499" t="n">
        <v>0</v>
      </c>
      <c r="R499" s="2" t="inlineStr"/>
    </row>
    <row r="500" ht="15" customHeight="1">
      <c r="A500" t="inlineStr">
        <is>
          <t>A 13288-2023</t>
        </is>
      </c>
      <c r="B500" s="1" t="n">
        <v>45004.8160300926</v>
      </c>
      <c r="C500" s="1" t="n">
        <v>45904</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36190-2025</t>
        </is>
      </c>
      <c r="B501" s="1" t="n">
        <v>45867</v>
      </c>
      <c r="C501" s="1" t="n">
        <v>45904</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17233-2023</t>
        </is>
      </c>
      <c r="B502" s="1" t="n">
        <v>45035</v>
      </c>
      <c r="C502" s="1" t="n">
        <v>45904</v>
      </c>
      <c r="D502" t="inlineStr">
        <is>
          <t>DALARNAS LÄN</t>
        </is>
      </c>
      <c r="E502" t="inlineStr">
        <is>
          <t>LEKSAND</t>
        </is>
      </c>
      <c r="G502" t="n">
        <v>1.6</v>
      </c>
      <c r="H502" t="n">
        <v>0</v>
      </c>
      <c r="I502" t="n">
        <v>0</v>
      </c>
      <c r="J502" t="n">
        <v>0</v>
      </c>
      <c r="K502" t="n">
        <v>0</v>
      </c>
      <c r="L502" t="n">
        <v>0</v>
      </c>
      <c r="M502" t="n">
        <v>0</v>
      </c>
      <c r="N502" t="n">
        <v>0</v>
      </c>
      <c r="O502" t="n">
        <v>0</v>
      </c>
      <c r="P502" t="n">
        <v>0</v>
      </c>
      <c r="Q502" t="n">
        <v>0</v>
      </c>
      <c r="R502" s="2" t="inlineStr"/>
    </row>
    <row r="503" ht="15" customHeight="1">
      <c r="A503" t="inlineStr">
        <is>
          <t>A 41487-2025</t>
        </is>
      </c>
      <c r="B503" s="1" t="n">
        <v>45901.4815625</v>
      </c>
      <c r="C503" s="1" t="n">
        <v>45904</v>
      </c>
      <c r="D503" t="inlineStr">
        <is>
          <t>DALARNAS LÄN</t>
        </is>
      </c>
      <c r="E503" t="inlineStr">
        <is>
          <t>LEKSAND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46931-2023</t>
        </is>
      </c>
      <c r="B504" s="1" t="n">
        <v>45201</v>
      </c>
      <c r="C504" s="1" t="n">
        <v>45904</v>
      </c>
      <c r="D504" t="inlineStr">
        <is>
          <t>DALARNAS LÄN</t>
        </is>
      </c>
      <c r="E504" t="inlineStr">
        <is>
          <t>LEKSAND</t>
        </is>
      </c>
      <c r="G504" t="n">
        <v>1.4</v>
      </c>
      <c r="H504" t="n">
        <v>0</v>
      </c>
      <c r="I504" t="n">
        <v>0</v>
      </c>
      <c r="J504" t="n">
        <v>0</v>
      </c>
      <c r="K504" t="n">
        <v>0</v>
      </c>
      <c r="L504" t="n">
        <v>0</v>
      </c>
      <c r="M504" t="n">
        <v>0</v>
      </c>
      <c r="N504" t="n">
        <v>0</v>
      </c>
      <c r="O504" t="n">
        <v>0</v>
      </c>
      <c r="P504" t="n">
        <v>0</v>
      </c>
      <c r="Q504" t="n">
        <v>0</v>
      </c>
      <c r="R504" s="2" t="inlineStr"/>
    </row>
    <row r="505" ht="15" customHeight="1">
      <c r="A505" t="inlineStr">
        <is>
          <t>A 11740-2025</t>
        </is>
      </c>
      <c r="B505" s="1" t="n">
        <v>45727.62582175926</v>
      </c>
      <c r="C505" s="1" t="n">
        <v>45904</v>
      </c>
      <c r="D505" t="inlineStr">
        <is>
          <t>DALARNAS LÄN</t>
        </is>
      </c>
      <c r="E505" t="inlineStr">
        <is>
          <t>LEKSAND</t>
        </is>
      </c>
      <c r="F505" t="inlineStr">
        <is>
          <t>Övriga Aktiebolag</t>
        </is>
      </c>
      <c r="G505" t="n">
        <v>1.3</v>
      </c>
      <c r="H505" t="n">
        <v>0</v>
      </c>
      <c r="I505" t="n">
        <v>0</v>
      </c>
      <c r="J505" t="n">
        <v>0</v>
      </c>
      <c r="K505" t="n">
        <v>0</v>
      </c>
      <c r="L505" t="n">
        <v>0</v>
      </c>
      <c r="M505" t="n">
        <v>0</v>
      </c>
      <c r="N505" t="n">
        <v>0</v>
      </c>
      <c r="O505" t="n">
        <v>0</v>
      </c>
      <c r="P505" t="n">
        <v>0</v>
      </c>
      <c r="Q505" t="n">
        <v>0</v>
      </c>
      <c r="R505" s="2" t="inlineStr"/>
    </row>
    <row r="506" ht="15" customHeight="1">
      <c r="A506" t="inlineStr">
        <is>
          <t>A 41380-2025</t>
        </is>
      </c>
      <c r="B506" s="1" t="n">
        <v>45900.92826388889</v>
      </c>
      <c r="C506" s="1" t="n">
        <v>45904</v>
      </c>
      <c r="D506" t="inlineStr">
        <is>
          <t>DALARNAS LÄN</t>
        </is>
      </c>
      <c r="E506" t="inlineStr">
        <is>
          <t>LEKSAND</t>
        </is>
      </c>
      <c r="G506" t="n">
        <v>1.4</v>
      </c>
      <c r="H506" t="n">
        <v>0</v>
      </c>
      <c r="I506" t="n">
        <v>0</v>
      </c>
      <c r="J506" t="n">
        <v>0</v>
      </c>
      <c r="K506" t="n">
        <v>0</v>
      </c>
      <c r="L506" t="n">
        <v>0</v>
      </c>
      <c r="M506" t="n">
        <v>0</v>
      </c>
      <c r="N506" t="n">
        <v>0</v>
      </c>
      <c r="O506" t="n">
        <v>0</v>
      </c>
      <c r="P506" t="n">
        <v>0</v>
      </c>
      <c r="Q506" t="n">
        <v>0</v>
      </c>
      <c r="R506" s="2" t="inlineStr"/>
    </row>
    <row r="507" ht="15" customHeight="1">
      <c r="A507" t="inlineStr">
        <is>
          <t>A 41335-2025</t>
        </is>
      </c>
      <c r="B507" s="1" t="n">
        <v>45899.36747685185</v>
      </c>
      <c r="C507" s="1" t="n">
        <v>45904</v>
      </c>
      <c r="D507" t="inlineStr">
        <is>
          <t>DALARNAS LÄN</t>
        </is>
      </c>
      <c r="E507" t="inlineStr">
        <is>
          <t>LEKSAND</t>
        </is>
      </c>
      <c r="G507" t="n">
        <v>5.9</v>
      </c>
      <c r="H507" t="n">
        <v>0</v>
      </c>
      <c r="I507" t="n">
        <v>0</v>
      </c>
      <c r="J507" t="n">
        <v>0</v>
      </c>
      <c r="K507" t="n">
        <v>0</v>
      </c>
      <c r="L507" t="n">
        <v>0</v>
      </c>
      <c r="M507" t="n">
        <v>0</v>
      </c>
      <c r="N507" t="n">
        <v>0</v>
      </c>
      <c r="O507" t="n">
        <v>0</v>
      </c>
      <c r="P507" t="n">
        <v>0</v>
      </c>
      <c r="Q507" t="n">
        <v>0</v>
      </c>
      <c r="R507" s="2" t="inlineStr"/>
    </row>
    <row r="508" ht="15" customHeight="1">
      <c r="A508" t="inlineStr">
        <is>
          <t>A 41528-2025</t>
        </is>
      </c>
      <c r="B508" s="1" t="n">
        <v>45901.55515046296</v>
      </c>
      <c r="C508" s="1" t="n">
        <v>45904</v>
      </c>
      <c r="D508" t="inlineStr">
        <is>
          <t>DALARNAS LÄN</t>
        </is>
      </c>
      <c r="E508" t="inlineStr">
        <is>
          <t>LEKSAND</t>
        </is>
      </c>
      <c r="F508" t="inlineStr">
        <is>
          <t>Bergvik skog väst AB</t>
        </is>
      </c>
      <c r="G508" t="n">
        <v>2.7</v>
      </c>
      <c r="H508" t="n">
        <v>0</v>
      </c>
      <c r="I508" t="n">
        <v>0</v>
      </c>
      <c r="J508" t="n">
        <v>0</v>
      </c>
      <c r="K508" t="n">
        <v>0</v>
      </c>
      <c r="L508" t="n">
        <v>0</v>
      </c>
      <c r="M508" t="n">
        <v>0</v>
      </c>
      <c r="N508" t="n">
        <v>0</v>
      </c>
      <c r="O508" t="n">
        <v>0</v>
      </c>
      <c r="P508" t="n">
        <v>0</v>
      </c>
      <c r="Q508" t="n">
        <v>0</v>
      </c>
      <c r="R508" s="2" t="inlineStr"/>
    </row>
    <row r="509" ht="15" customHeight="1">
      <c r="A509" t="inlineStr">
        <is>
          <t>A 10373-2023</t>
        </is>
      </c>
      <c r="B509" s="1" t="n">
        <v>44987</v>
      </c>
      <c r="C509" s="1" t="n">
        <v>45904</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13705-2021</t>
        </is>
      </c>
      <c r="B510" s="1" t="n">
        <v>44274</v>
      </c>
      <c r="C510" s="1" t="n">
        <v>45904</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41248-2025</t>
        </is>
      </c>
      <c r="B511" s="1" t="n">
        <v>45898.60199074074</v>
      </c>
      <c r="C511" s="1" t="n">
        <v>45904</v>
      </c>
      <c r="D511" t="inlineStr">
        <is>
          <t>DALARNAS LÄN</t>
        </is>
      </c>
      <c r="E511" t="inlineStr">
        <is>
          <t>LEKSAND</t>
        </is>
      </c>
      <c r="F511" t="inlineStr">
        <is>
          <t>Bergvik skog väst AB</t>
        </is>
      </c>
      <c r="G511" t="n">
        <v>2.5</v>
      </c>
      <c r="H511" t="n">
        <v>0</v>
      </c>
      <c r="I511" t="n">
        <v>0</v>
      </c>
      <c r="J511" t="n">
        <v>0</v>
      </c>
      <c r="K511" t="n">
        <v>0</v>
      </c>
      <c r="L511" t="n">
        <v>0</v>
      </c>
      <c r="M511" t="n">
        <v>0</v>
      </c>
      <c r="N511" t="n">
        <v>0</v>
      </c>
      <c r="O511" t="n">
        <v>0</v>
      </c>
      <c r="P511" t="n">
        <v>0</v>
      </c>
      <c r="Q511" t="n">
        <v>0</v>
      </c>
      <c r="R511" s="2" t="inlineStr"/>
    </row>
    <row r="512" ht="15" customHeight="1">
      <c r="A512" t="inlineStr">
        <is>
          <t>A 41237-2025</t>
        </is>
      </c>
      <c r="B512" s="1" t="n">
        <v>45898.59570601852</v>
      </c>
      <c r="C512" s="1" t="n">
        <v>45904</v>
      </c>
      <c r="D512" t="inlineStr">
        <is>
          <t>DALARNAS LÄN</t>
        </is>
      </c>
      <c r="E512" t="inlineStr">
        <is>
          <t>LEKSAND</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35866-2025</t>
        </is>
      </c>
      <c r="B513" s="1" t="n">
        <v>45861</v>
      </c>
      <c r="C513" s="1" t="n">
        <v>45904</v>
      </c>
      <c r="D513" t="inlineStr">
        <is>
          <t>DALARNAS LÄN</t>
        </is>
      </c>
      <c r="E513" t="inlineStr">
        <is>
          <t>LEKSAND</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35746-2025</t>
        </is>
      </c>
      <c r="B514" s="1" t="n">
        <v>45860</v>
      </c>
      <c r="C514" s="1" t="n">
        <v>45904</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41934-2025</t>
        </is>
      </c>
      <c r="B515" s="1" t="n">
        <v>45903.43556712963</v>
      </c>
      <c r="C515" s="1" t="n">
        <v>45904</v>
      </c>
      <c r="D515" t="inlineStr">
        <is>
          <t>DALARNAS LÄN</t>
        </is>
      </c>
      <c r="E515" t="inlineStr">
        <is>
          <t>LEKSAND</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38001-2023</t>
        </is>
      </c>
      <c r="B516" s="1" t="n">
        <v>45160</v>
      </c>
      <c r="C516" s="1" t="n">
        <v>45904</v>
      </c>
      <c r="D516" t="inlineStr">
        <is>
          <t>DALARNAS LÄN</t>
        </is>
      </c>
      <c r="E516" t="inlineStr">
        <is>
          <t>LEKSAND</t>
        </is>
      </c>
      <c r="G516" t="n">
        <v>3.6</v>
      </c>
      <c r="H516" t="n">
        <v>0</v>
      </c>
      <c r="I516" t="n">
        <v>0</v>
      </c>
      <c r="J516" t="n">
        <v>0</v>
      </c>
      <c r="K516" t="n">
        <v>0</v>
      </c>
      <c r="L516" t="n">
        <v>0</v>
      </c>
      <c r="M516" t="n">
        <v>0</v>
      </c>
      <c r="N516" t="n">
        <v>0</v>
      </c>
      <c r="O516" t="n">
        <v>0</v>
      </c>
      <c r="P516" t="n">
        <v>0</v>
      </c>
      <c r="Q516" t="n">
        <v>0</v>
      </c>
      <c r="R516" s="2" t="inlineStr"/>
    </row>
    <row r="517" ht="15" customHeight="1">
      <c r="A517" t="inlineStr">
        <is>
          <t>A 47673-2023</t>
        </is>
      </c>
      <c r="B517" s="1" t="n">
        <v>45203</v>
      </c>
      <c r="C517" s="1" t="n">
        <v>45904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19820-2024</t>
        </is>
      </c>
      <c r="B518" s="1" t="n">
        <v>45433.33907407407</v>
      </c>
      <c r="C518" s="1" t="n">
        <v>45904</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19823-2024</t>
        </is>
      </c>
      <c r="B519" s="1" t="n">
        <v>45433.34469907408</v>
      </c>
      <c r="C519" s="1" t="n">
        <v>45904</v>
      </c>
      <c r="D519" t="inlineStr">
        <is>
          <t>DALARNAS LÄN</t>
        </is>
      </c>
      <c r="E519" t="inlineStr">
        <is>
          <t>LEKSAND</t>
        </is>
      </c>
      <c r="G519" t="n">
        <v>0.3</v>
      </c>
      <c r="H519" t="n">
        <v>0</v>
      </c>
      <c r="I519" t="n">
        <v>0</v>
      </c>
      <c r="J519" t="n">
        <v>0</v>
      </c>
      <c r="K519" t="n">
        <v>0</v>
      </c>
      <c r="L519" t="n">
        <v>0</v>
      </c>
      <c r="M519" t="n">
        <v>0</v>
      </c>
      <c r="N519" t="n">
        <v>0</v>
      </c>
      <c r="O519" t="n">
        <v>0</v>
      </c>
      <c r="P519" t="n">
        <v>0</v>
      </c>
      <c r="Q519" t="n">
        <v>0</v>
      </c>
      <c r="R519" s="2" t="inlineStr"/>
    </row>
    <row r="520" ht="15" customHeight="1">
      <c r="A520" t="inlineStr">
        <is>
          <t>A 2820-2024</t>
        </is>
      </c>
      <c r="B520" s="1" t="n">
        <v>45314.76287037037</v>
      </c>
      <c r="C520" s="1" t="n">
        <v>45904</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2822-2024</t>
        </is>
      </c>
      <c r="B521" s="1" t="n">
        <v>45314.76622685185</v>
      </c>
      <c r="C521" s="1" t="n">
        <v>45904</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7653-2025</t>
        </is>
      </c>
      <c r="B522" s="1" t="n">
        <v>45705.95238425926</v>
      </c>
      <c r="C522" s="1" t="n">
        <v>45904</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6039-2023</t>
        </is>
      </c>
      <c r="B523" s="1" t="n">
        <v>44959</v>
      </c>
      <c r="C523" s="1" t="n">
        <v>45904</v>
      </c>
      <c r="D523" t="inlineStr">
        <is>
          <t>DALARNAS LÄN</t>
        </is>
      </c>
      <c r="E523" t="inlineStr">
        <is>
          <t>LEKSAND</t>
        </is>
      </c>
      <c r="G523" t="n">
        <v>1.3</v>
      </c>
      <c r="H523" t="n">
        <v>0</v>
      </c>
      <c r="I523" t="n">
        <v>0</v>
      </c>
      <c r="J523" t="n">
        <v>0</v>
      </c>
      <c r="K523" t="n">
        <v>0</v>
      </c>
      <c r="L523" t="n">
        <v>0</v>
      </c>
      <c r="M523" t="n">
        <v>0</v>
      </c>
      <c r="N523" t="n">
        <v>0</v>
      </c>
      <c r="O523" t="n">
        <v>0</v>
      </c>
      <c r="P523" t="n">
        <v>0</v>
      </c>
      <c r="Q523" t="n">
        <v>0</v>
      </c>
      <c r="R523" s="2" t="inlineStr"/>
    </row>
    <row r="524" ht="15" customHeight="1">
      <c r="A524" t="inlineStr">
        <is>
          <t>A 6758-2024</t>
        </is>
      </c>
      <c r="B524" s="1" t="n">
        <v>45342.46857638889</v>
      </c>
      <c r="C524" s="1" t="n">
        <v>45904</v>
      </c>
      <c r="D524" t="inlineStr">
        <is>
          <t>DALARNAS LÄN</t>
        </is>
      </c>
      <c r="E524" t="inlineStr">
        <is>
          <t>LEKSAND</t>
        </is>
      </c>
      <c r="F524" t="inlineStr">
        <is>
          <t>Bergvik skog väst AB</t>
        </is>
      </c>
      <c r="G524" t="n">
        <v>6.2</v>
      </c>
      <c r="H524" t="n">
        <v>0</v>
      </c>
      <c r="I524" t="n">
        <v>0</v>
      </c>
      <c r="J524" t="n">
        <v>0</v>
      </c>
      <c r="K524" t="n">
        <v>0</v>
      </c>
      <c r="L524" t="n">
        <v>0</v>
      </c>
      <c r="M524" t="n">
        <v>0</v>
      </c>
      <c r="N524" t="n">
        <v>0</v>
      </c>
      <c r="O524" t="n">
        <v>0</v>
      </c>
      <c r="P524" t="n">
        <v>0</v>
      </c>
      <c r="Q524" t="n">
        <v>0</v>
      </c>
      <c r="R524" s="2" t="inlineStr"/>
    </row>
    <row r="525" ht="15" customHeight="1">
      <c r="A525" t="inlineStr">
        <is>
          <t>A 4257-2022</t>
        </is>
      </c>
      <c r="B525" s="1" t="n">
        <v>44588</v>
      </c>
      <c r="C525" s="1" t="n">
        <v>45904</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37952-2024</t>
        </is>
      </c>
      <c r="B526" s="1" t="n">
        <v>45544.5200462963</v>
      </c>
      <c r="C526" s="1" t="n">
        <v>45904</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28921-2023</t>
        </is>
      </c>
      <c r="B527" s="1" t="n">
        <v>45104</v>
      </c>
      <c r="C527" s="1" t="n">
        <v>45904</v>
      </c>
      <c r="D527" t="inlineStr">
        <is>
          <t>DALARNAS LÄN</t>
        </is>
      </c>
      <c r="E527" t="inlineStr">
        <is>
          <t>LEKSAND</t>
        </is>
      </c>
      <c r="G527" t="n">
        <v>4.4</v>
      </c>
      <c r="H527" t="n">
        <v>0</v>
      </c>
      <c r="I527" t="n">
        <v>0</v>
      </c>
      <c r="J527" t="n">
        <v>0</v>
      </c>
      <c r="K527" t="n">
        <v>0</v>
      </c>
      <c r="L527" t="n">
        <v>0</v>
      </c>
      <c r="M527" t="n">
        <v>0</v>
      </c>
      <c r="N527" t="n">
        <v>0</v>
      </c>
      <c r="O527" t="n">
        <v>0</v>
      </c>
      <c r="P527" t="n">
        <v>0</v>
      </c>
      <c r="Q527" t="n">
        <v>0</v>
      </c>
      <c r="R527" s="2" t="inlineStr"/>
    </row>
    <row r="528" ht="15" customHeight="1">
      <c r="A528" t="inlineStr">
        <is>
          <t>A 30998-2023</t>
        </is>
      </c>
      <c r="B528" s="1" t="n">
        <v>45113.54193287037</v>
      </c>
      <c r="C528" s="1" t="n">
        <v>45904</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31254-2023</t>
        </is>
      </c>
      <c r="B529" s="1" t="n">
        <v>45114</v>
      </c>
      <c r="C529" s="1" t="n">
        <v>45904</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23283-2024</t>
        </is>
      </c>
      <c r="B530" s="1" t="n">
        <v>45453</v>
      </c>
      <c r="C530" s="1" t="n">
        <v>45904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39807-2024</t>
        </is>
      </c>
      <c r="B531" s="1" t="n">
        <v>45553.35763888889</v>
      </c>
      <c r="C531" s="1" t="n">
        <v>45904</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15257-2025</t>
        </is>
      </c>
      <c r="B532" s="1" t="n">
        <v>45744</v>
      </c>
      <c r="C532" s="1" t="n">
        <v>45904</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1463-2024</t>
        </is>
      </c>
      <c r="B533" s="1" t="n">
        <v>45303</v>
      </c>
      <c r="C533" s="1" t="n">
        <v>45904</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16611-2024</t>
        </is>
      </c>
      <c r="B534" s="1" t="n">
        <v>45408.55504629629</v>
      </c>
      <c r="C534" s="1" t="n">
        <v>45904</v>
      </c>
      <c r="D534" t="inlineStr">
        <is>
          <t>DALARNAS LÄN</t>
        </is>
      </c>
      <c r="E534" t="inlineStr">
        <is>
          <t>LEKSAND</t>
        </is>
      </c>
      <c r="G534" t="n">
        <v>5.9</v>
      </c>
      <c r="H534" t="n">
        <v>0</v>
      </c>
      <c r="I534" t="n">
        <v>0</v>
      </c>
      <c r="J534" t="n">
        <v>0</v>
      </c>
      <c r="K534" t="n">
        <v>0</v>
      </c>
      <c r="L534" t="n">
        <v>0</v>
      </c>
      <c r="M534" t="n">
        <v>0</v>
      </c>
      <c r="N534" t="n">
        <v>0</v>
      </c>
      <c r="O534" t="n">
        <v>0</v>
      </c>
      <c r="P534" t="n">
        <v>0</v>
      </c>
      <c r="Q534" t="n">
        <v>0</v>
      </c>
      <c r="R534" s="2" t="inlineStr"/>
    </row>
    <row r="535" ht="15" customHeight="1">
      <c r="A535" t="inlineStr">
        <is>
          <t>A 46834-2023</t>
        </is>
      </c>
      <c r="B535" s="1" t="n">
        <v>45199.35668981481</v>
      </c>
      <c r="C535" s="1" t="n">
        <v>45904</v>
      </c>
      <c r="D535" t="inlineStr">
        <is>
          <t>DALARNAS LÄN</t>
        </is>
      </c>
      <c r="E535" t="inlineStr">
        <is>
          <t>LEKSAND</t>
        </is>
      </c>
      <c r="G535" t="n">
        <v>16.3</v>
      </c>
      <c r="H535" t="n">
        <v>0</v>
      </c>
      <c r="I535" t="n">
        <v>0</v>
      </c>
      <c r="J535" t="n">
        <v>0</v>
      </c>
      <c r="K535" t="n">
        <v>0</v>
      </c>
      <c r="L535" t="n">
        <v>0</v>
      </c>
      <c r="M535" t="n">
        <v>0</v>
      </c>
      <c r="N535" t="n">
        <v>0</v>
      </c>
      <c r="O535" t="n">
        <v>0</v>
      </c>
      <c r="P535" t="n">
        <v>0</v>
      </c>
      <c r="Q535" t="n">
        <v>0</v>
      </c>
      <c r="R535" s="2" t="inlineStr"/>
    </row>
    <row r="536" ht="15" customHeight="1">
      <c r="A536" t="inlineStr">
        <is>
          <t>A 12851-2023</t>
        </is>
      </c>
      <c r="B536" s="1" t="n">
        <v>45001.49347222222</v>
      </c>
      <c r="C536" s="1" t="n">
        <v>45904</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45768-2023</t>
        </is>
      </c>
      <c r="B537" s="1" t="n">
        <v>45195</v>
      </c>
      <c r="C537" s="1" t="n">
        <v>45904</v>
      </c>
      <c r="D537" t="inlineStr">
        <is>
          <t>DALARNAS LÄN</t>
        </is>
      </c>
      <c r="E537" t="inlineStr">
        <is>
          <t>LEKSAND</t>
        </is>
      </c>
      <c r="G537" t="n">
        <v>0.4</v>
      </c>
      <c r="H537" t="n">
        <v>0</v>
      </c>
      <c r="I537" t="n">
        <v>0</v>
      </c>
      <c r="J537" t="n">
        <v>0</v>
      </c>
      <c r="K537" t="n">
        <v>0</v>
      </c>
      <c r="L537" t="n">
        <v>0</v>
      </c>
      <c r="M537" t="n">
        <v>0</v>
      </c>
      <c r="N537" t="n">
        <v>0</v>
      </c>
      <c r="O537" t="n">
        <v>0</v>
      </c>
      <c r="P537" t="n">
        <v>0</v>
      </c>
      <c r="Q537" t="n">
        <v>0</v>
      </c>
      <c r="R537" s="2" t="inlineStr"/>
    </row>
    <row r="538" ht="15" customHeight="1">
      <c r="A538" t="inlineStr">
        <is>
          <t>A 25025-2023</t>
        </is>
      </c>
      <c r="B538" s="1" t="n">
        <v>45085.92146990741</v>
      </c>
      <c r="C538" s="1" t="n">
        <v>45904</v>
      </c>
      <c r="D538" t="inlineStr">
        <is>
          <t>DALARNAS LÄN</t>
        </is>
      </c>
      <c r="E538" t="inlineStr">
        <is>
          <t>LEKSAND</t>
        </is>
      </c>
      <c r="G538" t="n">
        <v>3</v>
      </c>
      <c r="H538" t="n">
        <v>0</v>
      </c>
      <c r="I538" t="n">
        <v>0</v>
      </c>
      <c r="J538" t="n">
        <v>0</v>
      </c>
      <c r="K538" t="n">
        <v>0</v>
      </c>
      <c r="L538" t="n">
        <v>0</v>
      </c>
      <c r="M538" t="n">
        <v>0</v>
      </c>
      <c r="N538" t="n">
        <v>0</v>
      </c>
      <c r="O538" t="n">
        <v>0</v>
      </c>
      <c r="P538" t="n">
        <v>0</v>
      </c>
      <c r="Q538" t="n">
        <v>0</v>
      </c>
      <c r="R538" s="2" t="inlineStr"/>
    </row>
    <row r="539" ht="15" customHeight="1">
      <c r="A539" t="inlineStr">
        <is>
          <t>A 25038-2023</t>
        </is>
      </c>
      <c r="B539" s="1" t="n">
        <v>45085</v>
      </c>
      <c r="C539" s="1" t="n">
        <v>45904</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11277-2025</t>
        </is>
      </c>
      <c r="B540" s="1" t="n">
        <v>45726.41565972222</v>
      </c>
      <c r="C540" s="1" t="n">
        <v>45904</v>
      </c>
      <c r="D540" t="inlineStr">
        <is>
          <t>DALARNAS LÄN</t>
        </is>
      </c>
      <c r="E540" t="inlineStr">
        <is>
          <t>LEKSAND</t>
        </is>
      </c>
      <c r="G540" t="n">
        <v>2</v>
      </c>
      <c r="H540" t="n">
        <v>0</v>
      </c>
      <c r="I540" t="n">
        <v>0</v>
      </c>
      <c r="J540" t="n">
        <v>0</v>
      </c>
      <c r="K540" t="n">
        <v>0</v>
      </c>
      <c r="L540" t="n">
        <v>0</v>
      </c>
      <c r="M540" t="n">
        <v>0</v>
      </c>
      <c r="N540" t="n">
        <v>0</v>
      </c>
      <c r="O540" t="n">
        <v>0</v>
      </c>
      <c r="P540" t="n">
        <v>0</v>
      </c>
      <c r="Q540" t="n">
        <v>0</v>
      </c>
      <c r="R540" s="2" t="inlineStr"/>
    </row>
    <row r="541" ht="15" customHeight="1">
      <c r="A541" t="inlineStr">
        <is>
          <t>A 5570-2024</t>
        </is>
      </c>
      <c r="B541" s="1" t="n">
        <v>45334</v>
      </c>
      <c r="C541" s="1" t="n">
        <v>45904</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54917-2024</t>
        </is>
      </c>
      <c r="B542" s="1" t="n">
        <v>45618.69581018519</v>
      </c>
      <c r="C542" s="1" t="n">
        <v>45904</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11403-2023</t>
        </is>
      </c>
      <c r="B543" s="1" t="n">
        <v>44993</v>
      </c>
      <c r="C543" s="1" t="n">
        <v>45904</v>
      </c>
      <c r="D543" t="inlineStr">
        <is>
          <t>DALARNAS LÄN</t>
        </is>
      </c>
      <c r="E543" t="inlineStr">
        <is>
          <t>LEKSAND</t>
        </is>
      </c>
      <c r="G543" t="n">
        <v>0.1</v>
      </c>
      <c r="H543" t="n">
        <v>0</v>
      </c>
      <c r="I543" t="n">
        <v>0</v>
      </c>
      <c r="J543" t="n">
        <v>0</v>
      </c>
      <c r="K543" t="n">
        <v>0</v>
      </c>
      <c r="L543" t="n">
        <v>0</v>
      </c>
      <c r="M543" t="n">
        <v>0</v>
      </c>
      <c r="N543" t="n">
        <v>0</v>
      </c>
      <c r="O543" t="n">
        <v>0</v>
      </c>
      <c r="P543" t="n">
        <v>0</v>
      </c>
      <c r="Q543" t="n">
        <v>0</v>
      </c>
      <c r="R543" s="2" t="inlineStr"/>
    </row>
    <row r="544" ht="15" customHeight="1">
      <c r="A544" t="inlineStr">
        <is>
          <t>A 34482-2022</t>
        </is>
      </c>
      <c r="B544" s="1" t="n">
        <v>44792</v>
      </c>
      <c r="C544" s="1" t="n">
        <v>45904</v>
      </c>
      <c r="D544" t="inlineStr">
        <is>
          <t>DALARNAS LÄN</t>
        </is>
      </c>
      <c r="E544" t="inlineStr">
        <is>
          <t>LEKSAND</t>
        </is>
      </c>
      <c r="G544" t="n">
        <v>2.6</v>
      </c>
      <c r="H544" t="n">
        <v>0</v>
      </c>
      <c r="I544" t="n">
        <v>0</v>
      </c>
      <c r="J544" t="n">
        <v>0</v>
      </c>
      <c r="K544" t="n">
        <v>0</v>
      </c>
      <c r="L544" t="n">
        <v>0</v>
      </c>
      <c r="M544" t="n">
        <v>0</v>
      </c>
      <c r="N544" t="n">
        <v>0</v>
      </c>
      <c r="O544" t="n">
        <v>0</v>
      </c>
      <c r="P544" t="n">
        <v>0</v>
      </c>
      <c r="Q544" t="n">
        <v>0</v>
      </c>
      <c r="R544" s="2" t="inlineStr"/>
    </row>
    <row r="545" ht="15" customHeight="1">
      <c r="A545" t="inlineStr">
        <is>
          <t>A 5584-2024</t>
        </is>
      </c>
      <c r="B545" s="1" t="n">
        <v>45334</v>
      </c>
      <c r="C545" s="1" t="n">
        <v>45904</v>
      </c>
      <c r="D545" t="inlineStr">
        <is>
          <t>DALARNAS LÄN</t>
        </is>
      </c>
      <c r="E545" t="inlineStr">
        <is>
          <t>LEKSAND</t>
        </is>
      </c>
      <c r="F545" t="inlineStr">
        <is>
          <t>Kyrkan</t>
        </is>
      </c>
      <c r="G545" t="n">
        <v>0.4</v>
      </c>
      <c r="H545" t="n">
        <v>0</v>
      </c>
      <c r="I545" t="n">
        <v>0</v>
      </c>
      <c r="J545" t="n">
        <v>0</v>
      </c>
      <c r="K545" t="n">
        <v>0</v>
      </c>
      <c r="L545" t="n">
        <v>0</v>
      </c>
      <c r="M545" t="n">
        <v>0</v>
      </c>
      <c r="N545" t="n">
        <v>0</v>
      </c>
      <c r="O545" t="n">
        <v>0</v>
      </c>
      <c r="P545" t="n">
        <v>0</v>
      </c>
      <c r="Q545" t="n">
        <v>0</v>
      </c>
      <c r="R545" s="2" t="inlineStr"/>
    </row>
    <row r="546" ht="15" customHeight="1">
      <c r="A546" t="inlineStr">
        <is>
          <t>A 51860-2024</t>
        </is>
      </c>
      <c r="B546" s="1" t="n">
        <v>45607.54511574074</v>
      </c>
      <c r="C546" s="1" t="n">
        <v>45904</v>
      </c>
      <c r="D546" t="inlineStr">
        <is>
          <t>DALARNAS LÄN</t>
        </is>
      </c>
      <c r="E546" t="inlineStr">
        <is>
          <t>LEKSAND</t>
        </is>
      </c>
      <c r="F546" t="inlineStr">
        <is>
          <t>Bergvik skog väst AB</t>
        </is>
      </c>
      <c r="G546" t="n">
        <v>3.4</v>
      </c>
      <c r="H546" t="n">
        <v>0</v>
      </c>
      <c r="I546" t="n">
        <v>0</v>
      </c>
      <c r="J546" t="n">
        <v>0</v>
      </c>
      <c r="K546" t="n">
        <v>0</v>
      </c>
      <c r="L546" t="n">
        <v>0</v>
      </c>
      <c r="M546" t="n">
        <v>0</v>
      </c>
      <c r="N546" t="n">
        <v>0</v>
      </c>
      <c r="O546" t="n">
        <v>0</v>
      </c>
      <c r="P546" t="n">
        <v>0</v>
      </c>
      <c r="Q546" t="n">
        <v>0</v>
      </c>
      <c r="R546" s="2" t="inlineStr"/>
    </row>
    <row r="547" ht="15" customHeight="1">
      <c r="A547" t="inlineStr">
        <is>
          <t>A 22681-2022</t>
        </is>
      </c>
      <c r="B547" s="1" t="n">
        <v>44714.50961805556</v>
      </c>
      <c r="C547" s="1" t="n">
        <v>45904</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60129-2023</t>
        </is>
      </c>
      <c r="B548" s="1" t="n">
        <v>45258.49056712963</v>
      </c>
      <c r="C548" s="1" t="n">
        <v>45904</v>
      </c>
      <c r="D548" t="inlineStr">
        <is>
          <t>DALARNAS LÄN</t>
        </is>
      </c>
      <c r="E548" t="inlineStr">
        <is>
          <t>LEKSAND</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1457-2024</t>
        </is>
      </c>
      <c r="B549" s="1" t="n">
        <v>45303</v>
      </c>
      <c r="C549" s="1" t="n">
        <v>45904</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3737-2023</t>
        </is>
      </c>
      <c r="B550" s="1" t="n">
        <v>44951.42983796296</v>
      </c>
      <c r="C550" s="1" t="n">
        <v>45904</v>
      </c>
      <c r="D550" t="inlineStr">
        <is>
          <t>DALARNAS LÄN</t>
        </is>
      </c>
      <c r="E550" t="inlineStr">
        <is>
          <t>LEKSAND</t>
        </is>
      </c>
      <c r="G550" t="n">
        <v>3.1</v>
      </c>
      <c r="H550" t="n">
        <v>0</v>
      </c>
      <c r="I550" t="n">
        <v>0</v>
      </c>
      <c r="J550" t="n">
        <v>0</v>
      </c>
      <c r="K550" t="n">
        <v>0</v>
      </c>
      <c r="L550" t="n">
        <v>0</v>
      </c>
      <c r="M550" t="n">
        <v>0</v>
      </c>
      <c r="N550" t="n">
        <v>0</v>
      </c>
      <c r="O550" t="n">
        <v>0</v>
      </c>
      <c r="P550" t="n">
        <v>0</v>
      </c>
      <c r="Q550" t="n">
        <v>0</v>
      </c>
      <c r="R550" s="2" t="inlineStr"/>
    </row>
    <row r="551" ht="15" customHeight="1">
      <c r="A551" t="inlineStr">
        <is>
          <t>A 43237-2024</t>
        </is>
      </c>
      <c r="B551" s="1" t="n">
        <v>45567</v>
      </c>
      <c r="C551" s="1" t="n">
        <v>45904</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23068-2024</t>
        </is>
      </c>
      <c r="B552" s="1" t="n">
        <v>45450.45521990741</v>
      </c>
      <c r="C552" s="1" t="n">
        <v>45904</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7894-2025</t>
        </is>
      </c>
      <c r="B553" s="1" t="n">
        <v>45707.30268518518</v>
      </c>
      <c r="C553" s="1" t="n">
        <v>45904</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40007-2024</t>
        </is>
      </c>
      <c r="B554" s="1" t="n">
        <v>45553.6516550926</v>
      </c>
      <c r="C554" s="1" t="n">
        <v>45904</v>
      </c>
      <c r="D554" t="inlineStr">
        <is>
          <t>DALARNAS LÄN</t>
        </is>
      </c>
      <c r="E554" t="inlineStr">
        <is>
          <t>LEKSAND</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33198-2022</t>
        </is>
      </c>
      <c r="B555" s="1" t="n">
        <v>44785.68597222222</v>
      </c>
      <c r="C555" s="1" t="n">
        <v>45904</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9938-2023</t>
        </is>
      </c>
      <c r="B556" s="1" t="n">
        <v>44985</v>
      </c>
      <c r="C556" s="1" t="n">
        <v>45904</v>
      </c>
      <c r="D556" t="inlineStr">
        <is>
          <t>DALARNAS LÄN</t>
        </is>
      </c>
      <c r="E556" t="inlineStr">
        <is>
          <t>LEKSAND</t>
        </is>
      </c>
      <c r="G556" t="n">
        <v>3.1</v>
      </c>
      <c r="H556" t="n">
        <v>0</v>
      </c>
      <c r="I556" t="n">
        <v>0</v>
      </c>
      <c r="J556" t="n">
        <v>0</v>
      </c>
      <c r="K556" t="n">
        <v>0</v>
      </c>
      <c r="L556" t="n">
        <v>0</v>
      </c>
      <c r="M556" t="n">
        <v>0</v>
      </c>
      <c r="N556" t="n">
        <v>0</v>
      </c>
      <c r="O556" t="n">
        <v>0</v>
      </c>
      <c r="P556" t="n">
        <v>0</v>
      </c>
      <c r="Q556" t="n">
        <v>0</v>
      </c>
      <c r="R556" s="2" t="inlineStr"/>
    </row>
    <row r="557" ht="15" customHeight="1">
      <c r="A557" t="inlineStr">
        <is>
          <t>A 28965-2023</t>
        </is>
      </c>
      <c r="B557" s="1" t="n">
        <v>45104</v>
      </c>
      <c r="C557" s="1" t="n">
        <v>45904</v>
      </c>
      <c r="D557" t="inlineStr">
        <is>
          <t>DALARNAS LÄN</t>
        </is>
      </c>
      <c r="E557" t="inlineStr">
        <is>
          <t>LEKSAND</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16293-2025</t>
        </is>
      </c>
      <c r="B558" s="1" t="n">
        <v>45751.33447916667</v>
      </c>
      <c r="C558" s="1" t="n">
        <v>45904</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31726-2024</t>
        </is>
      </c>
      <c r="B559" s="1" t="n">
        <v>45509.33908564815</v>
      </c>
      <c r="C559" s="1" t="n">
        <v>45904</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26957-2023</t>
        </is>
      </c>
      <c r="B560" s="1" t="n">
        <v>45093</v>
      </c>
      <c r="C560" s="1" t="n">
        <v>45904</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39595-2023</t>
        </is>
      </c>
      <c r="B561" s="1" t="n">
        <v>45167</v>
      </c>
      <c r="C561" s="1" t="n">
        <v>45904</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26959-2023</t>
        </is>
      </c>
      <c r="B562" s="1" t="n">
        <v>45093.67210648148</v>
      </c>
      <c r="C562" s="1" t="n">
        <v>45904</v>
      </c>
      <c r="D562" t="inlineStr">
        <is>
          <t>DALARNAS LÄN</t>
        </is>
      </c>
      <c r="E562" t="inlineStr">
        <is>
          <t>LEKSAND</t>
        </is>
      </c>
      <c r="G562" t="n">
        <v>0.7</v>
      </c>
      <c r="H562" t="n">
        <v>0</v>
      </c>
      <c r="I562" t="n">
        <v>0</v>
      </c>
      <c r="J562" t="n">
        <v>0</v>
      </c>
      <c r="K562" t="n">
        <v>0</v>
      </c>
      <c r="L562" t="n">
        <v>0</v>
      </c>
      <c r="M562" t="n">
        <v>0</v>
      </c>
      <c r="N562" t="n">
        <v>0</v>
      </c>
      <c r="O562" t="n">
        <v>0</v>
      </c>
      <c r="P562" t="n">
        <v>0</v>
      </c>
      <c r="Q562" t="n">
        <v>0</v>
      </c>
      <c r="R562" s="2" t="inlineStr"/>
    </row>
    <row r="563" ht="15" customHeight="1">
      <c r="A563" t="inlineStr">
        <is>
          <t>A 6027-2025</t>
        </is>
      </c>
      <c r="B563" s="1" t="n">
        <v>45695</v>
      </c>
      <c r="C563" s="1" t="n">
        <v>45904</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40642-2023</t>
        </is>
      </c>
      <c r="B564" s="1" t="n">
        <v>45169</v>
      </c>
      <c r="C564" s="1" t="n">
        <v>45904</v>
      </c>
      <c r="D564" t="inlineStr">
        <is>
          <t>DALARNAS LÄN</t>
        </is>
      </c>
      <c r="E564" t="inlineStr">
        <is>
          <t>LEKSAND</t>
        </is>
      </c>
      <c r="G564" t="n">
        <v>1.9</v>
      </c>
      <c r="H564" t="n">
        <v>0</v>
      </c>
      <c r="I564" t="n">
        <v>0</v>
      </c>
      <c r="J564" t="n">
        <v>0</v>
      </c>
      <c r="K564" t="n">
        <v>0</v>
      </c>
      <c r="L564" t="n">
        <v>0</v>
      </c>
      <c r="M564" t="n">
        <v>0</v>
      </c>
      <c r="N564" t="n">
        <v>0</v>
      </c>
      <c r="O564" t="n">
        <v>0</v>
      </c>
      <c r="P564" t="n">
        <v>0</v>
      </c>
      <c r="Q564" t="n">
        <v>0</v>
      </c>
      <c r="R564" s="2" t="inlineStr"/>
    </row>
    <row r="565" ht="15" customHeight="1">
      <c r="A565" t="inlineStr">
        <is>
          <t>A 11678-2023</t>
        </is>
      </c>
      <c r="B565" s="1" t="n">
        <v>44994</v>
      </c>
      <c r="C565" s="1" t="n">
        <v>45904</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57933-2024</t>
        </is>
      </c>
      <c r="B566" s="1" t="n">
        <v>45630</v>
      </c>
      <c r="C566" s="1" t="n">
        <v>45904</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60095-2022</t>
        </is>
      </c>
      <c r="B567" s="1" t="n">
        <v>44909</v>
      </c>
      <c r="C567" s="1" t="n">
        <v>45904</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30595-2023</t>
        </is>
      </c>
      <c r="B568" s="1" t="n">
        <v>45112</v>
      </c>
      <c r="C568" s="1" t="n">
        <v>45904</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8755-2023</t>
        </is>
      </c>
      <c r="B569" s="1" t="n">
        <v>44978</v>
      </c>
      <c r="C569" s="1" t="n">
        <v>45904</v>
      </c>
      <c r="D569" t="inlineStr">
        <is>
          <t>DALARNAS LÄN</t>
        </is>
      </c>
      <c r="E569" t="inlineStr">
        <is>
          <t>LEKSAND</t>
        </is>
      </c>
      <c r="G569" t="n">
        <v>2.3</v>
      </c>
      <c r="H569" t="n">
        <v>0</v>
      </c>
      <c r="I569" t="n">
        <v>0</v>
      </c>
      <c r="J569" t="n">
        <v>0</v>
      </c>
      <c r="K569" t="n">
        <v>0</v>
      </c>
      <c r="L569" t="n">
        <v>0</v>
      </c>
      <c r="M569" t="n">
        <v>0</v>
      </c>
      <c r="N569" t="n">
        <v>0</v>
      </c>
      <c r="O569" t="n">
        <v>0</v>
      </c>
      <c r="P569" t="n">
        <v>0</v>
      </c>
      <c r="Q569" t="n">
        <v>0</v>
      </c>
      <c r="R569" s="2" t="inlineStr"/>
    </row>
    <row r="570" ht="15" customHeight="1">
      <c r="A570" t="inlineStr">
        <is>
          <t>A 5582-2024</t>
        </is>
      </c>
      <c r="B570" s="1" t="n">
        <v>45334</v>
      </c>
      <c r="C570" s="1" t="n">
        <v>45904</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46505-2023</t>
        </is>
      </c>
      <c r="B571" s="1" t="n">
        <v>45197</v>
      </c>
      <c r="C571" s="1" t="n">
        <v>45904</v>
      </c>
      <c r="D571" t="inlineStr">
        <is>
          <t>DALARNAS LÄN</t>
        </is>
      </c>
      <c r="E571" t="inlineStr">
        <is>
          <t>LEKSAND</t>
        </is>
      </c>
      <c r="G571" t="n">
        <v>2.3</v>
      </c>
      <c r="H571" t="n">
        <v>0</v>
      </c>
      <c r="I571" t="n">
        <v>0</v>
      </c>
      <c r="J571" t="n">
        <v>0</v>
      </c>
      <c r="K571" t="n">
        <v>0</v>
      </c>
      <c r="L571" t="n">
        <v>0</v>
      </c>
      <c r="M571" t="n">
        <v>0</v>
      </c>
      <c r="N571" t="n">
        <v>0</v>
      </c>
      <c r="O571" t="n">
        <v>0</v>
      </c>
      <c r="P571" t="n">
        <v>0</v>
      </c>
      <c r="Q571" t="n">
        <v>0</v>
      </c>
      <c r="R571" s="2" t="inlineStr"/>
    </row>
    <row r="572" ht="15" customHeight="1">
      <c r="A572" t="inlineStr">
        <is>
          <t>A 6519-2025</t>
        </is>
      </c>
      <c r="B572" s="1" t="n">
        <v>45699</v>
      </c>
      <c r="C572" s="1" t="n">
        <v>45904</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58619-2022</t>
        </is>
      </c>
      <c r="B573" s="1" t="n">
        <v>44902.59579861111</v>
      </c>
      <c r="C573" s="1" t="n">
        <v>45904</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40755-2024</t>
        </is>
      </c>
      <c r="B574" s="1" t="n">
        <v>45558.45815972222</v>
      </c>
      <c r="C574" s="1" t="n">
        <v>45904</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11218-2023</t>
        </is>
      </c>
      <c r="B575" s="1" t="n">
        <v>44992.62401620371</v>
      </c>
      <c r="C575" s="1" t="n">
        <v>45904</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776-2021</t>
        </is>
      </c>
      <c r="B576" s="1" t="n">
        <v>44203</v>
      </c>
      <c r="C576" s="1" t="n">
        <v>45904</v>
      </c>
      <c r="D576" t="inlineStr">
        <is>
          <t>DALARNAS LÄN</t>
        </is>
      </c>
      <c r="E576" t="inlineStr">
        <is>
          <t>LEKSAND</t>
        </is>
      </c>
      <c r="G576" t="n">
        <v>21</v>
      </c>
      <c r="H576" t="n">
        <v>0</v>
      </c>
      <c r="I576" t="n">
        <v>0</v>
      </c>
      <c r="J576" t="n">
        <v>0</v>
      </c>
      <c r="K576" t="n">
        <v>0</v>
      </c>
      <c r="L576" t="n">
        <v>0</v>
      </c>
      <c r="M576" t="n">
        <v>0</v>
      </c>
      <c r="N576" t="n">
        <v>0</v>
      </c>
      <c r="O576" t="n">
        <v>0</v>
      </c>
      <c r="P576" t="n">
        <v>0</v>
      </c>
      <c r="Q576" t="n">
        <v>0</v>
      </c>
      <c r="R576" s="2" t="inlineStr"/>
    </row>
    <row r="577" ht="15" customHeight="1">
      <c r="A577" t="inlineStr">
        <is>
          <t>A 61680-2024</t>
        </is>
      </c>
      <c r="B577" s="1" t="n">
        <v>45647.42890046296</v>
      </c>
      <c r="C577" s="1" t="n">
        <v>45904</v>
      </c>
      <c r="D577" t="inlineStr">
        <is>
          <t>DALARNAS LÄN</t>
        </is>
      </c>
      <c r="E577" t="inlineStr">
        <is>
          <t>LEKSAND</t>
        </is>
      </c>
      <c r="G577" t="n">
        <v>3.6</v>
      </c>
      <c r="H577" t="n">
        <v>0</v>
      </c>
      <c r="I577" t="n">
        <v>0</v>
      </c>
      <c r="J577" t="n">
        <v>0</v>
      </c>
      <c r="K577" t="n">
        <v>0</v>
      </c>
      <c r="L577" t="n">
        <v>0</v>
      </c>
      <c r="M577" t="n">
        <v>0</v>
      </c>
      <c r="N577" t="n">
        <v>0</v>
      </c>
      <c r="O577" t="n">
        <v>0</v>
      </c>
      <c r="P577" t="n">
        <v>0</v>
      </c>
      <c r="Q577" t="n">
        <v>0</v>
      </c>
      <c r="R577" s="2" t="inlineStr"/>
    </row>
    <row r="578" ht="15" customHeight="1">
      <c r="A578" t="inlineStr">
        <is>
          <t>A 8045-2024</t>
        </is>
      </c>
      <c r="B578" s="1" t="n">
        <v>45351.31371527778</v>
      </c>
      <c r="C578" s="1" t="n">
        <v>45904</v>
      </c>
      <c r="D578" t="inlineStr">
        <is>
          <t>DALARNAS LÄN</t>
        </is>
      </c>
      <c r="E578" t="inlineStr">
        <is>
          <t>LEKSAND</t>
        </is>
      </c>
      <c r="G578" t="n">
        <v>6.7</v>
      </c>
      <c r="H578" t="n">
        <v>0</v>
      </c>
      <c r="I578" t="n">
        <v>0</v>
      </c>
      <c r="J578" t="n">
        <v>0</v>
      </c>
      <c r="K578" t="n">
        <v>0</v>
      </c>
      <c r="L578" t="n">
        <v>0</v>
      </c>
      <c r="M578" t="n">
        <v>0</v>
      </c>
      <c r="N578" t="n">
        <v>0</v>
      </c>
      <c r="O578" t="n">
        <v>0</v>
      </c>
      <c r="P578" t="n">
        <v>0</v>
      </c>
      <c r="Q578" t="n">
        <v>0</v>
      </c>
      <c r="R578" s="2" t="inlineStr"/>
    </row>
    <row r="579" ht="15" customHeight="1">
      <c r="A579" t="inlineStr">
        <is>
          <t>A 33001-2023</t>
        </is>
      </c>
      <c r="B579" s="1" t="n">
        <v>45125</v>
      </c>
      <c r="C579" s="1" t="n">
        <v>45904</v>
      </c>
      <c r="D579" t="inlineStr">
        <is>
          <t>DALARNAS LÄN</t>
        </is>
      </c>
      <c r="E579" t="inlineStr">
        <is>
          <t>LEKSAND</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1946-2024</t>
        </is>
      </c>
      <c r="B580" s="1" t="n">
        <v>45308</v>
      </c>
      <c r="C580" s="1" t="n">
        <v>45904</v>
      </c>
      <c r="D580" t="inlineStr">
        <is>
          <t>DALARNAS LÄN</t>
        </is>
      </c>
      <c r="E580" t="inlineStr">
        <is>
          <t>LEKSAND</t>
        </is>
      </c>
      <c r="G580" t="n">
        <v>2.3</v>
      </c>
      <c r="H580" t="n">
        <v>0</v>
      </c>
      <c r="I580" t="n">
        <v>0</v>
      </c>
      <c r="J580" t="n">
        <v>0</v>
      </c>
      <c r="K580" t="n">
        <v>0</v>
      </c>
      <c r="L580" t="n">
        <v>0</v>
      </c>
      <c r="M580" t="n">
        <v>0</v>
      </c>
      <c r="N580" t="n">
        <v>0</v>
      </c>
      <c r="O580" t="n">
        <v>0</v>
      </c>
      <c r="P580" t="n">
        <v>0</v>
      </c>
      <c r="Q580" t="n">
        <v>0</v>
      </c>
      <c r="R580" s="2" t="inlineStr"/>
    </row>
    <row r="581" ht="15" customHeight="1">
      <c r="A581" t="inlineStr">
        <is>
          <t>A 62295-2023</t>
        </is>
      </c>
      <c r="B581" s="1" t="n">
        <v>45267</v>
      </c>
      <c r="C581" s="1" t="n">
        <v>45904</v>
      </c>
      <c r="D581" t="inlineStr">
        <is>
          <t>DALARNAS LÄN</t>
        </is>
      </c>
      <c r="E581" t="inlineStr">
        <is>
          <t>LEKSAND</t>
        </is>
      </c>
      <c r="G581" t="n">
        <v>2.5</v>
      </c>
      <c r="H581" t="n">
        <v>0</v>
      </c>
      <c r="I581" t="n">
        <v>0</v>
      </c>
      <c r="J581" t="n">
        <v>0</v>
      </c>
      <c r="K581" t="n">
        <v>0</v>
      </c>
      <c r="L581" t="n">
        <v>0</v>
      </c>
      <c r="M581" t="n">
        <v>0</v>
      </c>
      <c r="N581" t="n">
        <v>0</v>
      </c>
      <c r="O581" t="n">
        <v>0</v>
      </c>
      <c r="P581" t="n">
        <v>0</v>
      </c>
      <c r="Q581" t="n">
        <v>0</v>
      </c>
      <c r="R581" s="2" t="inlineStr"/>
    </row>
    <row r="582" ht="15" customHeight="1">
      <c r="A582" t="inlineStr">
        <is>
          <t>A 15173-2025</t>
        </is>
      </c>
      <c r="B582" s="1" t="n">
        <v>45744.50858796296</v>
      </c>
      <c r="C582" s="1" t="n">
        <v>45904</v>
      </c>
      <c r="D582" t="inlineStr">
        <is>
          <t>DALARNAS LÄN</t>
        </is>
      </c>
      <c r="E582" t="inlineStr">
        <is>
          <t>LEKSAND</t>
        </is>
      </c>
      <c r="G582" t="n">
        <v>0.3</v>
      </c>
      <c r="H582" t="n">
        <v>0</v>
      </c>
      <c r="I582" t="n">
        <v>0</v>
      </c>
      <c r="J582" t="n">
        <v>0</v>
      </c>
      <c r="K582" t="n">
        <v>0</v>
      </c>
      <c r="L582" t="n">
        <v>0</v>
      </c>
      <c r="M582" t="n">
        <v>0</v>
      </c>
      <c r="N582" t="n">
        <v>0</v>
      </c>
      <c r="O582" t="n">
        <v>0</v>
      </c>
      <c r="P582" t="n">
        <v>0</v>
      </c>
      <c r="Q582" t="n">
        <v>0</v>
      </c>
      <c r="R582" s="2" t="inlineStr"/>
    </row>
    <row r="583" ht="15" customHeight="1">
      <c r="A583" t="inlineStr">
        <is>
          <t>A 32394-2024</t>
        </is>
      </c>
      <c r="B583" s="1" t="n">
        <v>45512.64349537037</v>
      </c>
      <c r="C583" s="1" t="n">
        <v>45904</v>
      </c>
      <c r="D583" t="inlineStr">
        <is>
          <t>DALARNAS LÄN</t>
        </is>
      </c>
      <c r="E583" t="inlineStr">
        <is>
          <t>LEKSAND</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61054-2023</t>
        </is>
      </c>
      <c r="B584" s="1" t="n">
        <v>45261</v>
      </c>
      <c r="C584" s="1" t="n">
        <v>45904</v>
      </c>
      <c r="D584" t="inlineStr">
        <is>
          <t>DALARNAS LÄN</t>
        </is>
      </c>
      <c r="E584" t="inlineStr">
        <is>
          <t>LEKSAND</t>
        </is>
      </c>
      <c r="G584" t="n">
        <v>0.4</v>
      </c>
      <c r="H584" t="n">
        <v>0</v>
      </c>
      <c r="I584" t="n">
        <v>0</v>
      </c>
      <c r="J584" t="n">
        <v>0</v>
      </c>
      <c r="K584" t="n">
        <v>0</v>
      </c>
      <c r="L584" t="n">
        <v>0</v>
      </c>
      <c r="M584" t="n">
        <v>0</v>
      </c>
      <c r="N584" t="n">
        <v>0</v>
      </c>
      <c r="O584" t="n">
        <v>0</v>
      </c>
      <c r="P584" t="n">
        <v>0</v>
      </c>
      <c r="Q584" t="n">
        <v>0</v>
      </c>
      <c r="R584" s="2" t="inlineStr"/>
    </row>
    <row r="585" ht="15" customHeight="1">
      <c r="A585" t="inlineStr">
        <is>
          <t>A 61056-2023</t>
        </is>
      </c>
      <c r="B585" s="1" t="n">
        <v>45261</v>
      </c>
      <c r="C585" s="1" t="n">
        <v>45904</v>
      </c>
      <c r="D585" t="inlineStr">
        <is>
          <t>DALARNAS LÄN</t>
        </is>
      </c>
      <c r="E585" t="inlineStr">
        <is>
          <t>LEKSAND</t>
        </is>
      </c>
      <c r="G585" t="n">
        <v>0.3</v>
      </c>
      <c r="H585" t="n">
        <v>0</v>
      </c>
      <c r="I585" t="n">
        <v>0</v>
      </c>
      <c r="J585" t="n">
        <v>0</v>
      </c>
      <c r="K585" t="n">
        <v>0</v>
      </c>
      <c r="L585" t="n">
        <v>0</v>
      </c>
      <c r="M585" t="n">
        <v>0</v>
      </c>
      <c r="N585" t="n">
        <v>0</v>
      </c>
      <c r="O585" t="n">
        <v>0</v>
      </c>
      <c r="P585" t="n">
        <v>0</v>
      </c>
      <c r="Q585" t="n">
        <v>0</v>
      </c>
      <c r="R585" s="2" t="inlineStr"/>
    </row>
    <row r="586" ht="15" customHeight="1">
      <c r="A586" t="inlineStr">
        <is>
          <t>A 11015-2022</t>
        </is>
      </c>
      <c r="B586" s="1" t="n">
        <v>44628.52340277778</v>
      </c>
      <c r="C586" s="1" t="n">
        <v>45904</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40752-2024</t>
        </is>
      </c>
      <c r="B587" s="1" t="n">
        <v>45558.45638888889</v>
      </c>
      <c r="C587" s="1" t="n">
        <v>45904</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6846-2023</t>
        </is>
      </c>
      <c r="B588" s="1" t="n">
        <v>44967.43953703704</v>
      </c>
      <c r="C588" s="1" t="n">
        <v>45904</v>
      </c>
      <c r="D588" t="inlineStr">
        <is>
          <t>DALARNAS LÄN</t>
        </is>
      </c>
      <c r="E588" t="inlineStr">
        <is>
          <t>LEKSAND</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15882-2023</t>
        </is>
      </c>
      <c r="B589" s="1" t="n">
        <v>45022</v>
      </c>
      <c r="C589" s="1" t="n">
        <v>45904</v>
      </c>
      <c r="D589" t="inlineStr">
        <is>
          <t>DALARNAS LÄN</t>
        </is>
      </c>
      <c r="E589" t="inlineStr">
        <is>
          <t>LEKSAND</t>
        </is>
      </c>
      <c r="G589" t="n">
        <v>0.1</v>
      </c>
      <c r="H589" t="n">
        <v>0</v>
      </c>
      <c r="I589" t="n">
        <v>0</v>
      </c>
      <c r="J589" t="n">
        <v>0</v>
      </c>
      <c r="K589" t="n">
        <v>0</v>
      </c>
      <c r="L589" t="n">
        <v>0</v>
      </c>
      <c r="M589" t="n">
        <v>0</v>
      </c>
      <c r="N589" t="n">
        <v>0</v>
      </c>
      <c r="O589" t="n">
        <v>0</v>
      </c>
      <c r="P589" t="n">
        <v>0</v>
      </c>
      <c r="Q589" t="n">
        <v>0</v>
      </c>
      <c r="R589" s="2" t="inlineStr"/>
    </row>
    <row r="590" ht="15" customHeight="1">
      <c r="A590" t="inlineStr">
        <is>
          <t>A 17413-2023</t>
        </is>
      </c>
      <c r="B590" s="1" t="n">
        <v>45035</v>
      </c>
      <c r="C590" s="1" t="n">
        <v>45904</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1775-2022</t>
        </is>
      </c>
      <c r="B591" s="1" t="n">
        <v>44574</v>
      </c>
      <c r="C591" s="1" t="n">
        <v>45904</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56753-2023</t>
        </is>
      </c>
      <c r="B592" s="1" t="n">
        <v>45244.37094907407</v>
      </c>
      <c r="C592" s="1" t="n">
        <v>45904</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18049-2025</t>
        </is>
      </c>
      <c r="B593" s="1" t="n">
        <v>45761.46743055555</v>
      </c>
      <c r="C593" s="1" t="n">
        <v>45904</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43077-2024</t>
        </is>
      </c>
      <c r="B594" s="1" t="n">
        <v>45567.50030092592</v>
      </c>
      <c r="C594" s="1" t="n">
        <v>45904</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57899-2024</t>
        </is>
      </c>
      <c r="B595" s="1" t="n">
        <v>45630</v>
      </c>
      <c r="C595" s="1" t="n">
        <v>45904</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60873-2023</t>
        </is>
      </c>
      <c r="B596" s="1" t="n">
        <v>45261.03266203704</v>
      </c>
      <c r="C596" s="1" t="n">
        <v>45904</v>
      </c>
      <c r="D596" t="inlineStr">
        <is>
          <t>DALARNAS LÄN</t>
        </is>
      </c>
      <c r="E596" t="inlineStr">
        <is>
          <t>LEKSAND</t>
        </is>
      </c>
      <c r="G596" t="n">
        <v>5.2</v>
      </c>
      <c r="H596" t="n">
        <v>0</v>
      </c>
      <c r="I596" t="n">
        <v>0</v>
      </c>
      <c r="J596" t="n">
        <v>0</v>
      </c>
      <c r="K596" t="n">
        <v>0</v>
      </c>
      <c r="L596" t="n">
        <v>0</v>
      </c>
      <c r="M596" t="n">
        <v>0</v>
      </c>
      <c r="N596" t="n">
        <v>0</v>
      </c>
      <c r="O596" t="n">
        <v>0</v>
      </c>
      <c r="P596" t="n">
        <v>0</v>
      </c>
      <c r="Q596" t="n">
        <v>0</v>
      </c>
      <c r="R596" s="2" t="inlineStr"/>
    </row>
    <row r="597" ht="15" customHeight="1">
      <c r="A597" t="inlineStr">
        <is>
          <t>A 5583-2024</t>
        </is>
      </c>
      <c r="B597" s="1" t="n">
        <v>45334</v>
      </c>
      <c r="C597" s="1" t="n">
        <v>45904</v>
      </c>
      <c r="D597" t="inlineStr">
        <is>
          <t>DALARNAS LÄN</t>
        </is>
      </c>
      <c r="E597" t="inlineStr">
        <is>
          <t>LEKSAND</t>
        </is>
      </c>
      <c r="F597" t="inlineStr">
        <is>
          <t>Kyrkan</t>
        </is>
      </c>
      <c r="G597" t="n">
        <v>0.4</v>
      </c>
      <c r="H597" t="n">
        <v>0</v>
      </c>
      <c r="I597" t="n">
        <v>0</v>
      </c>
      <c r="J597" t="n">
        <v>0</v>
      </c>
      <c r="K597" t="n">
        <v>0</v>
      </c>
      <c r="L597" t="n">
        <v>0</v>
      </c>
      <c r="M597" t="n">
        <v>0</v>
      </c>
      <c r="N597" t="n">
        <v>0</v>
      </c>
      <c r="O597" t="n">
        <v>0</v>
      </c>
      <c r="P597" t="n">
        <v>0</v>
      </c>
      <c r="Q597" t="n">
        <v>0</v>
      </c>
      <c r="R597" s="2" t="inlineStr"/>
    </row>
    <row r="598" ht="15" customHeight="1">
      <c r="A598" t="inlineStr">
        <is>
          <t>A 56950-2024</t>
        </is>
      </c>
      <c r="B598" s="1" t="n">
        <v>45625</v>
      </c>
      <c r="C598" s="1" t="n">
        <v>45904</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15120-2023</t>
        </is>
      </c>
      <c r="B599" s="1" t="n">
        <v>45016.46484953703</v>
      </c>
      <c r="C599" s="1" t="n">
        <v>45904</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43693-2022</t>
        </is>
      </c>
      <c r="B600" s="1" t="n">
        <v>44837.6369212963</v>
      </c>
      <c r="C600" s="1" t="n">
        <v>45904</v>
      </c>
      <c r="D600" t="inlineStr">
        <is>
          <t>DALARNAS LÄN</t>
        </is>
      </c>
      <c r="E600" t="inlineStr">
        <is>
          <t>LEKSAND</t>
        </is>
      </c>
      <c r="G600" t="n">
        <v>2.7</v>
      </c>
      <c r="H600" t="n">
        <v>0</v>
      </c>
      <c r="I600" t="n">
        <v>0</v>
      </c>
      <c r="J600" t="n">
        <v>0</v>
      </c>
      <c r="K600" t="n">
        <v>0</v>
      </c>
      <c r="L600" t="n">
        <v>0</v>
      </c>
      <c r="M600" t="n">
        <v>0</v>
      </c>
      <c r="N600" t="n">
        <v>0</v>
      </c>
      <c r="O600" t="n">
        <v>0</v>
      </c>
      <c r="P600" t="n">
        <v>0</v>
      </c>
      <c r="Q600" t="n">
        <v>0</v>
      </c>
      <c r="R600" s="2" t="inlineStr"/>
    </row>
    <row r="601" ht="15" customHeight="1">
      <c r="A601" t="inlineStr">
        <is>
          <t>A 12581-2025</t>
        </is>
      </c>
      <c r="B601" s="1" t="n">
        <v>45732.62201388889</v>
      </c>
      <c r="C601" s="1" t="n">
        <v>45904</v>
      </c>
      <c r="D601" t="inlineStr">
        <is>
          <t>DALARNAS LÄN</t>
        </is>
      </c>
      <c r="E601" t="inlineStr">
        <is>
          <t>LEKSAND</t>
        </is>
      </c>
      <c r="G601" t="n">
        <v>5.1</v>
      </c>
      <c r="H601" t="n">
        <v>0</v>
      </c>
      <c r="I601" t="n">
        <v>0</v>
      </c>
      <c r="J601" t="n">
        <v>0</v>
      </c>
      <c r="K601" t="n">
        <v>0</v>
      </c>
      <c r="L601" t="n">
        <v>0</v>
      </c>
      <c r="M601" t="n">
        <v>0</v>
      </c>
      <c r="N601" t="n">
        <v>0</v>
      </c>
      <c r="O601" t="n">
        <v>0</v>
      </c>
      <c r="P601" t="n">
        <v>0</v>
      </c>
      <c r="Q601" t="n">
        <v>0</v>
      </c>
      <c r="R601" s="2" t="inlineStr"/>
    </row>
    <row r="602" ht="15" customHeight="1">
      <c r="A602" t="inlineStr">
        <is>
          <t>A 12620-2025</t>
        </is>
      </c>
      <c r="B602" s="1" t="n">
        <v>45733.35498842593</v>
      </c>
      <c r="C602" s="1" t="n">
        <v>45904</v>
      </c>
      <c r="D602" t="inlineStr">
        <is>
          <t>DALARNAS LÄN</t>
        </is>
      </c>
      <c r="E602" t="inlineStr">
        <is>
          <t>LEKSAND</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12623-2025</t>
        </is>
      </c>
      <c r="B603" s="1" t="n">
        <v>45733.36079861111</v>
      </c>
      <c r="C603" s="1" t="n">
        <v>45904</v>
      </c>
      <c r="D603" t="inlineStr">
        <is>
          <t>DALARNAS LÄN</t>
        </is>
      </c>
      <c r="E603" t="inlineStr">
        <is>
          <t>LEKSAND</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27445-2024</t>
        </is>
      </c>
      <c r="B604" s="1" t="n">
        <v>45474.42474537037</v>
      </c>
      <c r="C604" s="1" t="n">
        <v>45904</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5453-2025</t>
        </is>
      </c>
      <c r="B605" s="1" t="n">
        <v>45692.95231481481</v>
      </c>
      <c r="C605" s="1" t="n">
        <v>45904</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3352-2024</t>
        </is>
      </c>
      <c r="B606" s="1" t="n">
        <v>45317</v>
      </c>
      <c r="C606" s="1" t="n">
        <v>45904</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52755-2024</t>
        </is>
      </c>
      <c r="B607" s="1" t="n">
        <v>45610.50217592593</v>
      </c>
      <c r="C607" s="1" t="n">
        <v>45904</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13165-2023</t>
        </is>
      </c>
      <c r="B608" s="1" t="n">
        <v>45002.57731481481</v>
      </c>
      <c r="C608" s="1" t="n">
        <v>45904</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39620-2024</t>
        </is>
      </c>
      <c r="B609" s="1" t="n">
        <v>45552.43163194445</v>
      </c>
      <c r="C609" s="1" t="n">
        <v>45904</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30204-2024</t>
        </is>
      </c>
      <c r="B610" s="1" t="n">
        <v>45490.35402777778</v>
      </c>
      <c r="C610" s="1" t="n">
        <v>45904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6050-2023</t>
        </is>
      </c>
      <c r="B611" s="1" t="n">
        <v>44959</v>
      </c>
      <c r="C611" s="1" t="n">
        <v>45904</v>
      </c>
      <c r="D611" t="inlineStr">
        <is>
          <t>DALARNAS LÄN</t>
        </is>
      </c>
      <c r="E611" t="inlineStr">
        <is>
          <t>LEKSAND</t>
        </is>
      </c>
      <c r="G611" t="n">
        <v>6.2</v>
      </c>
      <c r="H611" t="n">
        <v>0</v>
      </c>
      <c r="I611" t="n">
        <v>0</v>
      </c>
      <c r="J611" t="n">
        <v>0</v>
      </c>
      <c r="K611" t="n">
        <v>0</v>
      </c>
      <c r="L611" t="n">
        <v>0</v>
      </c>
      <c r="M611" t="n">
        <v>0</v>
      </c>
      <c r="N611" t="n">
        <v>0</v>
      </c>
      <c r="O611" t="n">
        <v>0</v>
      </c>
      <c r="P611" t="n">
        <v>0</v>
      </c>
      <c r="Q611" t="n">
        <v>0</v>
      </c>
      <c r="R611" s="2" t="inlineStr"/>
    </row>
    <row r="612" ht="15" customHeight="1">
      <c r="A612" t="inlineStr">
        <is>
          <t>A 17730-2024</t>
        </is>
      </c>
      <c r="B612" s="1" t="n">
        <v>45418</v>
      </c>
      <c r="C612" s="1" t="n">
        <v>45904</v>
      </c>
      <c r="D612" t="inlineStr">
        <is>
          <t>DALARNAS LÄN</t>
        </is>
      </c>
      <c r="E612" t="inlineStr">
        <is>
          <t>LEKSAND</t>
        </is>
      </c>
      <c r="G612" t="n">
        <v>2.4</v>
      </c>
      <c r="H612" t="n">
        <v>0</v>
      </c>
      <c r="I612" t="n">
        <v>0</v>
      </c>
      <c r="J612" t="n">
        <v>0</v>
      </c>
      <c r="K612" t="n">
        <v>0</v>
      </c>
      <c r="L612" t="n">
        <v>0</v>
      </c>
      <c r="M612" t="n">
        <v>0</v>
      </c>
      <c r="N612" t="n">
        <v>0</v>
      </c>
      <c r="O612" t="n">
        <v>0</v>
      </c>
      <c r="P612" t="n">
        <v>0</v>
      </c>
      <c r="Q612" t="n">
        <v>0</v>
      </c>
      <c r="R612" s="2" t="inlineStr"/>
    </row>
    <row r="613" ht="15" customHeight="1">
      <c r="A613" t="inlineStr">
        <is>
          <t>A 53799-2023</t>
        </is>
      </c>
      <c r="B613" s="1" t="n">
        <v>45231.35564814815</v>
      </c>
      <c r="C613" s="1" t="n">
        <v>45904</v>
      </c>
      <c r="D613" t="inlineStr">
        <is>
          <t>DALARNAS LÄN</t>
        </is>
      </c>
      <c r="E613" t="inlineStr">
        <is>
          <t>LEKSAND</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62130-2024</t>
        </is>
      </c>
      <c r="B614" s="1" t="n">
        <v>45656.61827546296</v>
      </c>
      <c r="C614" s="1" t="n">
        <v>45904</v>
      </c>
      <c r="D614" t="inlineStr">
        <is>
          <t>DALARNAS LÄN</t>
        </is>
      </c>
      <c r="E614" t="inlineStr">
        <is>
          <t>LEKSAND</t>
        </is>
      </c>
      <c r="G614" t="n">
        <v>11.4</v>
      </c>
      <c r="H614" t="n">
        <v>0</v>
      </c>
      <c r="I614" t="n">
        <v>0</v>
      </c>
      <c r="J614" t="n">
        <v>0</v>
      </c>
      <c r="K614" t="n">
        <v>0</v>
      </c>
      <c r="L614" t="n">
        <v>0</v>
      </c>
      <c r="M614" t="n">
        <v>0</v>
      </c>
      <c r="N614" t="n">
        <v>0</v>
      </c>
      <c r="O614" t="n">
        <v>0</v>
      </c>
      <c r="P614" t="n">
        <v>0</v>
      </c>
      <c r="Q614" t="n">
        <v>0</v>
      </c>
      <c r="R614" s="2" t="inlineStr"/>
    </row>
    <row r="615" ht="15" customHeight="1">
      <c r="A615" t="inlineStr">
        <is>
          <t>A 20946-2023</t>
        </is>
      </c>
      <c r="B615" s="1" t="n">
        <v>45061</v>
      </c>
      <c r="C615" s="1" t="n">
        <v>45904</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16748-2025</t>
        </is>
      </c>
      <c r="B616" s="1" t="n">
        <v>45754</v>
      </c>
      <c r="C616" s="1" t="n">
        <v>45904</v>
      </c>
      <c r="D616" t="inlineStr">
        <is>
          <t>DALARNAS LÄN</t>
        </is>
      </c>
      <c r="E616" t="inlineStr">
        <is>
          <t>LEKSAND</t>
        </is>
      </c>
      <c r="F616" t="inlineStr">
        <is>
          <t>Bergvik skog väst AB</t>
        </is>
      </c>
      <c r="G616" t="n">
        <v>2.9</v>
      </c>
      <c r="H616" t="n">
        <v>0</v>
      </c>
      <c r="I616" t="n">
        <v>0</v>
      </c>
      <c r="J616" t="n">
        <v>0</v>
      </c>
      <c r="K616" t="n">
        <v>0</v>
      </c>
      <c r="L616" t="n">
        <v>0</v>
      </c>
      <c r="M616" t="n">
        <v>0</v>
      </c>
      <c r="N616" t="n">
        <v>0</v>
      </c>
      <c r="O616" t="n">
        <v>0</v>
      </c>
      <c r="P616" t="n">
        <v>0</v>
      </c>
      <c r="Q616" t="n">
        <v>0</v>
      </c>
      <c r="R616" s="2" t="inlineStr"/>
    </row>
    <row r="617" ht="15" customHeight="1">
      <c r="A617" t="inlineStr">
        <is>
          <t>A 63513-2023</t>
        </is>
      </c>
      <c r="B617" s="1" t="n">
        <v>45274</v>
      </c>
      <c r="C617" s="1" t="n">
        <v>45904</v>
      </c>
      <c r="D617" t="inlineStr">
        <is>
          <t>DALARNAS LÄN</t>
        </is>
      </c>
      <c r="E617" t="inlineStr">
        <is>
          <t>LEKSAND</t>
        </is>
      </c>
      <c r="G617" t="n">
        <v>2.3</v>
      </c>
      <c r="H617" t="n">
        <v>0</v>
      </c>
      <c r="I617" t="n">
        <v>0</v>
      </c>
      <c r="J617" t="n">
        <v>0</v>
      </c>
      <c r="K617" t="n">
        <v>0</v>
      </c>
      <c r="L617" t="n">
        <v>0</v>
      </c>
      <c r="M617" t="n">
        <v>0</v>
      </c>
      <c r="N617" t="n">
        <v>0</v>
      </c>
      <c r="O617" t="n">
        <v>0</v>
      </c>
      <c r="P617" t="n">
        <v>0</v>
      </c>
      <c r="Q617" t="n">
        <v>0</v>
      </c>
      <c r="R617" s="2" t="inlineStr"/>
    </row>
    <row r="618" ht="15" customHeight="1">
      <c r="A618" t="inlineStr">
        <is>
          <t>A 34039-2024</t>
        </is>
      </c>
      <c r="B618" s="1" t="n">
        <v>45523.5974537037</v>
      </c>
      <c r="C618" s="1" t="n">
        <v>45904</v>
      </c>
      <c r="D618" t="inlineStr">
        <is>
          <t>DALARNAS LÄN</t>
        </is>
      </c>
      <c r="E618" t="inlineStr">
        <is>
          <t>LEKSAND</t>
        </is>
      </c>
      <c r="G618" t="n">
        <v>7.1</v>
      </c>
      <c r="H618" t="n">
        <v>0</v>
      </c>
      <c r="I618" t="n">
        <v>0</v>
      </c>
      <c r="J618" t="n">
        <v>0</v>
      </c>
      <c r="K618" t="n">
        <v>0</v>
      </c>
      <c r="L618" t="n">
        <v>0</v>
      </c>
      <c r="M618" t="n">
        <v>0</v>
      </c>
      <c r="N618" t="n">
        <v>0</v>
      </c>
      <c r="O618" t="n">
        <v>0</v>
      </c>
      <c r="P618" t="n">
        <v>0</v>
      </c>
      <c r="Q618" t="n">
        <v>0</v>
      </c>
      <c r="R618" s="2" t="inlineStr"/>
    </row>
    <row r="619" ht="15" customHeight="1">
      <c r="A619" t="inlineStr">
        <is>
          <t>A 7759-2025</t>
        </is>
      </c>
      <c r="B619" s="1" t="n">
        <v>45706.53827546296</v>
      </c>
      <c r="C619" s="1" t="n">
        <v>45904</v>
      </c>
      <c r="D619" t="inlineStr">
        <is>
          <t>DALARNAS LÄN</t>
        </is>
      </c>
      <c r="E619" t="inlineStr">
        <is>
          <t>LEKSAND</t>
        </is>
      </c>
      <c r="G619" t="n">
        <v>3.3</v>
      </c>
      <c r="H619" t="n">
        <v>0</v>
      </c>
      <c r="I619" t="n">
        <v>0</v>
      </c>
      <c r="J619" t="n">
        <v>0</v>
      </c>
      <c r="K619" t="n">
        <v>0</v>
      </c>
      <c r="L619" t="n">
        <v>0</v>
      </c>
      <c r="M619" t="n">
        <v>0</v>
      </c>
      <c r="N619" t="n">
        <v>0</v>
      </c>
      <c r="O619" t="n">
        <v>0</v>
      </c>
      <c r="P619" t="n">
        <v>0</v>
      </c>
      <c r="Q619" t="n">
        <v>0</v>
      </c>
      <c r="R619" s="2" t="inlineStr"/>
    </row>
    <row r="620" ht="15" customHeight="1">
      <c r="A620" t="inlineStr">
        <is>
          <t>A 12356-2023</t>
        </is>
      </c>
      <c r="B620" s="1" t="n">
        <v>44998</v>
      </c>
      <c r="C620" s="1" t="n">
        <v>45904</v>
      </c>
      <c r="D620" t="inlineStr">
        <is>
          <t>DALARNAS LÄN</t>
        </is>
      </c>
      <c r="E620" t="inlineStr">
        <is>
          <t>LEKSAND</t>
        </is>
      </c>
      <c r="G620" t="n">
        <v>1.6</v>
      </c>
      <c r="H620" t="n">
        <v>0</v>
      </c>
      <c r="I620" t="n">
        <v>0</v>
      </c>
      <c r="J620" t="n">
        <v>0</v>
      </c>
      <c r="K620" t="n">
        <v>0</v>
      </c>
      <c r="L620" t="n">
        <v>0</v>
      </c>
      <c r="M620" t="n">
        <v>0</v>
      </c>
      <c r="N620" t="n">
        <v>0</v>
      </c>
      <c r="O620" t="n">
        <v>0</v>
      </c>
      <c r="P620" t="n">
        <v>0</v>
      </c>
      <c r="Q620" t="n">
        <v>0</v>
      </c>
      <c r="R620" s="2" t="inlineStr"/>
    </row>
    <row r="621" ht="15" customHeight="1">
      <c r="A621" t="inlineStr">
        <is>
          <t>A 12363-2023</t>
        </is>
      </c>
      <c r="B621" s="1" t="n">
        <v>44998</v>
      </c>
      <c r="C621" s="1" t="n">
        <v>45904</v>
      </c>
      <c r="D621" t="inlineStr">
        <is>
          <t>DALARNAS LÄN</t>
        </is>
      </c>
      <c r="E621" t="inlineStr">
        <is>
          <t>LEKSAND</t>
        </is>
      </c>
      <c r="G621" t="n">
        <v>10</v>
      </c>
      <c r="H621" t="n">
        <v>0</v>
      </c>
      <c r="I621" t="n">
        <v>0</v>
      </c>
      <c r="J621" t="n">
        <v>0</v>
      </c>
      <c r="K621" t="n">
        <v>0</v>
      </c>
      <c r="L621" t="n">
        <v>0</v>
      </c>
      <c r="M621" t="n">
        <v>0</v>
      </c>
      <c r="N621" t="n">
        <v>0</v>
      </c>
      <c r="O621" t="n">
        <v>0</v>
      </c>
      <c r="P621" t="n">
        <v>0</v>
      </c>
      <c r="Q621" t="n">
        <v>0</v>
      </c>
      <c r="R621" s="2" t="inlineStr"/>
    </row>
    <row r="622" ht="15" customHeight="1">
      <c r="A622" t="inlineStr">
        <is>
          <t>A 19590-2023</t>
        </is>
      </c>
      <c r="B622" s="1" t="n">
        <v>45049</v>
      </c>
      <c r="C622" s="1" t="n">
        <v>45904</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55015-2024</t>
        </is>
      </c>
      <c r="B623" s="1" t="n">
        <v>45621.35554398148</v>
      </c>
      <c r="C623" s="1" t="n">
        <v>45904</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28674-2024</t>
        </is>
      </c>
      <c r="B624" s="1" t="n">
        <v>45478.47863425926</v>
      </c>
      <c r="C624" s="1" t="n">
        <v>45904</v>
      </c>
      <c r="D624" t="inlineStr">
        <is>
          <t>DALARNAS LÄN</t>
        </is>
      </c>
      <c r="E624" t="inlineStr">
        <is>
          <t>LEKSAND</t>
        </is>
      </c>
      <c r="G624" t="n">
        <v>4.9</v>
      </c>
      <c r="H624" t="n">
        <v>0</v>
      </c>
      <c r="I624" t="n">
        <v>0</v>
      </c>
      <c r="J624" t="n">
        <v>0</v>
      </c>
      <c r="K624" t="n">
        <v>0</v>
      </c>
      <c r="L624" t="n">
        <v>0</v>
      </c>
      <c r="M624" t="n">
        <v>0</v>
      </c>
      <c r="N624" t="n">
        <v>0</v>
      </c>
      <c r="O624" t="n">
        <v>0</v>
      </c>
      <c r="P624" t="n">
        <v>0</v>
      </c>
      <c r="Q624" t="n">
        <v>0</v>
      </c>
      <c r="R624" s="2" t="inlineStr"/>
    </row>
    <row r="625" ht="15" customHeight="1">
      <c r="A625" t="inlineStr">
        <is>
          <t>A 30000-2023</t>
        </is>
      </c>
      <c r="B625" s="1" t="n">
        <v>45109.71128472222</v>
      </c>
      <c r="C625" s="1" t="n">
        <v>45904</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61933-2023</t>
        </is>
      </c>
      <c r="B626" s="1" t="n">
        <v>45266</v>
      </c>
      <c r="C626" s="1" t="n">
        <v>45904</v>
      </c>
      <c r="D626" t="inlineStr">
        <is>
          <t>DALARNAS LÄN</t>
        </is>
      </c>
      <c r="E626" t="inlineStr">
        <is>
          <t>LEKSAND</t>
        </is>
      </c>
      <c r="G626" t="n">
        <v>0.2</v>
      </c>
      <c r="H626" t="n">
        <v>0</v>
      </c>
      <c r="I626" t="n">
        <v>0</v>
      </c>
      <c r="J626" t="n">
        <v>0</v>
      </c>
      <c r="K626" t="n">
        <v>0</v>
      </c>
      <c r="L626" t="n">
        <v>0</v>
      </c>
      <c r="M626" t="n">
        <v>0</v>
      </c>
      <c r="N626" t="n">
        <v>0</v>
      </c>
      <c r="O626" t="n">
        <v>0</v>
      </c>
      <c r="P626" t="n">
        <v>0</v>
      </c>
      <c r="Q626" t="n">
        <v>0</v>
      </c>
      <c r="R626" s="2" t="inlineStr"/>
    </row>
    <row r="627" ht="15" customHeight="1">
      <c r="A627" t="inlineStr">
        <is>
          <t>A 41015-2024</t>
        </is>
      </c>
      <c r="B627" s="1" t="n">
        <v>45559.32537037037</v>
      </c>
      <c r="C627" s="1" t="n">
        <v>45904</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16231-2021</t>
        </is>
      </c>
      <c r="B628" s="1" t="n">
        <v>44292</v>
      </c>
      <c r="C628" s="1" t="n">
        <v>45904</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18107-2025</t>
        </is>
      </c>
      <c r="B629" s="1" t="n">
        <v>45761.55939814815</v>
      </c>
      <c r="C629" s="1" t="n">
        <v>45904</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49395-2024</t>
        </is>
      </c>
      <c r="B630" s="1" t="n">
        <v>45595</v>
      </c>
      <c r="C630" s="1" t="n">
        <v>45904</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56283-2024</t>
        </is>
      </c>
      <c r="B631" s="1" t="n">
        <v>45624.67864583333</v>
      </c>
      <c r="C631" s="1" t="n">
        <v>45904</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53122-2023</t>
        </is>
      </c>
      <c r="B632" s="1" t="n">
        <v>45228</v>
      </c>
      <c r="C632" s="1" t="n">
        <v>45904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481-2024</t>
        </is>
      </c>
      <c r="B633" s="1" t="n">
        <v>45298</v>
      </c>
      <c r="C633" s="1" t="n">
        <v>45904</v>
      </c>
      <c r="D633" t="inlineStr">
        <is>
          <t>DALARNAS LÄN</t>
        </is>
      </c>
      <c r="E633" t="inlineStr">
        <is>
          <t>LEKSAND</t>
        </is>
      </c>
      <c r="G633" t="n">
        <v>7</v>
      </c>
      <c r="H633" t="n">
        <v>0</v>
      </c>
      <c r="I633" t="n">
        <v>0</v>
      </c>
      <c r="J633" t="n">
        <v>0</v>
      </c>
      <c r="K633" t="n">
        <v>0</v>
      </c>
      <c r="L633" t="n">
        <v>0</v>
      </c>
      <c r="M633" t="n">
        <v>0</v>
      </c>
      <c r="N633" t="n">
        <v>0</v>
      </c>
      <c r="O633" t="n">
        <v>0</v>
      </c>
      <c r="P633" t="n">
        <v>0</v>
      </c>
      <c r="Q633" t="n">
        <v>0</v>
      </c>
      <c r="R633" s="2" t="inlineStr"/>
    </row>
    <row r="634" ht="15" customHeight="1">
      <c r="A634" t="inlineStr">
        <is>
          <t>A 6778-2025</t>
        </is>
      </c>
      <c r="B634" s="1" t="n">
        <v>45700.64615740741</v>
      </c>
      <c r="C634" s="1" t="n">
        <v>45904</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50278-2023</t>
        </is>
      </c>
      <c r="B635" s="1" t="n">
        <v>45216.43444444444</v>
      </c>
      <c r="C635" s="1" t="n">
        <v>45904</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13401-2023</t>
        </is>
      </c>
      <c r="B636" s="1" t="n">
        <v>45005</v>
      </c>
      <c r="C636" s="1" t="n">
        <v>45904</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11092-2023</t>
        </is>
      </c>
      <c r="B637" s="1" t="n">
        <v>44992</v>
      </c>
      <c r="C637" s="1" t="n">
        <v>45904</v>
      </c>
      <c r="D637" t="inlineStr">
        <is>
          <t>DALARNAS LÄN</t>
        </is>
      </c>
      <c r="E637" t="inlineStr">
        <is>
          <t>LEKSAND</t>
        </is>
      </c>
      <c r="G637" t="n">
        <v>0.5</v>
      </c>
      <c r="H637" t="n">
        <v>0</v>
      </c>
      <c r="I637" t="n">
        <v>0</v>
      </c>
      <c r="J637" t="n">
        <v>0</v>
      </c>
      <c r="K637" t="n">
        <v>0</v>
      </c>
      <c r="L637" t="n">
        <v>0</v>
      </c>
      <c r="M637" t="n">
        <v>0</v>
      </c>
      <c r="N637" t="n">
        <v>0</v>
      </c>
      <c r="O637" t="n">
        <v>0</v>
      </c>
      <c r="P637" t="n">
        <v>0</v>
      </c>
      <c r="Q637" t="n">
        <v>0</v>
      </c>
      <c r="R637" s="2" t="inlineStr"/>
    </row>
    <row r="638" ht="15" customHeight="1">
      <c r="A638" t="inlineStr">
        <is>
          <t>A 28578-2023</t>
        </is>
      </c>
      <c r="B638" s="1" t="n">
        <v>45103</v>
      </c>
      <c r="C638" s="1" t="n">
        <v>45904</v>
      </c>
      <c r="D638" t="inlineStr">
        <is>
          <t>DALARNAS LÄN</t>
        </is>
      </c>
      <c r="E638" t="inlineStr">
        <is>
          <t>LEKSAND</t>
        </is>
      </c>
      <c r="G638" t="n">
        <v>4.4</v>
      </c>
      <c r="H638" t="n">
        <v>0</v>
      </c>
      <c r="I638" t="n">
        <v>0</v>
      </c>
      <c r="J638" t="n">
        <v>0</v>
      </c>
      <c r="K638" t="n">
        <v>0</v>
      </c>
      <c r="L638" t="n">
        <v>0</v>
      </c>
      <c r="M638" t="n">
        <v>0</v>
      </c>
      <c r="N638" t="n">
        <v>0</v>
      </c>
      <c r="O638" t="n">
        <v>0</v>
      </c>
      <c r="P638" t="n">
        <v>0</v>
      </c>
      <c r="Q638" t="n">
        <v>0</v>
      </c>
      <c r="R638" s="2" t="inlineStr"/>
    </row>
    <row r="639" ht="15" customHeight="1">
      <c r="A639" t="inlineStr">
        <is>
          <t>A 51677-2024</t>
        </is>
      </c>
      <c r="B639" s="1" t="n">
        <v>45607.30265046296</v>
      </c>
      <c r="C639" s="1" t="n">
        <v>45904</v>
      </c>
      <c r="D639" t="inlineStr">
        <is>
          <t>DALARNAS LÄN</t>
        </is>
      </c>
      <c r="E639" t="inlineStr">
        <is>
          <t>LEKSAND</t>
        </is>
      </c>
      <c r="G639" t="n">
        <v>3.4</v>
      </c>
      <c r="H639" t="n">
        <v>0</v>
      </c>
      <c r="I639" t="n">
        <v>0</v>
      </c>
      <c r="J639" t="n">
        <v>0</v>
      </c>
      <c r="K639" t="n">
        <v>0</v>
      </c>
      <c r="L639" t="n">
        <v>0</v>
      </c>
      <c r="M639" t="n">
        <v>0</v>
      </c>
      <c r="N639" t="n">
        <v>0</v>
      </c>
      <c r="O639" t="n">
        <v>0</v>
      </c>
      <c r="P639" t="n">
        <v>0</v>
      </c>
      <c r="Q639" t="n">
        <v>0</v>
      </c>
      <c r="R639" s="2" t="inlineStr"/>
    </row>
    <row r="640" ht="15" customHeight="1">
      <c r="A640" t="inlineStr">
        <is>
          <t>A 164-2023</t>
        </is>
      </c>
      <c r="B640" s="1" t="n">
        <v>44918</v>
      </c>
      <c r="C640" s="1" t="n">
        <v>45904</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19371-2024</t>
        </is>
      </c>
      <c r="B641" s="1" t="n">
        <v>45429.34969907408</v>
      </c>
      <c r="C641" s="1" t="n">
        <v>45904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54911-2024</t>
        </is>
      </c>
      <c r="B642" s="1" t="n">
        <v>45618.68929398148</v>
      </c>
      <c r="C642" s="1" t="n">
        <v>45904</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40193-2024</t>
        </is>
      </c>
      <c r="B643" s="1" t="n">
        <v>45554.5734375</v>
      </c>
      <c r="C643" s="1" t="n">
        <v>45904</v>
      </c>
      <c r="D643" t="inlineStr">
        <is>
          <t>DALARNAS LÄN</t>
        </is>
      </c>
      <c r="E643" t="inlineStr">
        <is>
          <t>LEKSAND</t>
        </is>
      </c>
      <c r="F643" t="inlineStr">
        <is>
          <t>Övriga statliga verk och myndigheter</t>
        </is>
      </c>
      <c r="G643" t="n">
        <v>1</v>
      </c>
      <c r="H643" t="n">
        <v>0</v>
      </c>
      <c r="I643" t="n">
        <v>0</v>
      </c>
      <c r="J643" t="n">
        <v>0</v>
      </c>
      <c r="K643" t="n">
        <v>0</v>
      </c>
      <c r="L643" t="n">
        <v>0</v>
      </c>
      <c r="M643" t="n">
        <v>0</v>
      </c>
      <c r="N643" t="n">
        <v>0</v>
      </c>
      <c r="O643" t="n">
        <v>0</v>
      </c>
      <c r="P643" t="n">
        <v>0</v>
      </c>
      <c r="Q643" t="n">
        <v>0</v>
      </c>
      <c r="R643" s="2" t="inlineStr"/>
    </row>
    <row r="644" ht="15" customHeight="1">
      <c r="A644" t="inlineStr">
        <is>
          <t>A 23323-2023</t>
        </is>
      </c>
      <c r="B644" s="1" t="n">
        <v>45076</v>
      </c>
      <c r="C644" s="1" t="n">
        <v>45904</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45167.38664351852</v>
      </c>
      <c r="C645" s="1" t="n">
        <v>45904</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17485-2025</t>
        </is>
      </c>
      <c r="B646" s="1" t="n">
        <v>45757.49976851852</v>
      </c>
      <c r="C646" s="1" t="n">
        <v>45904</v>
      </c>
      <c r="D646" t="inlineStr">
        <is>
          <t>DALARNAS LÄN</t>
        </is>
      </c>
      <c r="E646" t="inlineStr">
        <is>
          <t>LEKSAND</t>
        </is>
      </c>
      <c r="G646" t="n">
        <v>3.7</v>
      </c>
      <c r="H646" t="n">
        <v>0</v>
      </c>
      <c r="I646" t="n">
        <v>0</v>
      </c>
      <c r="J646" t="n">
        <v>0</v>
      </c>
      <c r="K646" t="n">
        <v>0</v>
      </c>
      <c r="L646" t="n">
        <v>0</v>
      </c>
      <c r="M646" t="n">
        <v>0</v>
      </c>
      <c r="N646" t="n">
        <v>0</v>
      </c>
      <c r="O646" t="n">
        <v>0</v>
      </c>
      <c r="P646" t="n">
        <v>0</v>
      </c>
      <c r="Q646" t="n">
        <v>0</v>
      </c>
      <c r="R646" s="2" t="inlineStr"/>
    </row>
    <row r="647" ht="15" customHeight="1">
      <c r="A647" t="inlineStr">
        <is>
          <t>A 18176-2024</t>
        </is>
      </c>
      <c r="B647" s="1" t="n">
        <v>45420.63901620371</v>
      </c>
      <c r="C647" s="1" t="n">
        <v>45904</v>
      </c>
      <c r="D647" t="inlineStr">
        <is>
          <t>DALARNAS LÄN</t>
        </is>
      </c>
      <c r="E647" t="inlineStr">
        <is>
          <t>LEKSAND</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9138-2023</t>
        </is>
      </c>
      <c r="B648" s="1" t="n">
        <v>44974</v>
      </c>
      <c r="C648" s="1" t="n">
        <v>45904</v>
      </c>
      <c r="D648" t="inlineStr">
        <is>
          <t>DALARNAS LÄN</t>
        </is>
      </c>
      <c r="E648" t="inlineStr">
        <is>
          <t>LEKSAND</t>
        </is>
      </c>
      <c r="G648" t="n">
        <v>4.6</v>
      </c>
      <c r="H648" t="n">
        <v>0</v>
      </c>
      <c r="I648" t="n">
        <v>0</v>
      </c>
      <c r="J648" t="n">
        <v>0</v>
      </c>
      <c r="K648" t="n">
        <v>0</v>
      </c>
      <c r="L648" t="n">
        <v>0</v>
      </c>
      <c r="M648" t="n">
        <v>0</v>
      </c>
      <c r="N648" t="n">
        <v>0</v>
      </c>
      <c r="O648" t="n">
        <v>0</v>
      </c>
      <c r="P648" t="n">
        <v>0</v>
      </c>
      <c r="Q648" t="n">
        <v>0</v>
      </c>
      <c r="R648" s="2" t="inlineStr"/>
    </row>
    <row r="649" ht="15" customHeight="1">
      <c r="A649" t="inlineStr">
        <is>
          <t>A 9141-2023</t>
        </is>
      </c>
      <c r="B649" s="1" t="n">
        <v>44974</v>
      </c>
      <c r="C649" s="1" t="n">
        <v>45904</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2630-2025</t>
        </is>
      </c>
      <c r="B650" s="1" t="n">
        <v>45675.85865740741</v>
      </c>
      <c r="C650" s="1" t="n">
        <v>45904</v>
      </c>
      <c r="D650" t="inlineStr">
        <is>
          <t>DALARNAS LÄN</t>
        </is>
      </c>
      <c r="E650" t="inlineStr">
        <is>
          <t>LEKSAND</t>
        </is>
      </c>
      <c r="G650" t="n">
        <v>1.6</v>
      </c>
      <c r="H650" t="n">
        <v>0</v>
      </c>
      <c r="I650" t="n">
        <v>0</v>
      </c>
      <c r="J650" t="n">
        <v>0</v>
      </c>
      <c r="K650" t="n">
        <v>0</v>
      </c>
      <c r="L650" t="n">
        <v>0</v>
      </c>
      <c r="M650" t="n">
        <v>0</v>
      </c>
      <c r="N650" t="n">
        <v>0</v>
      </c>
      <c r="O650" t="n">
        <v>0</v>
      </c>
      <c r="P650" t="n">
        <v>0</v>
      </c>
      <c r="Q650" t="n">
        <v>0</v>
      </c>
      <c r="R650" s="2" t="inlineStr"/>
    </row>
    <row r="651" ht="15" customHeight="1">
      <c r="A651" t="inlineStr">
        <is>
          <t>A 15986-2025</t>
        </is>
      </c>
      <c r="B651" s="1" t="n">
        <v>45749.57331018519</v>
      </c>
      <c r="C651" s="1" t="n">
        <v>45904</v>
      </c>
      <c r="D651" t="inlineStr">
        <is>
          <t>DALARNAS LÄN</t>
        </is>
      </c>
      <c r="E651" t="inlineStr">
        <is>
          <t>LEKSAND</t>
        </is>
      </c>
      <c r="G651" t="n">
        <v>2.7</v>
      </c>
      <c r="H651" t="n">
        <v>0</v>
      </c>
      <c r="I651" t="n">
        <v>0</v>
      </c>
      <c r="J651" t="n">
        <v>0</v>
      </c>
      <c r="K651" t="n">
        <v>0</v>
      </c>
      <c r="L651" t="n">
        <v>0</v>
      </c>
      <c r="M651" t="n">
        <v>0</v>
      </c>
      <c r="N651" t="n">
        <v>0</v>
      </c>
      <c r="O651" t="n">
        <v>0</v>
      </c>
      <c r="P651" t="n">
        <v>0</v>
      </c>
      <c r="Q651" t="n">
        <v>0</v>
      </c>
      <c r="R651" s="2" t="inlineStr"/>
    </row>
    <row r="652" ht="15" customHeight="1">
      <c r="A652" t="inlineStr">
        <is>
          <t>A 33072-2021</t>
        </is>
      </c>
      <c r="B652" s="1" t="n">
        <v>44375</v>
      </c>
      <c r="C652" s="1" t="n">
        <v>45904</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412-2024</t>
        </is>
      </c>
      <c r="B653" s="1" t="n">
        <v>45296</v>
      </c>
      <c r="C653" s="1" t="n">
        <v>45904</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11678-2025</t>
        </is>
      </c>
      <c r="B654" s="1" t="n">
        <v>45726</v>
      </c>
      <c r="C654" s="1" t="n">
        <v>45904</v>
      </c>
      <c r="D654" t="inlineStr">
        <is>
          <t>DALARNAS LÄN</t>
        </is>
      </c>
      <c r="E654" t="inlineStr">
        <is>
          <t>LEKSAND</t>
        </is>
      </c>
      <c r="G654" t="n">
        <v>9.4</v>
      </c>
      <c r="H654" t="n">
        <v>0</v>
      </c>
      <c r="I654" t="n">
        <v>0</v>
      </c>
      <c r="J654" t="n">
        <v>0</v>
      </c>
      <c r="K654" t="n">
        <v>0</v>
      </c>
      <c r="L654" t="n">
        <v>0</v>
      </c>
      <c r="M654" t="n">
        <v>0</v>
      </c>
      <c r="N654" t="n">
        <v>0</v>
      </c>
      <c r="O654" t="n">
        <v>0</v>
      </c>
      <c r="P654" t="n">
        <v>0</v>
      </c>
      <c r="Q654" t="n">
        <v>0</v>
      </c>
      <c r="R654" s="2" t="inlineStr"/>
    </row>
    <row r="655" ht="15" customHeight="1">
      <c r="A655" t="inlineStr">
        <is>
          <t>A 56330-2022</t>
        </is>
      </c>
      <c r="B655" s="1" t="n">
        <v>44890.62630787037</v>
      </c>
      <c r="C655" s="1" t="n">
        <v>45904</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62161-2024</t>
        </is>
      </c>
      <c r="B656" s="1" t="n">
        <v>45656.86009259259</v>
      </c>
      <c r="C656" s="1" t="n">
        <v>45904</v>
      </c>
      <c r="D656" t="inlineStr">
        <is>
          <t>DALARNAS LÄN</t>
        </is>
      </c>
      <c r="E656" t="inlineStr">
        <is>
          <t>LEKSAND</t>
        </is>
      </c>
      <c r="G656" t="n">
        <v>2</v>
      </c>
      <c r="H656" t="n">
        <v>0</v>
      </c>
      <c r="I656" t="n">
        <v>0</v>
      </c>
      <c r="J656" t="n">
        <v>0</v>
      </c>
      <c r="K656" t="n">
        <v>0</v>
      </c>
      <c r="L656" t="n">
        <v>0</v>
      </c>
      <c r="M656" t="n">
        <v>0</v>
      </c>
      <c r="N656" t="n">
        <v>0</v>
      </c>
      <c r="O656" t="n">
        <v>0</v>
      </c>
      <c r="P656" t="n">
        <v>0</v>
      </c>
      <c r="Q656" t="n">
        <v>0</v>
      </c>
      <c r="R656" s="2" t="inlineStr"/>
    </row>
    <row r="657" ht="15" customHeight="1">
      <c r="A657" t="inlineStr">
        <is>
          <t>A 1983-2025</t>
        </is>
      </c>
      <c r="B657" s="1" t="n">
        <v>45670</v>
      </c>
      <c r="C657" s="1" t="n">
        <v>45904</v>
      </c>
      <c r="D657" t="inlineStr">
        <is>
          <t>DALARNAS LÄN</t>
        </is>
      </c>
      <c r="E657" t="inlineStr">
        <is>
          <t>LEKSAND</t>
        </is>
      </c>
      <c r="G657" t="n">
        <v>1.5</v>
      </c>
      <c r="H657" t="n">
        <v>0</v>
      </c>
      <c r="I657" t="n">
        <v>0</v>
      </c>
      <c r="J657" t="n">
        <v>0</v>
      </c>
      <c r="K657" t="n">
        <v>0</v>
      </c>
      <c r="L657" t="n">
        <v>0</v>
      </c>
      <c r="M657" t="n">
        <v>0</v>
      </c>
      <c r="N657" t="n">
        <v>0</v>
      </c>
      <c r="O657" t="n">
        <v>0</v>
      </c>
      <c r="P657" t="n">
        <v>0</v>
      </c>
      <c r="Q657" t="n">
        <v>0</v>
      </c>
      <c r="R657" s="2" t="inlineStr"/>
    </row>
    <row r="658" ht="15" customHeight="1">
      <c r="A658" t="inlineStr">
        <is>
          <t>A 59840-2024</t>
        </is>
      </c>
      <c r="B658" s="1" t="n">
        <v>45638</v>
      </c>
      <c r="C658" s="1" t="n">
        <v>45904</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59673-2023</t>
        </is>
      </c>
      <c r="B659" s="1" t="n">
        <v>45255.44603009259</v>
      </c>
      <c r="C659" s="1" t="n">
        <v>45904</v>
      </c>
      <c r="D659" t="inlineStr">
        <is>
          <t>DALARNAS LÄN</t>
        </is>
      </c>
      <c r="E659" t="inlineStr">
        <is>
          <t>LEKSAND</t>
        </is>
      </c>
      <c r="G659" t="n">
        <v>12.2</v>
      </c>
      <c r="H659" t="n">
        <v>0</v>
      </c>
      <c r="I659" t="n">
        <v>0</v>
      </c>
      <c r="J659" t="n">
        <v>0</v>
      </c>
      <c r="K659" t="n">
        <v>0</v>
      </c>
      <c r="L659" t="n">
        <v>0</v>
      </c>
      <c r="M659" t="n">
        <v>0</v>
      </c>
      <c r="N659" t="n">
        <v>0</v>
      </c>
      <c r="O659" t="n">
        <v>0</v>
      </c>
      <c r="P659" t="n">
        <v>0</v>
      </c>
      <c r="Q659" t="n">
        <v>0</v>
      </c>
      <c r="R659" s="2" t="inlineStr"/>
    </row>
    <row r="660" ht="15" customHeight="1">
      <c r="A660" t="inlineStr">
        <is>
          <t>A 17726-2024</t>
        </is>
      </c>
      <c r="B660" s="1" t="n">
        <v>45418.55609953704</v>
      </c>
      <c r="C660" s="1" t="n">
        <v>45904</v>
      </c>
      <c r="D660" t="inlineStr">
        <is>
          <t>DALARNAS LÄN</t>
        </is>
      </c>
      <c r="E660" t="inlineStr">
        <is>
          <t>LEKSAND</t>
        </is>
      </c>
      <c r="G660" t="n">
        <v>5.2</v>
      </c>
      <c r="H660" t="n">
        <v>0</v>
      </c>
      <c r="I660" t="n">
        <v>0</v>
      </c>
      <c r="J660" t="n">
        <v>0</v>
      </c>
      <c r="K660" t="n">
        <v>0</v>
      </c>
      <c r="L660" t="n">
        <v>0</v>
      </c>
      <c r="M660" t="n">
        <v>0</v>
      </c>
      <c r="N660" t="n">
        <v>0</v>
      </c>
      <c r="O660" t="n">
        <v>0</v>
      </c>
      <c r="P660" t="n">
        <v>0</v>
      </c>
      <c r="Q660" t="n">
        <v>0</v>
      </c>
      <c r="R660" s="2" t="inlineStr"/>
    </row>
    <row r="661" ht="15" customHeight="1">
      <c r="A661" t="inlineStr">
        <is>
          <t>A 33566-2023</t>
        </is>
      </c>
      <c r="B661" s="1" t="n">
        <v>45131.64390046296</v>
      </c>
      <c r="C661" s="1" t="n">
        <v>45904</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32-2024</t>
        </is>
      </c>
      <c r="B662" s="1" t="n">
        <v>45293</v>
      </c>
      <c r="C662" s="1" t="n">
        <v>45904</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45904</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33463-2023</t>
        </is>
      </c>
      <c r="B664" s="1" t="n">
        <v>45131</v>
      </c>
      <c r="C664" s="1" t="n">
        <v>45904</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30611-2023</t>
        </is>
      </c>
      <c r="B665" s="1" t="n">
        <v>45112</v>
      </c>
      <c r="C665" s="1" t="n">
        <v>45904</v>
      </c>
      <c r="D665" t="inlineStr">
        <is>
          <t>DALARNAS LÄN</t>
        </is>
      </c>
      <c r="E665" t="inlineStr">
        <is>
          <t>LEKSAND</t>
        </is>
      </c>
      <c r="G665" t="n">
        <v>3.1</v>
      </c>
      <c r="H665" t="n">
        <v>0</v>
      </c>
      <c r="I665" t="n">
        <v>0</v>
      </c>
      <c r="J665" t="n">
        <v>0</v>
      </c>
      <c r="K665" t="n">
        <v>0</v>
      </c>
      <c r="L665" t="n">
        <v>0</v>
      </c>
      <c r="M665" t="n">
        <v>0</v>
      </c>
      <c r="N665" t="n">
        <v>0</v>
      </c>
      <c r="O665" t="n">
        <v>0</v>
      </c>
      <c r="P665" t="n">
        <v>0</v>
      </c>
      <c r="Q665" t="n">
        <v>0</v>
      </c>
      <c r="R665" s="2" t="inlineStr"/>
    </row>
    <row r="666" ht="15" customHeight="1">
      <c r="A666" t="inlineStr">
        <is>
          <t>A 55516-2024</t>
        </is>
      </c>
      <c r="B666" s="1" t="n">
        <v>45621</v>
      </c>
      <c r="C666" s="1" t="n">
        <v>45904</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12992-2022</t>
        </is>
      </c>
      <c r="B667" s="1" t="n">
        <v>44643</v>
      </c>
      <c r="C667" s="1" t="n">
        <v>45904</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12621-2025</t>
        </is>
      </c>
      <c r="B668" s="1" t="n">
        <v>45733.3575</v>
      </c>
      <c r="C668" s="1" t="n">
        <v>45904</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8211-2023</t>
        </is>
      </c>
      <c r="B669" s="1" t="n">
        <v>44974</v>
      </c>
      <c r="C669" s="1" t="n">
        <v>45904</v>
      </c>
      <c r="D669" t="inlineStr">
        <is>
          <t>DALARNAS LÄN</t>
        </is>
      </c>
      <c r="E669" t="inlineStr">
        <is>
          <t>LEKSAND</t>
        </is>
      </c>
      <c r="G669" t="n">
        <v>5.2</v>
      </c>
      <c r="H669" t="n">
        <v>0</v>
      </c>
      <c r="I669" t="n">
        <v>0</v>
      </c>
      <c r="J669" t="n">
        <v>0</v>
      </c>
      <c r="K669" t="n">
        <v>0</v>
      </c>
      <c r="L669" t="n">
        <v>0</v>
      </c>
      <c r="M669" t="n">
        <v>0</v>
      </c>
      <c r="N669" t="n">
        <v>0</v>
      </c>
      <c r="O669" t="n">
        <v>0</v>
      </c>
      <c r="P669" t="n">
        <v>0</v>
      </c>
      <c r="Q669" t="n">
        <v>0</v>
      </c>
      <c r="R669" s="2" t="inlineStr"/>
    </row>
    <row r="670" ht="15" customHeight="1">
      <c r="A670" t="inlineStr">
        <is>
          <t>A 10299-2024</t>
        </is>
      </c>
      <c r="B670" s="1" t="n">
        <v>45365.50425925926</v>
      </c>
      <c r="C670" s="1" t="n">
        <v>45904</v>
      </c>
      <c r="D670" t="inlineStr">
        <is>
          <t>DALARNAS LÄN</t>
        </is>
      </c>
      <c r="E670" t="inlineStr">
        <is>
          <t>LEKSAND</t>
        </is>
      </c>
      <c r="G670" t="n">
        <v>3.6</v>
      </c>
      <c r="H670" t="n">
        <v>0</v>
      </c>
      <c r="I670" t="n">
        <v>0</v>
      </c>
      <c r="J670" t="n">
        <v>0</v>
      </c>
      <c r="K670" t="n">
        <v>0</v>
      </c>
      <c r="L670" t="n">
        <v>0</v>
      </c>
      <c r="M670" t="n">
        <v>0</v>
      </c>
      <c r="N670" t="n">
        <v>0</v>
      </c>
      <c r="O670" t="n">
        <v>0</v>
      </c>
      <c r="P670" t="n">
        <v>0</v>
      </c>
      <c r="Q670" t="n">
        <v>0</v>
      </c>
      <c r="R670" s="2" t="inlineStr"/>
    </row>
    <row r="671" ht="15" customHeight="1">
      <c r="A671" t="inlineStr">
        <is>
          <t>A 7897-2025</t>
        </is>
      </c>
      <c r="B671" s="1" t="n">
        <v>45707.30969907407</v>
      </c>
      <c r="C671" s="1" t="n">
        <v>45904</v>
      </c>
      <c r="D671" t="inlineStr">
        <is>
          <t>DALARNAS LÄN</t>
        </is>
      </c>
      <c r="E671" t="inlineStr">
        <is>
          <t>LEKSAND</t>
        </is>
      </c>
      <c r="G671" t="n">
        <v>3.1</v>
      </c>
      <c r="H671" t="n">
        <v>0</v>
      </c>
      <c r="I671" t="n">
        <v>0</v>
      </c>
      <c r="J671" t="n">
        <v>0</v>
      </c>
      <c r="K671" t="n">
        <v>0</v>
      </c>
      <c r="L671" t="n">
        <v>0</v>
      </c>
      <c r="M671" t="n">
        <v>0</v>
      </c>
      <c r="N671" t="n">
        <v>0</v>
      </c>
      <c r="O671" t="n">
        <v>0</v>
      </c>
      <c r="P671" t="n">
        <v>0</v>
      </c>
      <c r="Q671" t="n">
        <v>0</v>
      </c>
      <c r="R671" s="2" t="inlineStr"/>
    </row>
    <row r="672" ht="15" customHeight="1">
      <c r="A672" t="inlineStr">
        <is>
          <t>A 16135-2023</t>
        </is>
      </c>
      <c r="B672" s="1" t="n">
        <v>45027.63717592593</v>
      </c>
      <c r="C672" s="1" t="n">
        <v>45904</v>
      </c>
      <c r="D672" t="inlineStr">
        <is>
          <t>DALARNAS LÄN</t>
        </is>
      </c>
      <c r="E672" t="inlineStr">
        <is>
          <t>LEKSAND</t>
        </is>
      </c>
      <c r="G672" t="n">
        <v>4.9</v>
      </c>
      <c r="H672" t="n">
        <v>0</v>
      </c>
      <c r="I672" t="n">
        <v>0</v>
      </c>
      <c r="J672" t="n">
        <v>0</v>
      </c>
      <c r="K672" t="n">
        <v>0</v>
      </c>
      <c r="L672" t="n">
        <v>0</v>
      </c>
      <c r="M672" t="n">
        <v>0</v>
      </c>
      <c r="N672" t="n">
        <v>0</v>
      </c>
      <c r="O672" t="n">
        <v>0</v>
      </c>
      <c r="P672" t="n">
        <v>0</v>
      </c>
      <c r="Q672" t="n">
        <v>0</v>
      </c>
      <c r="R672" s="2" t="inlineStr"/>
    </row>
    <row r="673" ht="15" customHeight="1">
      <c r="A673" t="inlineStr">
        <is>
          <t>A 59859-2023</t>
        </is>
      </c>
      <c r="B673" s="1" t="n">
        <v>45257</v>
      </c>
      <c r="C673" s="1" t="n">
        <v>45904</v>
      </c>
      <c r="D673" t="inlineStr">
        <is>
          <t>DALARNAS LÄN</t>
        </is>
      </c>
      <c r="E673" t="inlineStr">
        <is>
          <t>LEKSAND</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39136-2023</t>
        </is>
      </c>
      <c r="B674" s="1" t="n">
        <v>45165</v>
      </c>
      <c r="C674" s="1" t="n">
        <v>45904</v>
      </c>
      <c r="D674" t="inlineStr">
        <is>
          <t>DALARNAS LÄN</t>
        </is>
      </c>
      <c r="E674" t="inlineStr">
        <is>
          <t>LEKSAND</t>
        </is>
      </c>
      <c r="G674" t="n">
        <v>0.3</v>
      </c>
      <c r="H674" t="n">
        <v>0</v>
      </c>
      <c r="I674" t="n">
        <v>0</v>
      </c>
      <c r="J674" t="n">
        <v>0</v>
      </c>
      <c r="K674" t="n">
        <v>0</v>
      </c>
      <c r="L674" t="n">
        <v>0</v>
      </c>
      <c r="M674" t="n">
        <v>0</v>
      </c>
      <c r="N674" t="n">
        <v>0</v>
      </c>
      <c r="O674" t="n">
        <v>0</v>
      </c>
      <c r="P674" t="n">
        <v>0</v>
      </c>
      <c r="Q674" t="n">
        <v>0</v>
      </c>
      <c r="R674" s="2" t="inlineStr"/>
    </row>
    <row r="675" ht="15" customHeight="1">
      <c r="A675" t="inlineStr">
        <is>
          <t>A 50447-2023</t>
        </is>
      </c>
      <c r="B675" s="1" t="n">
        <v>45216.72185185185</v>
      </c>
      <c r="C675" s="1" t="n">
        <v>45904</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45904</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53193-2024</t>
        </is>
      </c>
      <c r="B677" s="1" t="n">
        <v>45610</v>
      </c>
      <c r="C677" s="1" t="n">
        <v>45904</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55512-2024</t>
        </is>
      </c>
      <c r="B678" s="1" t="n">
        <v>45621</v>
      </c>
      <c r="C678" s="1" t="n">
        <v>45904</v>
      </c>
      <c r="D678" t="inlineStr">
        <is>
          <t>DALARNAS LÄN</t>
        </is>
      </c>
      <c r="E678" t="inlineStr">
        <is>
          <t>LEKSAND</t>
        </is>
      </c>
      <c r="G678" t="n">
        <v>1.5</v>
      </c>
      <c r="H678" t="n">
        <v>0</v>
      </c>
      <c r="I678" t="n">
        <v>0</v>
      </c>
      <c r="J678" t="n">
        <v>0</v>
      </c>
      <c r="K678" t="n">
        <v>0</v>
      </c>
      <c r="L678" t="n">
        <v>0</v>
      </c>
      <c r="M678" t="n">
        <v>0</v>
      </c>
      <c r="N678" t="n">
        <v>0</v>
      </c>
      <c r="O678" t="n">
        <v>0</v>
      </c>
      <c r="P678" t="n">
        <v>0</v>
      </c>
      <c r="Q678" t="n">
        <v>0</v>
      </c>
      <c r="R678" s="2" t="inlineStr"/>
    </row>
    <row r="679" ht="15" customHeight="1">
      <c r="A679" t="inlineStr">
        <is>
          <t>A 43470-2024</t>
        </is>
      </c>
      <c r="B679" s="1" t="n">
        <v>45568</v>
      </c>
      <c r="C679" s="1" t="n">
        <v>45904</v>
      </c>
      <c r="D679" t="inlineStr">
        <is>
          <t>DALARNAS LÄN</t>
        </is>
      </c>
      <c r="E679" t="inlineStr">
        <is>
          <t>LEKSAND</t>
        </is>
      </c>
      <c r="G679" t="n">
        <v>3.1</v>
      </c>
      <c r="H679" t="n">
        <v>0</v>
      </c>
      <c r="I679" t="n">
        <v>0</v>
      </c>
      <c r="J679" t="n">
        <v>0</v>
      </c>
      <c r="K679" t="n">
        <v>0</v>
      </c>
      <c r="L679" t="n">
        <v>0</v>
      </c>
      <c r="M679" t="n">
        <v>0</v>
      </c>
      <c r="N679" t="n">
        <v>0</v>
      </c>
      <c r="O679" t="n">
        <v>0</v>
      </c>
      <c r="P679" t="n">
        <v>0</v>
      </c>
      <c r="Q679" t="n">
        <v>0</v>
      </c>
      <c r="R679" s="2" t="inlineStr"/>
    </row>
    <row r="680" ht="15" customHeight="1">
      <c r="A680" t="inlineStr">
        <is>
          <t>A 11606-2025</t>
        </is>
      </c>
      <c r="B680" s="1" t="n">
        <v>45727</v>
      </c>
      <c r="C680" s="1" t="n">
        <v>45904</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56749-2024</t>
        </is>
      </c>
      <c r="B681" s="1" t="n">
        <v>45628.37487268518</v>
      </c>
      <c r="C681" s="1" t="n">
        <v>45904</v>
      </c>
      <c r="D681" t="inlineStr">
        <is>
          <t>DALARNAS LÄN</t>
        </is>
      </c>
      <c r="E681" t="inlineStr">
        <is>
          <t>LEKSAND</t>
        </is>
      </c>
      <c r="G681" t="n">
        <v>5</v>
      </c>
      <c r="H681" t="n">
        <v>0</v>
      </c>
      <c r="I681" t="n">
        <v>0</v>
      </c>
      <c r="J681" t="n">
        <v>0</v>
      </c>
      <c r="K681" t="n">
        <v>0</v>
      </c>
      <c r="L681" t="n">
        <v>0</v>
      </c>
      <c r="M681" t="n">
        <v>0</v>
      </c>
      <c r="N681" t="n">
        <v>0</v>
      </c>
      <c r="O681" t="n">
        <v>0</v>
      </c>
      <c r="P681" t="n">
        <v>0</v>
      </c>
      <c r="Q681" t="n">
        <v>0</v>
      </c>
      <c r="R681" s="2" t="inlineStr"/>
    </row>
    <row r="682" ht="15" customHeight="1">
      <c r="A682" t="inlineStr">
        <is>
          <t>A 22683-2022</t>
        </is>
      </c>
      <c r="B682" s="1" t="n">
        <v>44714</v>
      </c>
      <c r="C682" s="1" t="n">
        <v>45904</v>
      </c>
      <c r="D682" t="inlineStr">
        <is>
          <t>DALARNAS LÄN</t>
        </is>
      </c>
      <c r="E682" t="inlineStr">
        <is>
          <t>LEKSAND</t>
        </is>
      </c>
      <c r="F682" t="inlineStr">
        <is>
          <t>Bergvik skog väst AB</t>
        </is>
      </c>
      <c r="G682" t="n">
        <v>3.4</v>
      </c>
      <c r="H682" t="n">
        <v>0</v>
      </c>
      <c r="I682" t="n">
        <v>0</v>
      </c>
      <c r="J682" t="n">
        <v>0</v>
      </c>
      <c r="K682" t="n">
        <v>0</v>
      </c>
      <c r="L682" t="n">
        <v>0</v>
      </c>
      <c r="M682" t="n">
        <v>0</v>
      </c>
      <c r="N682" t="n">
        <v>0</v>
      </c>
      <c r="O682" t="n">
        <v>0</v>
      </c>
      <c r="P682" t="n">
        <v>0</v>
      </c>
      <c r="Q682" t="n">
        <v>0</v>
      </c>
      <c r="R682" s="2" t="inlineStr"/>
    </row>
    <row r="683" ht="15" customHeight="1">
      <c r="A683" t="inlineStr">
        <is>
          <t>A 13161-2024</t>
        </is>
      </c>
      <c r="B683" s="1" t="n">
        <v>45386.38972222222</v>
      </c>
      <c r="C683" s="1" t="n">
        <v>45904</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61208-2023</t>
        </is>
      </c>
      <c r="B684" s="1" t="n">
        <v>45260</v>
      </c>
      <c r="C684" s="1" t="n">
        <v>45904</v>
      </c>
      <c r="D684" t="inlineStr">
        <is>
          <t>DALARNAS LÄN</t>
        </is>
      </c>
      <c r="E684" t="inlineStr">
        <is>
          <t>LEKSAND</t>
        </is>
      </c>
      <c r="G684" t="n">
        <v>1.7</v>
      </c>
      <c r="H684" t="n">
        <v>0</v>
      </c>
      <c r="I684" t="n">
        <v>0</v>
      </c>
      <c r="J684" t="n">
        <v>0</v>
      </c>
      <c r="K684" t="n">
        <v>0</v>
      </c>
      <c r="L684" t="n">
        <v>0</v>
      </c>
      <c r="M684" t="n">
        <v>0</v>
      </c>
      <c r="N684" t="n">
        <v>0</v>
      </c>
      <c r="O684" t="n">
        <v>0</v>
      </c>
      <c r="P684" t="n">
        <v>0</v>
      </c>
      <c r="Q684" t="n">
        <v>0</v>
      </c>
      <c r="R684" s="2" t="inlineStr"/>
    </row>
    <row r="685" ht="15" customHeight="1">
      <c r="A685" t="inlineStr">
        <is>
          <t>A 26062-2024</t>
        </is>
      </c>
      <c r="B685" s="1" t="n">
        <v>45468.3509375</v>
      </c>
      <c r="C685" s="1" t="n">
        <v>45904</v>
      </c>
      <c r="D685" t="inlineStr">
        <is>
          <t>DALARNAS LÄN</t>
        </is>
      </c>
      <c r="E685" t="inlineStr">
        <is>
          <t>LEKSAND</t>
        </is>
      </c>
      <c r="F685" t="inlineStr">
        <is>
          <t>Övriga statliga verk och myndigheter</t>
        </is>
      </c>
      <c r="G685" t="n">
        <v>6.4</v>
      </c>
      <c r="H685" t="n">
        <v>0</v>
      </c>
      <c r="I685" t="n">
        <v>0</v>
      </c>
      <c r="J685" t="n">
        <v>0</v>
      </c>
      <c r="K685" t="n">
        <v>0</v>
      </c>
      <c r="L685" t="n">
        <v>0</v>
      </c>
      <c r="M685" t="n">
        <v>0</v>
      </c>
      <c r="N685" t="n">
        <v>0</v>
      </c>
      <c r="O685" t="n">
        <v>0</v>
      </c>
      <c r="P685" t="n">
        <v>0</v>
      </c>
      <c r="Q685" t="n">
        <v>0</v>
      </c>
      <c r="R685" s="2" t="inlineStr"/>
    </row>
    <row r="686" ht="15" customHeight="1">
      <c r="A686" t="inlineStr">
        <is>
          <t>A 22517-2024</t>
        </is>
      </c>
      <c r="B686" s="1" t="n">
        <v>45447.40143518519</v>
      </c>
      <c r="C686" s="1" t="n">
        <v>45904</v>
      </c>
      <c r="D686" t="inlineStr">
        <is>
          <t>DALARNAS LÄN</t>
        </is>
      </c>
      <c r="E686" t="inlineStr">
        <is>
          <t>LEKSAND</t>
        </is>
      </c>
      <c r="G686" t="n">
        <v>0.4</v>
      </c>
      <c r="H686" t="n">
        <v>0</v>
      </c>
      <c r="I686" t="n">
        <v>0</v>
      </c>
      <c r="J686" t="n">
        <v>0</v>
      </c>
      <c r="K686" t="n">
        <v>0</v>
      </c>
      <c r="L686" t="n">
        <v>0</v>
      </c>
      <c r="M686" t="n">
        <v>0</v>
      </c>
      <c r="N686" t="n">
        <v>0</v>
      </c>
      <c r="O686" t="n">
        <v>0</v>
      </c>
      <c r="P686" t="n">
        <v>0</v>
      </c>
      <c r="Q686" t="n">
        <v>0</v>
      </c>
      <c r="R686" s="2" t="inlineStr"/>
    </row>
    <row r="687" ht="15" customHeight="1">
      <c r="A687" t="inlineStr">
        <is>
          <t>A 61953-2023</t>
        </is>
      </c>
      <c r="B687" s="1" t="n">
        <v>45266</v>
      </c>
      <c r="C687" s="1" t="n">
        <v>45904</v>
      </c>
      <c r="D687" t="inlineStr">
        <is>
          <t>DALARNAS LÄN</t>
        </is>
      </c>
      <c r="E687" t="inlineStr">
        <is>
          <t>LEKSAND</t>
        </is>
      </c>
      <c r="G687" t="n">
        <v>0.1</v>
      </c>
      <c r="H687" t="n">
        <v>0</v>
      </c>
      <c r="I687" t="n">
        <v>0</v>
      </c>
      <c r="J687" t="n">
        <v>0</v>
      </c>
      <c r="K687" t="n">
        <v>0</v>
      </c>
      <c r="L687" t="n">
        <v>0</v>
      </c>
      <c r="M687" t="n">
        <v>0</v>
      </c>
      <c r="N687" t="n">
        <v>0</v>
      </c>
      <c r="O687" t="n">
        <v>0</v>
      </c>
      <c r="P687" t="n">
        <v>0</v>
      </c>
      <c r="Q687" t="n">
        <v>0</v>
      </c>
      <c r="R687" s="2" t="inlineStr"/>
    </row>
    <row r="688" ht="15" customHeight="1">
      <c r="A688" t="inlineStr">
        <is>
          <t>A 16815-2025</t>
        </is>
      </c>
      <c r="B688" s="1" t="n">
        <v>45754</v>
      </c>
      <c r="C688" s="1" t="n">
        <v>45904</v>
      </c>
      <c r="D688" t="inlineStr">
        <is>
          <t>DALARNAS LÄN</t>
        </is>
      </c>
      <c r="E688" t="inlineStr">
        <is>
          <t>LEKSAND</t>
        </is>
      </c>
      <c r="G688" t="n">
        <v>2.8</v>
      </c>
      <c r="H688" t="n">
        <v>0</v>
      </c>
      <c r="I688" t="n">
        <v>0</v>
      </c>
      <c r="J688" t="n">
        <v>0</v>
      </c>
      <c r="K688" t="n">
        <v>0</v>
      </c>
      <c r="L688" t="n">
        <v>0</v>
      </c>
      <c r="M688" t="n">
        <v>0</v>
      </c>
      <c r="N688" t="n">
        <v>0</v>
      </c>
      <c r="O688" t="n">
        <v>0</v>
      </c>
      <c r="P688" t="n">
        <v>0</v>
      </c>
      <c r="Q688" t="n">
        <v>0</v>
      </c>
      <c r="R688" s="2" t="inlineStr"/>
    </row>
    <row r="689" ht="15" customHeight="1">
      <c r="A689" t="inlineStr">
        <is>
          <t>A 16854-2025</t>
        </is>
      </c>
      <c r="B689" s="1" t="n">
        <v>45754.72883101852</v>
      </c>
      <c r="C689" s="1" t="n">
        <v>45904</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62133-2023</t>
        </is>
      </c>
      <c r="B690" s="1" t="n">
        <v>45267.35582175926</v>
      </c>
      <c r="C690" s="1" t="n">
        <v>45904</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40009-2024</t>
        </is>
      </c>
      <c r="B691" s="1" t="n">
        <v>45553.65361111111</v>
      </c>
      <c r="C691" s="1" t="n">
        <v>45904</v>
      </c>
      <c r="D691" t="inlineStr">
        <is>
          <t>DALARNAS LÄN</t>
        </is>
      </c>
      <c r="E691" t="inlineStr">
        <is>
          <t>LEKSAND</t>
        </is>
      </c>
      <c r="F691" t="inlineStr">
        <is>
          <t>Bergvik skog väst AB</t>
        </is>
      </c>
      <c r="G691" t="n">
        <v>3</v>
      </c>
      <c r="H691" t="n">
        <v>0</v>
      </c>
      <c r="I691" t="n">
        <v>0</v>
      </c>
      <c r="J691" t="n">
        <v>0</v>
      </c>
      <c r="K691" t="n">
        <v>0</v>
      </c>
      <c r="L691" t="n">
        <v>0</v>
      </c>
      <c r="M691" t="n">
        <v>0</v>
      </c>
      <c r="N691" t="n">
        <v>0</v>
      </c>
      <c r="O691" t="n">
        <v>0</v>
      </c>
      <c r="P691" t="n">
        <v>0</v>
      </c>
      <c r="Q691" t="n">
        <v>0</v>
      </c>
      <c r="R691" s="2" t="inlineStr"/>
    </row>
    <row r="692" ht="15" customHeight="1">
      <c r="A692" t="inlineStr">
        <is>
          <t>A 10967-2023</t>
        </is>
      </c>
      <c r="B692" s="1" t="n">
        <v>44991.58001157407</v>
      </c>
      <c r="C692" s="1" t="n">
        <v>45904</v>
      </c>
      <c r="D692" t="inlineStr">
        <is>
          <t>DALARNAS LÄN</t>
        </is>
      </c>
      <c r="E692" t="inlineStr">
        <is>
          <t>LEKSAND</t>
        </is>
      </c>
      <c r="G692" t="n">
        <v>0.5</v>
      </c>
      <c r="H692" t="n">
        <v>0</v>
      </c>
      <c r="I692" t="n">
        <v>0</v>
      </c>
      <c r="J692" t="n">
        <v>0</v>
      </c>
      <c r="K692" t="n">
        <v>0</v>
      </c>
      <c r="L692" t="n">
        <v>0</v>
      </c>
      <c r="M692" t="n">
        <v>0</v>
      </c>
      <c r="N692" t="n">
        <v>0</v>
      </c>
      <c r="O692" t="n">
        <v>0</v>
      </c>
      <c r="P692" t="n">
        <v>0</v>
      </c>
      <c r="Q692" t="n">
        <v>0</v>
      </c>
      <c r="R692" s="2" t="inlineStr"/>
    </row>
    <row r="693" ht="15" customHeight="1">
      <c r="A693" t="inlineStr">
        <is>
          <t>A 10974-2023</t>
        </is>
      </c>
      <c r="B693" s="1" t="n">
        <v>44991.59049768518</v>
      </c>
      <c r="C693" s="1" t="n">
        <v>45904</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14615-2024</t>
        </is>
      </c>
      <c r="B694" s="1" t="n">
        <v>45397.26047453703</v>
      </c>
      <c r="C694" s="1" t="n">
        <v>45904</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47203-2023</t>
        </is>
      </c>
      <c r="B695" s="1" t="n">
        <v>45202</v>
      </c>
      <c r="C695" s="1" t="n">
        <v>45904</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23663-2024</t>
        </is>
      </c>
      <c r="B696" s="1" t="n">
        <v>45454.57049768518</v>
      </c>
      <c r="C696" s="1" t="n">
        <v>45904</v>
      </c>
      <c r="D696" t="inlineStr">
        <is>
          <t>DALARNAS LÄN</t>
        </is>
      </c>
      <c r="E696" t="inlineStr">
        <is>
          <t>LEKSAND</t>
        </is>
      </c>
      <c r="G696" t="n">
        <v>2.5</v>
      </c>
      <c r="H696" t="n">
        <v>0</v>
      </c>
      <c r="I696" t="n">
        <v>0</v>
      </c>
      <c r="J696" t="n">
        <v>0</v>
      </c>
      <c r="K696" t="n">
        <v>0</v>
      </c>
      <c r="L696" t="n">
        <v>0</v>
      </c>
      <c r="M696" t="n">
        <v>0</v>
      </c>
      <c r="N696" t="n">
        <v>0</v>
      </c>
      <c r="O696" t="n">
        <v>0</v>
      </c>
      <c r="P696" t="n">
        <v>0</v>
      </c>
      <c r="Q696" t="n">
        <v>0</v>
      </c>
      <c r="R696" s="2" t="inlineStr"/>
    </row>
    <row r="697" ht="15" customHeight="1">
      <c r="A697" t="inlineStr">
        <is>
          <t>A 19622-2024</t>
        </is>
      </c>
      <c r="B697" s="1" t="n">
        <v>45432.33592592592</v>
      </c>
      <c r="C697" s="1" t="n">
        <v>45904</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40230-2023</t>
        </is>
      </c>
      <c r="B698" s="1" t="n">
        <v>45169.46887731482</v>
      </c>
      <c r="C698" s="1" t="n">
        <v>45904</v>
      </c>
      <c r="D698" t="inlineStr">
        <is>
          <t>DALARNAS LÄN</t>
        </is>
      </c>
      <c r="E698" t="inlineStr">
        <is>
          <t>LEKSAND</t>
        </is>
      </c>
      <c r="G698" t="n">
        <v>0.5</v>
      </c>
      <c r="H698" t="n">
        <v>0</v>
      </c>
      <c r="I698" t="n">
        <v>0</v>
      </c>
      <c r="J698" t="n">
        <v>0</v>
      </c>
      <c r="K698" t="n">
        <v>0</v>
      </c>
      <c r="L698" t="n">
        <v>0</v>
      </c>
      <c r="M698" t="n">
        <v>0</v>
      </c>
      <c r="N698" t="n">
        <v>0</v>
      </c>
      <c r="O698" t="n">
        <v>0</v>
      </c>
      <c r="P698" t="n">
        <v>0</v>
      </c>
      <c r="Q698" t="n">
        <v>0</v>
      </c>
      <c r="R698" s="2" t="inlineStr"/>
    </row>
    <row r="699" ht="15" customHeight="1">
      <c r="A699" t="inlineStr">
        <is>
          <t>A 11712-2025</t>
        </is>
      </c>
      <c r="B699" s="1" t="n">
        <v>45727</v>
      </c>
      <c r="C699" s="1" t="n">
        <v>45904</v>
      </c>
      <c r="D699" t="inlineStr">
        <is>
          <t>DALARNAS LÄN</t>
        </is>
      </c>
      <c r="E699" t="inlineStr">
        <is>
          <t>LEKSAND</t>
        </is>
      </c>
      <c r="G699" t="n">
        <v>6</v>
      </c>
      <c r="H699" t="n">
        <v>0</v>
      </c>
      <c r="I699" t="n">
        <v>0</v>
      </c>
      <c r="J699" t="n">
        <v>0</v>
      </c>
      <c r="K699" t="n">
        <v>0</v>
      </c>
      <c r="L699" t="n">
        <v>0</v>
      </c>
      <c r="M699" t="n">
        <v>0</v>
      </c>
      <c r="N699" t="n">
        <v>0</v>
      </c>
      <c r="O699" t="n">
        <v>0</v>
      </c>
      <c r="P699" t="n">
        <v>0</v>
      </c>
      <c r="Q699" t="n">
        <v>0</v>
      </c>
      <c r="R699" s="2" t="inlineStr"/>
    </row>
    <row r="700">
      <c r="A700" t="inlineStr">
        <is>
          <t>A 6030-2025</t>
        </is>
      </c>
      <c r="B700" s="1" t="n">
        <v>45695</v>
      </c>
      <c r="C700" s="1" t="n">
        <v>45904</v>
      </c>
      <c r="D700" t="inlineStr">
        <is>
          <t>DALARNAS LÄN</t>
        </is>
      </c>
      <c r="E700" t="inlineStr">
        <is>
          <t>LEKSAND</t>
        </is>
      </c>
      <c r="G700" t="n">
        <v>1.4</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2025-09-04T17:43:30Z</dcterms:created>
  <dcterms:modified xmlns:dcterms="http://purl.org/dc/terms/" xmlns:xsi="http://www.w3.org/2001/XMLSchema-instance" xsi:type="dcterms:W3CDTF">2025-09-04T17:43:31Z</dcterms:modified>
</cp:coreProperties>
</file>