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45347</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45347</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45347</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45347</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45347</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45347</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45347</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45347</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45347</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45347</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45347</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45347</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45347</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45347</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45347</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45347</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45347</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45347</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6778-2022</t>
        </is>
      </c>
      <c r="B20" s="1" t="n">
        <v>44602</v>
      </c>
      <c r="C20" s="1" t="n">
        <v>45347</v>
      </c>
      <c r="D20" t="inlineStr">
        <is>
          <t>DALARNAS LÄN</t>
        </is>
      </c>
      <c r="E20" t="inlineStr">
        <is>
          <t>LEKSAND</t>
        </is>
      </c>
      <c r="F20" t="inlineStr">
        <is>
          <t>Kyrkan</t>
        </is>
      </c>
      <c r="G20" t="n">
        <v>2</v>
      </c>
      <c r="H20" t="n">
        <v>2</v>
      </c>
      <c r="I20" t="n">
        <v>0</v>
      </c>
      <c r="J20" t="n">
        <v>1</v>
      </c>
      <c r="K20" t="n">
        <v>0</v>
      </c>
      <c r="L20" t="n">
        <v>0</v>
      </c>
      <c r="M20" t="n">
        <v>0</v>
      </c>
      <c r="N20" t="n">
        <v>0</v>
      </c>
      <c r="O20" t="n">
        <v>1</v>
      </c>
      <c r="P20" t="n">
        <v>0</v>
      </c>
      <c r="Q20" t="n">
        <v>2</v>
      </c>
      <c r="R20" s="2" t="inlineStr">
        <is>
          <t>Talltita
Orre</t>
        </is>
      </c>
      <c r="S20">
        <f>HYPERLINK("https://klasma.github.io/Logging_2029/artfynd/A 6778-2022 artfynd.xlsx", "A 6778-2022")</f>
        <v/>
      </c>
      <c r="T20">
        <f>HYPERLINK("https://klasma.github.io/Logging_2029/kartor/A 6778-2022 karta.png", "A 6778-2022")</f>
        <v/>
      </c>
      <c r="V20">
        <f>HYPERLINK("https://klasma.github.io/Logging_2029/klagomål/A 6778-2022 FSC-klagomål.docx", "A 6778-2022")</f>
        <v/>
      </c>
      <c r="W20">
        <f>HYPERLINK("https://klasma.github.io/Logging_2029/klagomålsmail/A 6778-2022 FSC-klagomål mail.docx", "A 6778-2022")</f>
        <v/>
      </c>
      <c r="X20">
        <f>HYPERLINK("https://klasma.github.io/Logging_2029/tillsyn/A 6778-2022 tillsynsbegäran.docx", "A 6778-2022")</f>
        <v/>
      </c>
      <c r="Y20">
        <f>HYPERLINK("https://klasma.github.io/Logging_2029/tillsynsmail/A 6778-2022 tillsynsbegäran mail.docx", "A 6778-2022")</f>
        <v/>
      </c>
      <c r="Z20">
        <f>HYPERLINK("https://klasma.github.io/Logging_2029/fåglar/A 6778-2022 prioriterade fågelarter.docx", "A 6778-2022")</f>
        <v/>
      </c>
    </row>
    <row r="21" ht="15" customHeight="1">
      <c r="A21" t="inlineStr">
        <is>
          <t>A 17619-2019</t>
        </is>
      </c>
      <c r="B21" s="1" t="n">
        <v>43555</v>
      </c>
      <c r="C21" s="1" t="n">
        <v>45347</v>
      </c>
      <c r="D21" t="inlineStr">
        <is>
          <t>DALARNAS LÄN</t>
        </is>
      </c>
      <c r="E21" t="inlineStr">
        <is>
          <t>LEKSAND</t>
        </is>
      </c>
      <c r="G21" t="n">
        <v>2.1</v>
      </c>
      <c r="H21" t="n">
        <v>1</v>
      </c>
      <c r="I21" t="n">
        <v>0</v>
      </c>
      <c r="J21" t="n">
        <v>0</v>
      </c>
      <c r="K21" t="n">
        <v>0</v>
      </c>
      <c r="L21" t="n">
        <v>0</v>
      </c>
      <c r="M21" t="n">
        <v>0</v>
      </c>
      <c r="N21" t="n">
        <v>0</v>
      </c>
      <c r="O21" t="n">
        <v>0</v>
      </c>
      <c r="P21" t="n">
        <v>0</v>
      </c>
      <c r="Q21" t="n">
        <v>1</v>
      </c>
      <c r="R21" s="2" t="inlineStr">
        <is>
          <t>Nattviol</t>
        </is>
      </c>
      <c r="S21">
        <f>HYPERLINK("https://klasma.github.io/Logging_2029/artfynd/A 17619-2019 artfynd.xlsx", "A 17619-2019")</f>
        <v/>
      </c>
      <c r="T21">
        <f>HYPERLINK("https://klasma.github.io/Logging_2029/kartor/A 17619-2019 karta.png", "A 17619-2019")</f>
        <v/>
      </c>
      <c r="V21">
        <f>HYPERLINK("https://klasma.github.io/Logging_2029/klagomål/A 17619-2019 FSC-klagomål.docx", "A 17619-2019")</f>
        <v/>
      </c>
      <c r="W21">
        <f>HYPERLINK("https://klasma.github.io/Logging_2029/klagomålsmail/A 17619-2019 FSC-klagomål mail.docx", "A 17619-2019")</f>
        <v/>
      </c>
      <c r="X21">
        <f>HYPERLINK("https://klasma.github.io/Logging_2029/tillsyn/A 17619-2019 tillsynsbegäran.docx", "A 17619-2019")</f>
        <v/>
      </c>
      <c r="Y21">
        <f>HYPERLINK("https://klasma.github.io/Logging_2029/tillsynsmail/A 17619-2019 tillsynsbegäran mail.docx", "A 17619-2019")</f>
        <v/>
      </c>
    </row>
    <row r="22" ht="15" customHeight="1">
      <c r="A22" t="inlineStr">
        <is>
          <t>A 36549-2021</t>
        </is>
      </c>
      <c r="B22" s="1" t="n">
        <v>44391</v>
      </c>
      <c r="C22" s="1" t="n">
        <v>45347</v>
      </c>
      <c r="D22" t="inlineStr">
        <is>
          <t>DALARNAS LÄN</t>
        </is>
      </c>
      <c r="E22" t="inlineStr">
        <is>
          <t>LEKSAND</t>
        </is>
      </c>
      <c r="F22" t="inlineStr">
        <is>
          <t>Bergvik skog väst AB</t>
        </is>
      </c>
      <c r="G22" t="n">
        <v>5.9</v>
      </c>
      <c r="H22" t="n">
        <v>0</v>
      </c>
      <c r="I22" t="n">
        <v>1</v>
      </c>
      <c r="J22" t="n">
        <v>0</v>
      </c>
      <c r="K22" t="n">
        <v>0</v>
      </c>
      <c r="L22" t="n">
        <v>0</v>
      </c>
      <c r="M22" t="n">
        <v>0</v>
      </c>
      <c r="N22" t="n">
        <v>0</v>
      </c>
      <c r="O22" t="n">
        <v>0</v>
      </c>
      <c r="P22" t="n">
        <v>0</v>
      </c>
      <c r="Q22" t="n">
        <v>1</v>
      </c>
      <c r="R22" s="2" t="inlineStr">
        <is>
          <t>Dropptaggsvamp</t>
        </is>
      </c>
      <c r="S22">
        <f>HYPERLINK("https://klasma.github.io/Logging_2029/artfynd/A 36549-2021 artfynd.xlsx", "A 36549-2021")</f>
        <v/>
      </c>
      <c r="T22">
        <f>HYPERLINK("https://klasma.github.io/Logging_2029/kartor/A 36549-2021 karta.png", "A 36549-2021")</f>
        <v/>
      </c>
      <c r="V22">
        <f>HYPERLINK("https://klasma.github.io/Logging_2029/klagomål/A 36549-2021 FSC-klagomål.docx", "A 36549-2021")</f>
        <v/>
      </c>
      <c r="W22">
        <f>HYPERLINK("https://klasma.github.io/Logging_2029/klagomålsmail/A 36549-2021 FSC-klagomål mail.docx", "A 36549-2021")</f>
        <v/>
      </c>
      <c r="X22">
        <f>HYPERLINK("https://klasma.github.io/Logging_2029/tillsyn/A 36549-2021 tillsynsbegäran.docx", "A 36549-2021")</f>
        <v/>
      </c>
      <c r="Y22">
        <f>HYPERLINK("https://klasma.github.io/Logging_2029/tillsynsmail/A 36549-2021 tillsynsbegäran mail.docx", "A 36549-2021")</f>
        <v/>
      </c>
    </row>
    <row r="23" ht="15" customHeight="1">
      <c r="A23" t="inlineStr">
        <is>
          <t>A 41718-2021</t>
        </is>
      </c>
      <c r="B23" s="1" t="n">
        <v>44425</v>
      </c>
      <c r="C23" s="1" t="n">
        <v>45347</v>
      </c>
      <c r="D23" t="inlineStr">
        <is>
          <t>DALARNAS LÄN</t>
        </is>
      </c>
      <c r="E23" t="inlineStr">
        <is>
          <t>LEKSAND</t>
        </is>
      </c>
      <c r="F23" t="inlineStr">
        <is>
          <t>Bergvik skog väst AB</t>
        </is>
      </c>
      <c r="G23" t="n">
        <v>5.7</v>
      </c>
      <c r="H23" t="n">
        <v>0</v>
      </c>
      <c r="I23" t="n">
        <v>0</v>
      </c>
      <c r="J23" t="n">
        <v>1</v>
      </c>
      <c r="K23" t="n">
        <v>0</v>
      </c>
      <c r="L23" t="n">
        <v>0</v>
      </c>
      <c r="M23" t="n">
        <v>0</v>
      </c>
      <c r="N23" t="n">
        <v>0</v>
      </c>
      <c r="O23" t="n">
        <v>1</v>
      </c>
      <c r="P23" t="n">
        <v>0</v>
      </c>
      <c r="Q23" t="n">
        <v>1</v>
      </c>
      <c r="R23" s="2" t="inlineStr">
        <is>
          <t>Garnlav</t>
        </is>
      </c>
      <c r="S23">
        <f>HYPERLINK("https://klasma.github.io/Logging_2029/artfynd/A 41718-2021 artfynd.xlsx", "A 41718-2021")</f>
        <v/>
      </c>
      <c r="T23">
        <f>HYPERLINK("https://klasma.github.io/Logging_2029/kartor/A 41718-2021 karta.png", "A 41718-2021")</f>
        <v/>
      </c>
      <c r="V23">
        <f>HYPERLINK("https://klasma.github.io/Logging_2029/klagomål/A 41718-2021 FSC-klagomål.docx", "A 41718-2021")</f>
        <v/>
      </c>
      <c r="W23">
        <f>HYPERLINK("https://klasma.github.io/Logging_2029/klagomålsmail/A 41718-2021 FSC-klagomål mail.docx", "A 41718-2021")</f>
        <v/>
      </c>
      <c r="X23">
        <f>HYPERLINK("https://klasma.github.io/Logging_2029/tillsyn/A 41718-2021 tillsynsbegäran.docx", "A 41718-2021")</f>
        <v/>
      </c>
      <c r="Y23">
        <f>HYPERLINK("https://klasma.github.io/Logging_2029/tillsynsmail/A 41718-2021 tillsynsbegäran mail.docx", "A 41718-2021")</f>
        <v/>
      </c>
    </row>
    <row r="24" ht="15" customHeight="1">
      <c r="A24" t="inlineStr">
        <is>
          <t>A 66933-2021</t>
        </is>
      </c>
      <c r="B24" s="1" t="n">
        <v>44522</v>
      </c>
      <c r="C24" s="1" t="n">
        <v>45347</v>
      </c>
      <c r="D24" t="inlineStr">
        <is>
          <t>DALARNAS LÄN</t>
        </is>
      </c>
      <c r="E24" t="inlineStr">
        <is>
          <t>LEKSAND</t>
        </is>
      </c>
      <c r="G24" t="n">
        <v>5.5</v>
      </c>
      <c r="H24" t="n">
        <v>1</v>
      </c>
      <c r="I24" t="n">
        <v>0</v>
      </c>
      <c r="J24" t="n">
        <v>1</v>
      </c>
      <c r="K24" t="n">
        <v>0</v>
      </c>
      <c r="L24" t="n">
        <v>0</v>
      </c>
      <c r="M24" t="n">
        <v>0</v>
      </c>
      <c r="N24" t="n">
        <v>0</v>
      </c>
      <c r="O24" t="n">
        <v>1</v>
      </c>
      <c r="P24" t="n">
        <v>0</v>
      </c>
      <c r="Q24" t="n">
        <v>1</v>
      </c>
      <c r="R24" s="2" t="inlineStr">
        <is>
          <t>Tretåig hackspett</t>
        </is>
      </c>
      <c r="S24">
        <f>HYPERLINK("https://klasma.github.io/Logging_2029/artfynd/A 66933-2021 artfynd.xlsx", "A 66933-2021")</f>
        <v/>
      </c>
      <c r="T24">
        <f>HYPERLINK("https://klasma.github.io/Logging_2029/kartor/A 66933-2021 karta.png", "A 66933-2021")</f>
        <v/>
      </c>
      <c r="V24">
        <f>HYPERLINK("https://klasma.github.io/Logging_2029/klagomål/A 66933-2021 FSC-klagomål.docx", "A 66933-2021")</f>
        <v/>
      </c>
      <c r="W24">
        <f>HYPERLINK("https://klasma.github.io/Logging_2029/klagomålsmail/A 66933-2021 FSC-klagomål mail.docx", "A 66933-2021")</f>
        <v/>
      </c>
      <c r="X24">
        <f>HYPERLINK("https://klasma.github.io/Logging_2029/tillsyn/A 66933-2021 tillsynsbegäran.docx", "A 66933-2021")</f>
        <v/>
      </c>
      <c r="Y24">
        <f>HYPERLINK("https://klasma.github.io/Logging_2029/tillsynsmail/A 66933-2021 tillsynsbegäran mail.docx", "A 66933-2021")</f>
        <v/>
      </c>
      <c r="Z24">
        <f>HYPERLINK("https://klasma.github.io/Logging_2029/fåglar/A 66933-2021 prioriterade fågelarter.docx", "A 66933-2021")</f>
        <v/>
      </c>
    </row>
    <row r="25" ht="15" customHeight="1">
      <c r="A25" t="inlineStr">
        <is>
          <t>A 50360-2022</t>
        </is>
      </c>
      <c r="B25" s="1" t="n">
        <v>44866</v>
      </c>
      <c r="C25" s="1" t="n">
        <v>45347</v>
      </c>
      <c r="D25" t="inlineStr">
        <is>
          <t>DALARNAS LÄN</t>
        </is>
      </c>
      <c r="E25" t="inlineStr">
        <is>
          <t>LEKSAND</t>
        </is>
      </c>
      <c r="F25" t="inlineStr">
        <is>
          <t>Bergvik skog väst AB</t>
        </is>
      </c>
      <c r="G25" t="n">
        <v>0.7</v>
      </c>
      <c r="H25" t="n">
        <v>1</v>
      </c>
      <c r="I25" t="n">
        <v>0</v>
      </c>
      <c r="J25" t="n">
        <v>0</v>
      </c>
      <c r="K25" t="n">
        <v>1</v>
      </c>
      <c r="L25" t="n">
        <v>0</v>
      </c>
      <c r="M25" t="n">
        <v>0</v>
      </c>
      <c r="N25" t="n">
        <v>0</v>
      </c>
      <c r="O25" t="n">
        <v>1</v>
      </c>
      <c r="P25" t="n">
        <v>1</v>
      </c>
      <c r="Q25" t="n">
        <v>1</v>
      </c>
      <c r="R25" s="2" t="inlineStr">
        <is>
          <t>Knärot</t>
        </is>
      </c>
      <c r="S25">
        <f>HYPERLINK("https://klasma.github.io/Logging_2029/artfynd/A 50360-2022 artfynd.xlsx", "A 50360-2022")</f>
        <v/>
      </c>
      <c r="T25">
        <f>HYPERLINK("https://klasma.github.io/Logging_2029/kartor/A 50360-2022 karta.png", "A 50360-2022")</f>
        <v/>
      </c>
      <c r="U25">
        <f>HYPERLINK("https://klasma.github.io/Logging_2029/knärot/A 50360-2022 karta knärot.png", "A 50360-2022")</f>
        <v/>
      </c>
      <c r="V25">
        <f>HYPERLINK("https://klasma.github.io/Logging_2029/klagomål/A 50360-2022 FSC-klagomål.docx", "A 50360-2022")</f>
        <v/>
      </c>
      <c r="W25">
        <f>HYPERLINK("https://klasma.github.io/Logging_2029/klagomålsmail/A 50360-2022 FSC-klagomål mail.docx", "A 50360-2022")</f>
        <v/>
      </c>
      <c r="X25">
        <f>HYPERLINK("https://klasma.github.io/Logging_2029/tillsyn/A 50360-2022 tillsynsbegäran.docx", "A 50360-2022")</f>
        <v/>
      </c>
      <c r="Y25">
        <f>HYPERLINK("https://klasma.github.io/Logging_2029/tillsynsmail/A 50360-2022 tillsynsbegäran mail.docx", "A 50360-2022")</f>
        <v/>
      </c>
    </row>
    <row r="26" ht="15" customHeight="1">
      <c r="A26" t="inlineStr">
        <is>
          <t>A 6977-2023</t>
        </is>
      </c>
      <c r="B26" s="1" t="n">
        <v>44967</v>
      </c>
      <c r="C26" s="1" t="n">
        <v>45347</v>
      </c>
      <c r="D26" t="inlineStr">
        <is>
          <t>DALARNAS LÄN</t>
        </is>
      </c>
      <c r="E26" t="inlineStr">
        <is>
          <t>LEKSAND</t>
        </is>
      </c>
      <c r="G26" t="n">
        <v>5</v>
      </c>
      <c r="H26" t="n">
        <v>0</v>
      </c>
      <c r="I26" t="n">
        <v>0</v>
      </c>
      <c r="J26" t="n">
        <v>1</v>
      </c>
      <c r="K26" t="n">
        <v>0</v>
      </c>
      <c r="L26" t="n">
        <v>0</v>
      </c>
      <c r="M26" t="n">
        <v>0</v>
      </c>
      <c r="N26" t="n">
        <v>0</v>
      </c>
      <c r="O26" t="n">
        <v>1</v>
      </c>
      <c r="P26" t="n">
        <v>0</v>
      </c>
      <c r="Q26" t="n">
        <v>1</v>
      </c>
      <c r="R26" s="2" t="inlineStr">
        <is>
          <t>Backstarr</t>
        </is>
      </c>
      <c r="S26">
        <f>HYPERLINK("https://klasma.github.io/Logging_2029/artfynd/A 6977-2023 artfynd.xlsx", "A 6977-2023")</f>
        <v/>
      </c>
      <c r="T26">
        <f>HYPERLINK("https://klasma.github.io/Logging_2029/kartor/A 6977-2023 karta.png", "A 6977-2023")</f>
        <v/>
      </c>
      <c r="V26">
        <f>HYPERLINK("https://klasma.github.io/Logging_2029/klagomål/A 6977-2023 FSC-klagomål.docx", "A 6977-2023")</f>
        <v/>
      </c>
      <c r="W26">
        <f>HYPERLINK("https://klasma.github.io/Logging_2029/klagomålsmail/A 6977-2023 FSC-klagomål mail.docx", "A 6977-2023")</f>
        <v/>
      </c>
      <c r="X26">
        <f>HYPERLINK("https://klasma.github.io/Logging_2029/tillsyn/A 6977-2023 tillsynsbegäran.docx", "A 6977-2023")</f>
        <v/>
      </c>
      <c r="Y26">
        <f>HYPERLINK("https://klasma.github.io/Logging_2029/tillsynsmail/A 6977-2023 tillsynsbegäran mail.docx", "A 6977-2023")</f>
        <v/>
      </c>
    </row>
    <row r="27" ht="15" customHeight="1">
      <c r="A27" t="inlineStr">
        <is>
          <t>A 8529-2023</t>
        </is>
      </c>
      <c r="B27" s="1" t="n">
        <v>44977</v>
      </c>
      <c r="C27" s="1" t="n">
        <v>45347</v>
      </c>
      <c r="D27" t="inlineStr">
        <is>
          <t>DALARNAS LÄN</t>
        </is>
      </c>
      <c r="E27" t="inlineStr">
        <is>
          <t>LEKSAND</t>
        </is>
      </c>
      <c r="G27" t="n">
        <v>2.7</v>
      </c>
      <c r="H27" t="n">
        <v>1</v>
      </c>
      <c r="I27" t="n">
        <v>0</v>
      </c>
      <c r="J27" t="n">
        <v>0</v>
      </c>
      <c r="K27" t="n">
        <v>1</v>
      </c>
      <c r="L27" t="n">
        <v>0</v>
      </c>
      <c r="M27" t="n">
        <v>0</v>
      </c>
      <c r="N27" t="n">
        <v>0</v>
      </c>
      <c r="O27" t="n">
        <v>1</v>
      </c>
      <c r="P27" t="n">
        <v>1</v>
      </c>
      <c r="Q27" t="n">
        <v>1</v>
      </c>
      <c r="R27" s="2" t="inlineStr">
        <is>
          <t>Knärot</t>
        </is>
      </c>
      <c r="S27">
        <f>HYPERLINK("https://klasma.github.io/Logging_2029/artfynd/A 8529-2023 artfynd.xlsx", "A 8529-2023")</f>
        <v/>
      </c>
      <c r="T27">
        <f>HYPERLINK("https://klasma.github.io/Logging_2029/kartor/A 8529-2023 karta.png", "A 8529-2023")</f>
        <v/>
      </c>
      <c r="U27">
        <f>HYPERLINK("https://klasma.github.io/Logging_2029/knärot/A 8529-2023 karta knärot.png", "A 8529-2023")</f>
        <v/>
      </c>
      <c r="V27">
        <f>HYPERLINK("https://klasma.github.io/Logging_2029/klagomål/A 8529-2023 FSC-klagomål.docx", "A 8529-2023")</f>
        <v/>
      </c>
      <c r="W27">
        <f>HYPERLINK("https://klasma.github.io/Logging_2029/klagomålsmail/A 8529-2023 FSC-klagomål mail.docx", "A 8529-2023")</f>
        <v/>
      </c>
      <c r="X27">
        <f>HYPERLINK("https://klasma.github.io/Logging_2029/tillsyn/A 8529-2023 tillsynsbegäran.docx", "A 8529-2023")</f>
        <v/>
      </c>
      <c r="Y27">
        <f>HYPERLINK("https://klasma.github.io/Logging_2029/tillsynsmail/A 8529-2023 tillsynsbegäran mail.docx", "A 8529-2023")</f>
        <v/>
      </c>
    </row>
    <row r="28" ht="15" customHeight="1">
      <c r="A28" t="inlineStr">
        <is>
          <t>A 11754-2023</t>
        </is>
      </c>
      <c r="B28" s="1" t="n">
        <v>44993</v>
      </c>
      <c r="C28" s="1" t="n">
        <v>45347</v>
      </c>
      <c r="D28" t="inlineStr">
        <is>
          <t>DALARNAS LÄN</t>
        </is>
      </c>
      <c r="E28" t="inlineStr">
        <is>
          <t>LEKSAND</t>
        </is>
      </c>
      <c r="G28" t="n">
        <v>4.7</v>
      </c>
      <c r="H28" t="n">
        <v>1</v>
      </c>
      <c r="I28" t="n">
        <v>0</v>
      </c>
      <c r="J28" t="n">
        <v>0</v>
      </c>
      <c r="K28" t="n">
        <v>1</v>
      </c>
      <c r="L28" t="n">
        <v>0</v>
      </c>
      <c r="M28" t="n">
        <v>0</v>
      </c>
      <c r="N28" t="n">
        <v>0</v>
      </c>
      <c r="O28" t="n">
        <v>1</v>
      </c>
      <c r="P28" t="n">
        <v>1</v>
      </c>
      <c r="Q28" t="n">
        <v>1</v>
      </c>
      <c r="R28" s="2" t="inlineStr">
        <is>
          <t>Knärot</t>
        </is>
      </c>
      <c r="S28">
        <f>HYPERLINK("https://klasma.github.io/Logging_2029/artfynd/A 11754-2023 artfynd.xlsx", "A 11754-2023")</f>
        <v/>
      </c>
      <c r="T28">
        <f>HYPERLINK("https://klasma.github.io/Logging_2029/kartor/A 11754-2023 karta.png", "A 11754-2023")</f>
        <v/>
      </c>
      <c r="U28">
        <f>HYPERLINK("https://klasma.github.io/Logging_2029/knärot/A 11754-2023 karta knärot.png", "A 11754-2023")</f>
        <v/>
      </c>
      <c r="V28">
        <f>HYPERLINK("https://klasma.github.io/Logging_2029/klagomål/A 11754-2023 FSC-klagomål.docx", "A 11754-2023")</f>
        <v/>
      </c>
      <c r="W28">
        <f>HYPERLINK("https://klasma.github.io/Logging_2029/klagomålsmail/A 11754-2023 FSC-klagomål mail.docx", "A 11754-2023")</f>
        <v/>
      </c>
      <c r="X28">
        <f>HYPERLINK("https://klasma.github.io/Logging_2029/tillsyn/A 11754-2023 tillsynsbegäran.docx", "A 11754-2023")</f>
        <v/>
      </c>
      <c r="Y28">
        <f>HYPERLINK("https://klasma.github.io/Logging_2029/tillsynsmail/A 11754-2023 tillsynsbegäran mail.docx", "A 11754-2023")</f>
        <v/>
      </c>
    </row>
    <row r="29" ht="15" customHeight="1">
      <c r="A29" t="inlineStr">
        <is>
          <t>A 15432-2023</t>
        </is>
      </c>
      <c r="B29" s="1" t="n">
        <v>45020</v>
      </c>
      <c r="C29" s="1" t="n">
        <v>45347</v>
      </c>
      <c r="D29" t="inlineStr">
        <is>
          <t>DALARNAS LÄN</t>
        </is>
      </c>
      <c r="E29" t="inlineStr">
        <is>
          <t>LEKSAND</t>
        </is>
      </c>
      <c r="G29" t="n">
        <v>2.5</v>
      </c>
      <c r="H29" t="n">
        <v>0</v>
      </c>
      <c r="I29" t="n">
        <v>1</v>
      </c>
      <c r="J29" t="n">
        <v>0</v>
      </c>
      <c r="K29" t="n">
        <v>0</v>
      </c>
      <c r="L29" t="n">
        <v>0</v>
      </c>
      <c r="M29" t="n">
        <v>0</v>
      </c>
      <c r="N29" t="n">
        <v>0</v>
      </c>
      <c r="O29" t="n">
        <v>0</v>
      </c>
      <c r="P29" t="n">
        <v>0</v>
      </c>
      <c r="Q29" t="n">
        <v>1</v>
      </c>
      <c r="R29" s="2" t="inlineStr">
        <is>
          <t>Mindre märgborre</t>
        </is>
      </c>
      <c r="S29">
        <f>HYPERLINK("https://klasma.github.io/Logging_2029/artfynd/A 15432-2023 artfynd.xlsx", "A 15432-2023")</f>
        <v/>
      </c>
      <c r="T29">
        <f>HYPERLINK("https://klasma.github.io/Logging_2029/kartor/A 15432-2023 karta.png", "A 15432-2023")</f>
        <v/>
      </c>
      <c r="V29">
        <f>HYPERLINK("https://klasma.github.io/Logging_2029/klagomål/A 15432-2023 FSC-klagomål.docx", "A 15432-2023")</f>
        <v/>
      </c>
      <c r="W29">
        <f>HYPERLINK("https://klasma.github.io/Logging_2029/klagomålsmail/A 15432-2023 FSC-klagomål mail.docx", "A 15432-2023")</f>
        <v/>
      </c>
      <c r="X29">
        <f>HYPERLINK("https://klasma.github.io/Logging_2029/tillsyn/A 15432-2023 tillsynsbegäran.docx", "A 15432-2023")</f>
        <v/>
      </c>
      <c r="Y29">
        <f>HYPERLINK("https://klasma.github.io/Logging_2029/tillsynsmail/A 15432-2023 tillsynsbegäran mail.docx", "A 15432-2023")</f>
        <v/>
      </c>
    </row>
    <row r="30" ht="15" customHeight="1">
      <c r="A30" t="inlineStr">
        <is>
          <t>A 17899-2023</t>
        </is>
      </c>
      <c r="B30" s="1" t="n">
        <v>45039</v>
      </c>
      <c r="C30" s="1" t="n">
        <v>45347</v>
      </c>
      <c r="D30" t="inlineStr">
        <is>
          <t>DALARNAS LÄN</t>
        </is>
      </c>
      <c r="E30" t="inlineStr">
        <is>
          <t>LEKSAND</t>
        </is>
      </c>
      <c r="G30" t="n">
        <v>1.9</v>
      </c>
      <c r="H30" t="n">
        <v>0</v>
      </c>
      <c r="I30" t="n">
        <v>0</v>
      </c>
      <c r="J30" t="n">
        <v>1</v>
      </c>
      <c r="K30" t="n">
        <v>0</v>
      </c>
      <c r="L30" t="n">
        <v>0</v>
      </c>
      <c r="M30" t="n">
        <v>0</v>
      </c>
      <c r="N30" t="n">
        <v>0</v>
      </c>
      <c r="O30" t="n">
        <v>1</v>
      </c>
      <c r="P30" t="n">
        <v>0</v>
      </c>
      <c r="Q30" t="n">
        <v>1</v>
      </c>
      <c r="R30" s="2" t="inlineStr">
        <is>
          <t>Grantaggsvamp</t>
        </is>
      </c>
      <c r="S30">
        <f>HYPERLINK("https://klasma.github.io/Logging_2029/artfynd/A 17899-2023 artfynd.xlsx", "A 17899-2023")</f>
        <v/>
      </c>
      <c r="T30">
        <f>HYPERLINK("https://klasma.github.io/Logging_2029/kartor/A 17899-2023 karta.png", "A 17899-2023")</f>
        <v/>
      </c>
      <c r="V30">
        <f>HYPERLINK("https://klasma.github.io/Logging_2029/klagomål/A 17899-2023 FSC-klagomål.docx", "A 17899-2023")</f>
        <v/>
      </c>
      <c r="W30">
        <f>HYPERLINK("https://klasma.github.io/Logging_2029/klagomålsmail/A 17899-2023 FSC-klagomål mail.docx", "A 17899-2023")</f>
        <v/>
      </c>
      <c r="X30">
        <f>HYPERLINK("https://klasma.github.io/Logging_2029/tillsyn/A 17899-2023 tillsynsbegäran.docx", "A 17899-2023")</f>
        <v/>
      </c>
      <c r="Y30">
        <f>HYPERLINK("https://klasma.github.io/Logging_2029/tillsynsmail/A 17899-2023 tillsynsbegäran mail.docx", "A 17899-2023")</f>
        <v/>
      </c>
    </row>
    <row r="31" ht="15" customHeight="1">
      <c r="A31" t="inlineStr">
        <is>
          <t>A 21419-2023</t>
        </is>
      </c>
      <c r="B31" s="1" t="n">
        <v>45061</v>
      </c>
      <c r="C31" s="1" t="n">
        <v>45347</v>
      </c>
      <c r="D31" t="inlineStr">
        <is>
          <t>DALARNAS LÄN</t>
        </is>
      </c>
      <c r="E31" t="inlineStr">
        <is>
          <t>LEKSAND</t>
        </is>
      </c>
      <c r="G31" t="n">
        <v>5.5</v>
      </c>
      <c r="H31" t="n">
        <v>1</v>
      </c>
      <c r="I31" t="n">
        <v>0</v>
      </c>
      <c r="J31" t="n">
        <v>0</v>
      </c>
      <c r="K31" t="n">
        <v>0</v>
      </c>
      <c r="L31" t="n">
        <v>0</v>
      </c>
      <c r="M31" t="n">
        <v>0</v>
      </c>
      <c r="N31" t="n">
        <v>0</v>
      </c>
      <c r="O31" t="n">
        <v>0</v>
      </c>
      <c r="P31" t="n">
        <v>0</v>
      </c>
      <c r="Q31" t="n">
        <v>1</v>
      </c>
      <c r="R31" s="2" t="inlineStr">
        <is>
          <t>Nattviol</t>
        </is>
      </c>
      <c r="S31">
        <f>HYPERLINK("https://klasma.github.io/Logging_2029/artfynd/A 21419-2023 artfynd.xlsx", "A 21419-2023")</f>
        <v/>
      </c>
      <c r="T31">
        <f>HYPERLINK("https://klasma.github.io/Logging_2029/kartor/A 21419-2023 karta.png", "A 21419-2023")</f>
        <v/>
      </c>
      <c r="V31">
        <f>HYPERLINK("https://klasma.github.io/Logging_2029/klagomål/A 21419-2023 FSC-klagomål.docx", "A 21419-2023")</f>
        <v/>
      </c>
      <c r="W31">
        <f>HYPERLINK("https://klasma.github.io/Logging_2029/klagomålsmail/A 21419-2023 FSC-klagomål mail.docx", "A 21419-2023")</f>
        <v/>
      </c>
      <c r="X31">
        <f>HYPERLINK("https://klasma.github.io/Logging_2029/tillsyn/A 21419-2023 tillsynsbegäran.docx", "A 21419-2023")</f>
        <v/>
      </c>
      <c r="Y31">
        <f>HYPERLINK("https://klasma.github.io/Logging_2029/tillsynsmail/A 21419-2023 tillsynsbegäran mail.docx", "A 21419-2023")</f>
        <v/>
      </c>
    </row>
    <row r="32" ht="15" customHeight="1">
      <c r="A32" t="inlineStr">
        <is>
          <t>A 26287-2023</t>
        </is>
      </c>
      <c r="B32" s="1" t="n">
        <v>45091</v>
      </c>
      <c r="C32" s="1" t="n">
        <v>45347</v>
      </c>
      <c r="D32" t="inlineStr">
        <is>
          <t>DALARNAS LÄN</t>
        </is>
      </c>
      <c r="E32" t="inlineStr">
        <is>
          <t>LEKSAND</t>
        </is>
      </c>
      <c r="G32" t="n">
        <v>2.4</v>
      </c>
      <c r="H32" t="n">
        <v>0</v>
      </c>
      <c r="I32" t="n">
        <v>1</v>
      </c>
      <c r="J32" t="n">
        <v>0</v>
      </c>
      <c r="K32" t="n">
        <v>0</v>
      </c>
      <c r="L32" t="n">
        <v>0</v>
      </c>
      <c r="M32" t="n">
        <v>0</v>
      </c>
      <c r="N32" t="n">
        <v>0</v>
      </c>
      <c r="O32" t="n">
        <v>0</v>
      </c>
      <c r="P32" t="n">
        <v>0</v>
      </c>
      <c r="Q32" t="n">
        <v>1</v>
      </c>
      <c r="R32" s="2" t="inlineStr">
        <is>
          <t>Mindre märgborre</t>
        </is>
      </c>
      <c r="S32">
        <f>HYPERLINK("https://klasma.github.io/Logging_2029/artfynd/A 26287-2023 artfynd.xlsx", "A 26287-2023")</f>
        <v/>
      </c>
      <c r="T32">
        <f>HYPERLINK("https://klasma.github.io/Logging_2029/kartor/A 26287-2023 karta.png", "A 26287-2023")</f>
        <v/>
      </c>
      <c r="V32">
        <f>HYPERLINK("https://klasma.github.io/Logging_2029/klagomål/A 26287-2023 FSC-klagomål.docx", "A 26287-2023")</f>
        <v/>
      </c>
      <c r="W32">
        <f>HYPERLINK("https://klasma.github.io/Logging_2029/klagomålsmail/A 26287-2023 FSC-klagomål mail.docx", "A 26287-2023")</f>
        <v/>
      </c>
      <c r="X32">
        <f>HYPERLINK("https://klasma.github.io/Logging_2029/tillsyn/A 26287-2023 tillsynsbegäran.docx", "A 26287-2023")</f>
        <v/>
      </c>
      <c r="Y32">
        <f>HYPERLINK("https://klasma.github.io/Logging_2029/tillsynsmail/A 26287-2023 tillsynsbegäran mail.docx", "A 26287-2023")</f>
        <v/>
      </c>
    </row>
    <row r="33" ht="15" customHeight="1">
      <c r="A33" t="inlineStr">
        <is>
          <t>A 47803-2023</t>
        </is>
      </c>
      <c r="B33" s="1" t="n">
        <v>45204</v>
      </c>
      <c r="C33" s="1" t="n">
        <v>45347</v>
      </c>
      <c r="D33" t="inlineStr">
        <is>
          <t>DALARNAS LÄN</t>
        </is>
      </c>
      <c r="E33" t="inlineStr">
        <is>
          <t>LEKSAND</t>
        </is>
      </c>
      <c r="G33" t="n">
        <v>2</v>
      </c>
      <c r="H33" t="n">
        <v>1</v>
      </c>
      <c r="I33" t="n">
        <v>0</v>
      </c>
      <c r="J33" t="n">
        <v>0</v>
      </c>
      <c r="K33" t="n">
        <v>1</v>
      </c>
      <c r="L33" t="n">
        <v>0</v>
      </c>
      <c r="M33" t="n">
        <v>0</v>
      </c>
      <c r="N33" t="n">
        <v>0</v>
      </c>
      <c r="O33" t="n">
        <v>1</v>
      </c>
      <c r="P33" t="n">
        <v>1</v>
      </c>
      <c r="Q33" t="n">
        <v>1</v>
      </c>
      <c r="R33" s="2" t="inlineStr">
        <is>
          <t>Lappuggla</t>
        </is>
      </c>
      <c r="S33">
        <f>HYPERLINK("https://klasma.github.io/Logging_2029/artfynd/A 47803-2023 artfynd.xlsx", "A 47803-2023")</f>
        <v/>
      </c>
      <c r="T33">
        <f>HYPERLINK("https://klasma.github.io/Logging_2029/kartor/A 47803-2023 karta.png", "A 47803-2023")</f>
        <v/>
      </c>
      <c r="V33">
        <f>HYPERLINK("https://klasma.github.io/Logging_2029/klagomål/A 47803-2023 FSC-klagomål.docx", "A 47803-2023")</f>
        <v/>
      </c>
      <c r="W33">
        <f>HYPERLINK("https://klasma.github.io/Logging_2029/klagomålsmail/A 47803-2023 FSC-klagomål mail.docx", "A 47803-2023")</f>
        <v/>
      </c>
      <c r="X33">
        <f>HYPERLINK("https://klasma.github.io/Logging_2029/tillsyn/A 47803-2023 tillsynsbegäran.docx", "A 47803-2023")</f>
        <v/>
      </c>
      <c r="Y33">
        <f>HYPERLINK("https://klasma.github.io/Logging_2029/tillsynsmail/A 47803-2023 tillsynsbegäran mail.docx", "A 47803-2023")</f>
        <v/>
      </c>
      <c r="Z33">
        <f>HYPERLINK("https://klasma.github.io/Logging_2029/fåglar/A 47803-2023 prioriterade fågelarter.docx", "A 47803-2023")</f>
        <v/>
      </c>
    </row>
    <row r="34" ht="15" customHeight="1">
      <c r="A34" t="inlineStr">
        <is>
          <t>A 53262-2023</t>
        </is>
      </c>
      <c r="B34" s="1" t="n">
        <v>45229</v>
      </c>
      <c r="C34" s="1" t="n">
        <v>45347</v>
      </c>
      <c r="D34" t="inlineStr">
        <is>
          <t>DALARNAS LÄN</t>
        </is>
      </c>
      <c r="E34" t="inlineStr">
        <is>
          <t>LEKSAND</t>
        </is>
      </c>
      <c r="G34" t="n">
        <v>6.1</v>
      </c>
      <c r="H34" t="n">
        <v>1</v>
      </c>
      <c r="I34" t="n">
        <v>0</v>
      </c>
      <c r="J34" t="n">
        <v>0</v>
      </c>
      <c r="K34" t="n">
        <v>0</v>
      </c>
      <c r="L34" t="n">
        <v>1</v>
      </c>
      <c r="M34" t="n">
        <v>0</v>
      </c>
      <c r="N34" t="n">
        <v>0</v>
      </c>
      <c r="O34" t="n">
        <v>1</v>
      </c>
      <c r="P34" t="n">
        <v>1</v>
      </c>
      <c r="Q34" t="n">
        <v>1</v>
      </c>
      <c r="R34" s="2" t="inlineStr">
        <is>
          <t>Mosippa</t>
        </is>
      </c>
      <c r="S34">
        <f>HYPERLINK("https://klasma.github.io/Logging_2029/artfynd/A 53262-2023 artfynd.xlsx", "A 53262-2023")</f>
        <v/>
      </c>
      <c r="T34">
        <f>HYPERLINK("https://klasma.github.io/Logging_2029/kartor/A 53262-2023 karta.png", "A 53262-2023")</f>
        <v/>
      </c>
      <c r="V34">
        <f>HYPERLINK("https://klasma.github.io/Logging_2029/klagomål/A 53262-2023 FSC-klagomål.docx", "A 53262-2023")</f>
        <v/>
      </c>
      <c r="W34">
        <f>HYPERLINK("https://klasma.github.io/Logging_2029/klagomålsmail/A 53262-2023 FSC-klagomål mail.docx", "A 53262-2023")</f>
        <v/>
      </c>
      <c r="X34">
        <f>HYPERLINK("https://klasma.github.io/Logging_2029/tillsyn/A 53262-2023 tillsynsbegäran.docx", "A 53262-2023")</f>
        <v/>
      </c>
      <c r="Y34">
        <f>HYPERLINK("https://klasma.github.io/Logging_2029/tillsynsmail/A 53262-2023 tillsynsbegäran mail.docx", "A 53262-2023")</f>
        <v/>
      </c>
    </row>
    <row r="35" ht="15" customHeight="1">
      <c r="A35" t="inlineStr">
        <is>
          <t>A 59205-2023</t>
        </is>
      </c>
      <c r="B35" s="1" t="n">
        <v>45251</v>
      </c>
      <c r="C35" s="1" t="n">
        <v>45347</v>
      </c>
      <c r="D35" t="inlineStr">
        <is>
          <t>DALARNAS LÄN</t>
        </is>
      </c>
      <c r="E35" t="inlineStr">
        <is>
          <t>LEKSAND</t>
        </is>
      </c>
      <c r="G35" t="n">
        <v>1.9</v>
      </c>
      <c r="H35" t="n">
        <v>1</v>
      </c>
      <c r="I35" t="n">
        <v>0</v>
      </c>
      <c r="J35" t="n">
        <v>0</v>
      </c>
      <c r="K35" t="n">
        <v>0</v>
      </c>
      <c r="L35" t="n">
        <v>0</v>
      </c>
      <c r="M35" t="n">
        <v>0</v>
      </c>
      <c r="N35" t="n">
        <v>0</v>
      </c>
      <c r="O35" t="n">
        <v>0</v>
      </c>
      <c r="P35" t="n">
        <v>0</v>
      </c>
      <c r="Q35" t="n">
        <v>1</v>
      </c>
      <c r="R35" s="2" t="inlineStr">
        <is>
          <t>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60238-2023</t>
        </is>
      </c>
      <c r="B36" s="1" t="n">
        <v>45258</v>
      </c>
      <c r="C36" s="1" t="n">
        <v>45347</v>
      </c>
      <c r="D36" t="inlineStr">
        <is>
          <t>DALARNAS LÄN</t>
        </is>
      </c>
      <c r="E36" t="inlineStr">
        <is>
          <t>LEKSAND</t>
        </is>
      </c>
      <c r="G36" t="n">
        <v>3.2</v>
      </c>
      <c r="H36" t="n">
        <v>1</v>
      </c>
      <c r="I36" t="n">
        <v>0</v>
      </c>
      <c r="J36" t="n">
        <v>0</v>
      </c>
      <c r="K36" t="n">
        <v>0</v>
      </c>
      <c r="L36" t="n">
        <v>0</v>
      </c>
      <c r="M36" t="n">
        <v>0</v>
      </c>
      <c r="N36" t="n">
        <v>0</v>
      </c>
      <c r="O36" t="n">
        <v>0</v>
      </c>
      <c r="P36" t="n">
        <v>0</v>
      </c>
      <c r="Q36" t="n">
        <v>1</v>
      </c>
      <c r="R36" s="2" t="inlineStr">
        <is>
          <t>Blåsippa</t>
        </is>
      </c>
      <c r="S36">
        <f>HYPERLINK("https://klasma.github.io/Logging_2029/artfynd/A 60238-2023 artfynd.xlsx", "A 60238-2023")</f>
        <v/>
      </c>
      <c r="T36">
        <f>HYPERLINK("https://klasma.github.io/Logging_2029/kartor/A 60238-2023 karta.png", "A 60238-2023")</f>
        <v/>
      </c>
      <c r="V36">
        <f>HYPERLINK("https://klasma.github.io/Logging_2029/klagomål/A 60238-2023 FSC-klagomål.docx", "A 60238-2023")</f>
        <v/>
      </c>
      <c r="W36">
        <f>HYPERLINK("https://klasma.github.io/Logging_2029/klagomålsmail/A 60238-2023 FSC-klagomål mail.docx", "A 60238-2023")</f>
        <v/>
      </c>
      <c r="X36">
        <f>HYPERLINK("https://klasma.github.io/Logging_2029/tillsyn/A 60238-2023 tillsynsbegäran.docx", "A 60238-2023")</f>
        <v/>
      </c>
      <c r="Y36">
        <f>HYPERLINK("https://klasma.github.io/Logging_2029/tillsynsmail/A 60238-2023 tillsynsbegäran mail.docx", "A 60238-2023")</f>
        <v/>
      </c>
    </row>
    <row r="37" ht="15" customHeight="1">
      <c r="A37" t="inlineStr">
        <is>
          <t>A 164-2024</t>
        </is>
      </c>
      <c r="B37" s="1" t="n">
        <v>45294</v>
      </c>
      <c r="C37" s="1" t="n">
        <v>45347</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988-2024</t>
        </is>
      </c>
      <c r="B38" s="1" t="n">
        <v>45301</v>
      </c>
      <c r="C38" s="1" t="n">
        <v>45347</v>
      </c>
      <c r="D38" t="inlineStr">
        <is>
          <t>DALARNAS LÄN</t>
        </is>
      </c>
      <c r="E38" t="inlineStr">
        <is>
          <t>LEKSAND</t>
        </is>
      </c>
      <c r="G38" t="n">
        <v>2.2</v>
      </c>
      <c r="H38" t="n">
        <v>1</v>
      </c>
      <c r="I38" t="n">
        <v>0</v>
      </c>
      <c r="J38" t="n">
        <v>0</v>
      </c>
      <c r="K38" t="n">
        <v>0</v>
      </c>
      <c r="L38" t="n">
        <v>0</v>
      </c>
      <c r="M38" t="n">
        <v>0</v>
      </c>
      <c r="N38" t="n">
        <v>0</v>
      </c>
      <c r="O38" t="n">
        <v>0</v>
      </c>
      <c r="P38" t="n">
        <v>0</v>
      </c>
      <c r="Q38" t="n">
        <v>1</v>
      </c>
      <c r="R38" s="2" t="inlineStr">
        <is>
          <t>Nattviol</t>
        </is>
      </c>
      <c r="S38">
        <f>HYPERLINK("https://klasma.github.io/Logging_2029/artfynd/A 988-2024 artfynd.xlsx", "A 988-2024")</f>
        <v/>
      </c>
      <c r="T38">
        <f>HYPERLINK("https://klasma.github.io/Logging_2029/kartor/A 988-2024 karta.png", "A 988-2024")</f>
        <v/>
      </c>
      <c r="V38">
        <f>HYPERLINK("https://klasma.github.io/Logging_2029/klagomål/A 988-2024 FSC-klagomål.docx", "A 988-2024")</f>
        <v/>
      </c>
      <c r="W38">
        <f>HYPERLINK("https://klasma.github.io/Logging_2029/klagomålsmail/A 988-2024 FSC-klagomål mail.docx", "A 988-2024")</f>
        <v/>
      </c>
      <c r="X38">
        <f>HYPERLINK("https://klasma.github.io/Logging_2029/tillsyn/A 988-2024 tillsynsbegäran.docx", "A 988-2024")</f>
        <v/>
      </c>
      <c r="Y38">
        <f>HYPERLINK("https://klasma.github.io/Logging_2029/tillsynsmail/A 988-2024 tillsynsbegäran mail.docx", "A 988-2024")</f>
        <v/>
      </c>
    </row>
    <row r="39" ht="15" customHeight="1">
      <c r="A39" t="inlineStr">
        <is>
          <t>A 34219-2018</t>
        </is>
      </c>
      <c r="B39" s="1" t="n">
        <v>43318</v>
      </c>
      <c r="C39" s="1" t="n">
        <v>45347</v>
      </c>
      <c r="D39" t="inlineStr">
        <is>
          <t>DALARNAS LÄN</t>
        </is>
      </c>
      <c r="E39" t="inlineStr">
        <is>
          <t>LEKSAND</t>
        </is>
      </c>
      <c r="G39" t="n">
        <v>0.6</v>
      </c>
      <c r="H39" t="n">
        <v>0</v>
      </c>
      <c r="I39" t="n">
        <v>0</v>
      </c>
      <c r="J39" t="n">
        <v>0</v>
      </c>
      <c r="K39" t="n">
        <v>0</v>
      </c>
      <c r="L39" t="n">
        <v>0</v>
      </c>
      <c r="M39" t="n">
        <v>0</v>
      </c>
      <c r="N39" t="n">
        <v>0</v>
      </c>
      <c r="O39" t="n">
        <v>0</v>
      </c>
      <c r="P39" t="n">
        <v>0</v>
      </c>
      <c r="Q39" t="n">
        <v>0</v>
      </c>
      <c r="R39" s="2" t="inlineStr"/>
    </row>
    <row r="40" ht="15" customHeight="1">
      <c r="A40" t="inlineStr">
        <is>
          <t>A 34220-2018</t>
        </is>
      </c>
      <c r="B40" s="1" t="n">
        <v>43318</v>
      </c>
      <c r="C40" s="1" t="n">
        <v>45347</v>
      </c>
      <c r="D40" t="inlineStr">
        <is>
          <t>DALARNAS LÄN</t>
        </is>
      </c>
      <c r="E40" t="inlineStr">
        <is>
          <t>LEKSAND</t>
        </is>
      </c>
      <c r="G40" t="n">
        <v>0.8</v>
      </c>
      <c r="H40" t="n">
        <v>0</v>
      </c>
      <c r="I40" t="n">
        <v>0</v>
      </c>
      <c r="J40" t="n">
        <v>0</v>
      </c>
      <c r="K40" t="n">
        <v>0</v>
      </c>
      <c r="L40" t="n">
        <v>0</v>
      </c>
      <c r="M40" t="n">
        <v>0</v>
      </c>
      <c r="N40" t="n">
        <v>0</v>
      </c>
      <c r="O40" t="n">
        <v>0</v>
      </c>
      <c r="P40" t="n">
        <v>0</v>
      </c>
      <c r="Q40" t="n">
        <v>0</v>
      </c>
      <c r="R40" s="2" t="inlineStr"/>
    </row>
    <row r="41" ht="15" customHeight="1">
      <c r="A41" t="inlineStr">
        <is>
          <t>A 38789-2018</t>
        </is>
      </c>
      <c r="B41" s="1" t="n">
        <v>43336</v>
      </c>
      <c r="C41" s="1" t="n">
        <v>45347</v>
      </c>
      <c r="D41" t="inlineStr">
        <is>
          <t>DALARNAS LÄN</t>
        </is>
      </c>
      <c r="E41" t="inlineStr">
        <is>
          <t>LEKSAND</t>
        </is>
      </c>
      <c r="G41" t="n">
        <v>2.4</v>
      </c>
      <c r="H41" t="n">
        <v>0</v>
      </c>
      <c r="I41" t="n">
        <v>0</v>
      </c>
      <c r="J41" t="n">
        <v>0</v>
      </c>
      <c r="K41" t="n">
        <v>0</v>
      </c>
      <c r="L41" t="n">
        <v>0</v>
      </c>
      <c r="M41" t="n">
        <v>0</v>
      </c>
      <c r="N41" t="n">
        <v>0</v>
      </c>
      <c r="O41" t="n">
        <v>0</v>
      </c>
      <c r="P41" t="n">
        <v>0</v>
      </c>
      <c r="Q41" t="n">
        <v>0</v>
      </c>
      <c r="R41" s="2" t="inlineStr"/>
    </row>
    <row r="42" ht="15" customHeight="1">
      <c r="A42" t="inlineStr">
        <is>
          <t>A 42604-2018</t>
        </is>
      </c>
      <c r="B42" s="1" t="n">
        <v>43350</v>
      </c>
      <c r="C42" s="1" t="n">
        <v>45347</v>
      </c>
      <c r="D42" t="inlineStr">
        <is>
          <t>DALARNAS LÄN</t>
        </is>
      </c>
      <c r="E42" t="inlineStr">
        <is>
          <t>LEKSAND</t>
        </is>
      </c>
      <c r="G42" t="n">
        <v>9.9</v>
      </c>
      <c r="H42" t="n">
        <v>0</v>
      </c>
      <c r="I42" t="n">
        <v>0</v>
      </c>
      <c r="J42" t="n">
        <v>0</v>
      </c>
      <c r="K42" t="n">
        <v>0</v>
      </c>
      <c r="L42" t="n">
        <v>0</v>
      </c>
      <c r="M42" t="n">
        <v>0</v>
      </c>
      <c r="N42" t="n">
        <v>0</v>
      </c>
      <c r="O42" t="n">
        <v>0</v>
      </c>
      <c r="P42" t="n">
        <v>0</v>
      </c>
      <c r="Q42" t="n">
        <v>0</v>
      </c>
      <c r="R42" s="2" t="inlineStr"/>
    </row>
    <row r="43" ht="15" customHeight="1">
      <c r="A43" t="inlineStr">
        <is>
          <t>A 45680-2018</t>
        </is>
      </c>
      <c r="B43" s="1" t="n">
        <v>43362</v>
      </c>
      <c r="C43" s="1" t="n">
        <v>45347</v>
      </c>
      <c r="D43" t="inlineStr">
        <is>
          <t>DALARNAS LÄN</t>
        </is>
      </c>
      <c r="E43" t="inlineStr">
        <is>
          <t>LEKSAND</t>
        </is>
      </c>
      <c r="G43" t="n">
        <v>1.5</v>
      </c>
      <c r="H43" t="n">
        <v>0</v>
      </c>
      <c r="I43" t="n">
        <v>0</v>
      </c>
      <c r="J43" t="n">
        <v>0</v>
      </c>
      <c r="K43" t="n">
        <v>0</v>
      </c>
      <c r="L43" t="n">
        <v>0</v>
      </c>
      <c r="M43" t="n">
        <v>0</v>
      </c>
      <c r="N43" t="n">
        <v>0</v>
      </c>
      <c r="O43" t="n">
        <v>0</v>
      </c>
      <c r="P43" t="n">
        <v>0</v>
      </c>
      <c r="Q43" t="n">
        <v>0</v>
      </c>
      <c r="R43" s="2" t="inlineStr"/>
    </row>
    <row r="44" ht="15" customHeight="1">
      <c r="A44" t="inlineStr">
        <is>
          <t>A 46347-2018</t>
        </is>
      </c>
      <c r="B44" s="1" t="n">
        <v>43364</v>
      </c>
      <c r="C44" s="1" t="n">
        <v>45347</v>
      </c>
      <c r="D44" t="inlineStr">
        <is>
          <t>DALARNAS LÄN</t>
        </is>
      </c>
      <c r="E44" t="inlineStr">
        <is>
          <t>LEKSAND</t>
        </is>
      </c>
      <c r="G44" t="n">
        <v>1.5</v>
      </c>
      <c r="H44" t="n">
        <v>0</v>
      </c>
      <c r="I44" t="n">
        <v>0</v>
      </c>
      <c r="J44" t="n">
        <v>0</v>
      </c>
      <c r="K44" t="n">
        <v>0</v>
      </c>
      <c r="L44" t="n">
        <v>0</v>
      </c>
      <c r="M44" t="n">
        <v>0</v>
      </c>
      <c r="N44" t="n">
        <v>0</v>
      </c>
      <c r="O44" t="n">
        <v>0</v>
      </c>
      <c r="P44" t="n">
        <v>0</v>
      </c>
      <c r="Q44" t="n">
        <v>0</v>
      </c>
      <c r="R44" s="2" t="inlineStr"/>
    </row>
    <row r="45" ht="15" customHeight="1">
      <c r="A45" t="inlineStr">
        <is>
          <t>A 53584-2018</t>
        </is>
      </c>
      <c r="B45" s="1" t="n">
        <v>43388</v>
      </c>
      <c r="C45" s="1" t="n">
        <v>45347</v>
      </c>
      <c r="D45" t="inlineStr">
        <is>
          <t>DALARNAS LÄN</t>
        </is>
      </c>
      <c r="E45" t="inlineStr">
        <is>
          <t>LEKSAND</t>
        </is>
      </c>
      <c r="G45" t="n">
        <v>0.3</v>
      </c>
      <c r="H45" t="n">
        <v>0</v>
      </c>
      <c r="I45" t="n">
        <v>0</v>
      </c>
      <c r="J45" t="n">
        <v>0</v>
      </c>
      <c r="K45" t="n">
        <v>0</v>
      </c>
      <c r="L45" t="n">
        <v>0</v>
      </c>
      <c r="M45" t="n">
        <v>0</v>
      </c>
      <c r="N45" t="n">
        <v>0</v>
      </c>
      <c r="O45" t="n">
        <v>0</v>
      </c>
      <c r="P45" t="n">
        <v>0</v>
      </c>
      <c r="Q45" t="n">
        <v>0</v>
      </c>
      <c r="R45" s="2" t="inlineStr"/>
    </row>
    <row r="46" ht="15" customHeight="1">
      <c r="A46" t="inlineStr">
        <is>
          <t>A 53808-2018</t>
        </is>
      </c>
      <c r="B46" s="1" t="n">
        <v>43391</v>
      </c>
      <c r="C46" s="1" t="n">
        <v>45347</v>
      </c>
      <c r="D46" t="inlineStr">
        <is>
          <t>DALARNAS LÄN</t>
        </is>
      </c>
      <c r="E46" t="inlineStr">
        <is>
          <t>LEKSAND</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59274-2018</t>
        </is>
      </c>
      <c r="B47" s="1" t="n">
        <v>43404</v>
      </c>
      <c r="C47" s="1" t="n">
        <v>45347</v>
      </c>
      <c r="D47" t="inlineStr">
        <is>
          <t>DALARNAS LÄN</t>
        </is>
      </c>
      <c r="E47" t="inlineStr">
        <is>
          <t>LEKSAND</t>
        </is>
      </c>
      <c r="G47" t="n">
        <v>3</v>
      </c>
      <c r="H47" t="n">
        <v>0</v>
      </c>
      <c r="I47" t="n">
        <v>0</v>
      </c>
      <c r="J47" t="n">
        <v>0</v>
      </c>
      <c r="K47" t="n">
        <v>0</v>
      </c>
      <c r="L47" t="n">
        <v>0</v>
      </c>
      <c r="M47" t="n">
        <v>0</v>
      </c>
      <c r="N47" t="n">
        <v>0</v>
      </c>
      <c r="O47" t="n">
        <v>0</v>
      </c>
      <c r="P47" t="n">
        <v>0</v>
      </c>
      <c r="Q47" t="n">
        <v>0</v>
      </c>
      <c r="R47" s="2" t="inlineStr"/>
    </row>
    <row r="48" ht="15" customHeight="1">
      <c r="A48" t="inlineStr">
        <is>
          <t>A 58202-2018</t>
        </is>
      </c>
      <c r="B48" s="1" t="n">
        <v>43408</v>
      </c>
      <c r="C48" s="1" t="n">
        <v>45347</v>
      </c>
      <c r="D48" t="inlineStr">
        <is>
          <t>DALARNAS LÄN</t>
        </is>
      </c>
      <c r="E48" t="inlineStr">
        <is>
          <t>LEKSAND</t>
        </is>
      </c>
      <c r="G48" t="n">
        <v>0.8</v>
      </c>
      <c r="H48" t="n">
        <v>0</v>
      </c>
      <c r="I48" t="n">
        <v>0</v>
      </c>
      <c r="J48" t="n">
        <v>0</v>
      </c>
      <c r="K48" t="n">
        <v>0</v>
      </c>
      <c r="L48" t="n">
        <v>0</v>
      </c>
      <c r="M48" t="n">
        <v>0</v>
      </c>
      <c r="N48" t="n">
        <v>0</v>
      </c>
      <c r="O48" t="n">
        <v>0</v>
      </c>
      <c r="P48" t="n">
        <v>0</v>
      </c>
      <c r="Q48" t="n">
        <v>0</v>
      </c>
      <c r="R48" s="2" t="inlineStr"/>
    </row>
    <row r="49" ht="15" customHeight="1">
      <c r="A49" t="inlineStr">
        <is>
          <t>A 58829-2018</t>
        </is>
      </c>
      <c r="B49" s="1" t="n">
        <v>43410</v>
      </c>
      <c r="C49" s="1" t="n">
        <v>45347</v>
      </c>
      <c r="D49" t="inlineStr">
        <is>
          <t>DALARNAS LÄN</t>
        </is>
      </c>
      <c r="E49" t="inlineStr">
        <is>
          <t>LEKSAND</t>
        </is>
      </c>
      <c r="G49" t="n">
        <v>2</v>
      </c>
      <c r="H49" t="n">
        <v>0</v>
      </c>
      <c r="I49" t="n">
        <v>0</v>
      </c>
      <c r="J49" t="n">
        <v>0</v>
      </c>
      <c r="K49" t="n">
        <v>0</v>
      </c>
      <c r="L49" t="n">
        <v>0</v>
      </c>
      <c r="M49" t="n">
        <v>0</v>
      </c>
      <c r="N49" t="n">
        <v>0</v>
      </c>
      <c r="O49" t="n">
        <v>0</v>
      </c>
      <c r="P49" t="n">
        <v>0</v>
      </c>
      <c r="Q49" t="n">
        <v>0</v>
      </c>
      <c r="R49" s="2" t="inlineStr"/>
    </row>
    <row r="50" ht="15" customHeight="1">
      <c r="A50" t="inlineStr">
        <is>
          <t>A 61564-2018</t>
        </is>
      </c>
      <c r="B50" s="1" t="n">
        <v>43413</v>
      </c>
      <c r="C50" s="1" t="n">
        <v>45347</v>
      </c>
      <c r="D50" t="inlineStr">
        <is>
          <t>DALARNAS LÄN</t>
        </is>
      </c>
      <c r="E50" t="inlineStr">
        <is>
          <t>LEKSAND</t>
        </is>
      </c>
      <c r="G50" t="n">
        <v>1.1</v>
      </c>
      <c r="H50" t="n">
        <v>0</v>
      </c>
      <c r="I50" t="n">
        <v>0</v>
      </c>
      <c r="J50" t="n">
        <v>0</v>
      </c>
      <c r="K50" t="n">
        <v>0</v>
      </c>
      <c r="L50" t="n">
        <v>0</v>
      </c>
      <c r="M50" t="n">
        <v>0</v>
      </c>
      <c r="N50" t="n">
        <v>0</v>
      </c>
      <c r="O50" t="n">
        <v>0</v>
      </c>
      <c r="P50" t="n">
        <v>0</v>
      </c>
      <c r="Q50" t="n">
        <v>0</v>
      </c>
      <c r="R50" s="2" t="inlineStr"/>
    </row>
    <row r="51" ht="15" customHeight="1">
      <c r="A51" t="inlineStr">
        <is>
          <t>A 62034-2018</t>
        </is>
      </c>
      <c r="B51" s="1" t="n">
        <v>43416</v>
      </c>
      <c r="C51" s="1" t="n">
        <v>45347</v>
      </c>
      <c r="D51" t="inlineStr">
        <is>
          <t>DALARNAS LÄN</t>
        </is>
      </c>
      <c r="E51" t="inlineStr">
        <is>
          <t>LEKSAND</t>
        </is>
      </c>
      <c r="G51" t="n">
        <v>4.2</v>
      </c>
      <c r="H51" t="n">
        <v>0</v>
      </c>
      <c r="I51" t="n">
        <v>0</v>
      </c>
      <c r="J51" t="n">
        <v>0</v>
      </c>
      <c r="K51" t="n">
        <v>0</v>
      </c>
      <c r="L51" t="n">
        <v>0</v>
      </c>
      <c r="M51" t="n">
        <v>0</v>
      </c>
      <c r="N51" t="n">
        <v>0</v>
      </c>
      <c r="O51" t="n">
        <v>0</v>
      </c>
      <c r="P51" t="n">
        <v>0</v>
      </c>
      <c r="Q51" t="n">
        <v>0</v>
      </c>
      <c r="R51" s="2" t="inlineStr"/>
    </row>
    <row r="52" ht="15" customHeight="1">
      <c r="A52" t="inlineStr">
        <is>
          <t>A 61127-2018</t>
        </is>
      </c>
      <c r="B52" s="1" t="n">
        <v>43423</v>
      </c>
      <c r="C52" s="1" t="n">
        <v>45347</v>
      </c>
      <c r="D52" t="inlineStr">
        <is>
          <t>DALARNAS LÄN</t>
        </is>
      </c>
      <c r="E52" t="inlineStr">
        <is>
          <t>LEKSAND</t>
        </is>
      </c>
      <c r="F52" t="inlineStr">
        <is>
          <t>Bergvik skog väst AB</t>
        </is>
      </c>
      <c r="G52" t="n">
        <v>6</v>
      </c>
      <c r="H52" t="n">
        <v>0</v>
      </c>
      <c r="I52" t="n">
        <v>0</v>
      </c>
      <c r="J52" t="n">
        <v>0</v>
      </c>
      <c r="K52" t="n">
        <v>0</v>
      </c>
      <c r="L52" t="n">
        <v>0</v>
      </c>
      <c r="M52" t="n">
        <v>0</v>
      </c>
      <c r="N52" t="n">
        <v>0</v>
      </c>
      <c r="O52" t="n">
        <v>0</v>
      </c>
      <c r="P52" t="n">
        <v>0</v>
      </c>
      <c r="Q52" t="n">
        <v>0</v>
      </c>
      <c r="R52" s="2" t="inlineStr"/>
    </row>
    <row r="53" ht="15" customHeight="1">
      <c r="A53" t="inlineStr">
        <is>
          <t>A 61240-2018</t>
        </is>
      </c>
      <c r="B53" s="1" t="n">
        <v>43423</v>
      </c>
      <c r="C53" s="1" t="n">
        <v>45347</v>
      </c>
      <c r="D53" t="inlineStr">
        <is>
          <t>DALARNAS LÄN</t>
        </is>
      </c>
      <c r="E53" t="inlineStr">
        <is>
          <t>LEKSAND</t>
        </is>
      </c>
      <c r="F53" t="inlineStr">
        <is>
          <t>Bergvik skog väst AB</t>
        </is>
      </c>
      <c r="G53" t="n">
        <v>3.8</v>
      </c>
      <c r="H53" t="n">
        <v>0</v>
      </c>
      <c r="I53" t="n">
        <v>0</v>
      </c>
      <c r="J53" t="n">
        <v>0</v>
      </c>
      <c r="K53" t="n">
        <v>0</v>
      </c>
      <c r="L53" t="n">
        <v>0</v>
      </c>
      <c r="M53" t="n">
        <v>0</v>
      </c>
      <c r="N53" t="n">
        <v>0</v>
      </c>
      <c r="O53" t="n">
        <v>0</v>
      </c>
      <c r="P53" t="n">
        <v>0</v>
      </c>
      <c r="Q53" t="n">
        <v>0</v>
      </c>
      <c r="R53" s="2" t="inlineStr"/>
    </row>
    <row r="54" ht="15" customHeight="1">
      <c r="A54" t="inlineStr">
        <is>
          <t>A 65585-2018</t>
        </is>
      </c>
      <c r="B54" s="1" t="n">
        <v>43425</v>
      </c>
      <c r="C54" s="1" t="n">
        <v>45347</v>
      </c>
      <c r="D54" t="inlineStr">
        <is>
          <t>DALARNAS LÄN</t>
        </is>
      </c>
      <c r="E54" t="inlineStr">
        <is>
          <t>LEKSAND</t>
        </is>
      </c>
      <c r="G54" t="n">
        <v>1.7</v>
      </c>
      <c r="H54" t="n">
        <v>0</v>
      </c>
      <c r="I54" t="n">
        <v>0</v>
      </c>
      <c r="J54" t="n">
        <v>0</v>
      </c>
      <c r="K54" t="n">
        <v>0</v>
      </c>
      <c r="L54" t="n">
        <v>0</v>
      </c>
      <c r="M54" t="n">
        <v>0</v>
      </c>
      <c r="N54" t="n">
        <v>0</v>
      </c>
      <c r="O54" t="n">
        <v>0</v>
      </c>
      <c r="P54" t="n">
        <v>0</v>
      </c>
      <c r="Q54" t="n">
        <v>0</v>
      </c>
      <c r="R54" s="2" t="inlineStr"/>
    </row>
    <row r="55" ht="15" customHeight="1">
      <c r="A55" t="inlineStr">
        <is>
          <t>A 62907-2018</t>
        </is>
      </c>
      <c r="B55" s="1" t="n">
        <v>43426</v>
      </c>
      <c r="C55" s="1" t="n">
        <v>45347</v>
      </c>
      <c r="D55" t="inlineStr">
        <is>
          <t>DALARNAS LÄN</t>
        </is>
      </c>
      <c r="E55" t="inlineStr">
        <is>
          <t>LEKSAND</t>
        </is>
      </c>
      <c r="G55" t="n">
        <v>0.5</v>
      </c>
      <c r="H55" t="n">
        <v>0</v>
      </c>
      <c r="I55" t="n">
        <v>0</v>
      </c>
      <c r="J55" t="n">
        <v>0</v>
      </c>
      <c r="K55" t="n">
        <v>0</v>
      </c>
      <c r="L55" t="n">
        <v>0</v>
      </c>
      <c r="M55" t="n">
        <v>0</v>
      </c>
      <c r="N55" t="n">
        <v>0</v>
      </c>
      <c r="O55" t="n">
        <v>0</v>
      </c>
      <c r="P55" t="n">
        <v>0</v>
      </c>
      <c r="Q55" t="n">
        <v>0</v>
      </c>
      <c r="R55" s="2" t="inlineStr"/>
    </row>
    <row r="56" ht="15" customHeight="1">
      <c r="A56" t="inlineStr">
        <is>
          <t>A 64756-2018</t>
        </is>
      </c>
      <c r="B56" s="1" t="n">
        <v>43431</v>
      </c>
      <c r="C56" s="1" t="n">
        <v>45347</v>
      </c>
      <c r="D56" t="inlineStr">
        <is>
          <t>DALARNAS LÄN</t>
        </is>
      </c>
      <c r="E56" t="inlineStr">
        <is>
          <t>LEKSAND</t>
        </is>
      </c>
      <c r="G56" t="n">
        <v>4.2</v>
      </c>
      <c r="H56" t="n">
        <v>0</v>
      </c>
      <c r="I56" t="n">
        <v>0</v>
      </c>
      <c r="J56" t="n">
        <v>0</v>
      </c>
      <c r="K56" t="n">
        <v>0</v>
      </c>
      <c r="L56" t="n">
        <v>0</v>
      </c>
      <c r="M56" t="n">
        <v>0</v>
      </c>
      <c r="N56" t="n">
        <v>0</v>
      </c>
      <c r="O56" t="n">
        <v>0</v>
      </c>
      <c r="P56" t="n">
        <v>0</v>
      </c>
      <c r="Q56" t="n">
        <v>0</v>
      </c>
      <c r="R56" s="2" t="inlineStr"/>
    </row>
    <row r="57" ht="15" customHeight="1">
      <c r="A57" t="inlineStr">
        <is>
          <t>A 65406-2018</t>
        </is>
      </c>
      <c r="B57" s="1" t="n">
        <v>43433</v>
      </c>
      <c r="C57" s="1" t="n">
        <v>45347</v>
      </c>
      <c r="D57" t="inlineStr">
        <is>
          <t>DALARNAS LÄN</t>
        </is>
      </c>
      <c r="E57" t="inlineStr">
        <is>
          <t>LEKSAND</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65395-2018</t>
        </is>
      </c>
      <c r="B58" s="1" t="n">
        <v>43433</v>
      </c>
      <c r="C58" s="1" t="n">
        <v>45347</v>
      </c>
      <c r="D58" t="inlineStr">
        <is>
          <t>DALARNAS LÄN</t>
        </is>
      </c>
      <c r="E58" t="inlineStr">
        <is>
          <t>LEKSAND</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67653-2018</t>
        </is>
      </c>
      <c r="B59" s="1" t="n">
        <v>43434</v>
      </c>
      <c r="C59" s="1" t="n">
        <v>45347</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66382-2018</t>
        </is>
      </c>
      <c r="B60" s="1" t="n">
        <v>43436</v>
      </c>
      <c r="C60" s="1" t="n">
        <v>45347</v>
      </c>
      <c r="D60" t="inlineStr">
        <is>
          <t>DALARNAS LÄN</t>
        </is>
      </c>
      <c r="E60" t="inlineStr">
        <is>
          <t>LEKSAND</t>
        </is>
      </c>
      <c r="G60" t="n">
        <v>2.2</v>
      </c>
      <c r="H60" t="n">
        <v>0</v>
      </c>
      <c r="I60" t="n">
        <v>0</v>
      </c>
      <c r="J60" t="n">
        <v>0</v>
      </c>
      <c r="K60" t="n">
        <v>0</v>
      </c>
      <c r="L60" t="n">
        <v>0</v>
      </c>
      <c r="M60" t="n">
        <v>0</v>
      </c>
      <c r="N60" t="n">
        <v>0</v>
      </c>
      <c r="O60" t="n">
        <v>0</v>
      </c>
      <c r="P60" t="n">
        <v>0</v>
      </c>
      <c r="Q60" t="n">
        <v>0</v>
      </c>
      <c r="R60" s="2" t="inlineStr"/>
    </row>
    <row r="61" ht="15" customHeight="1">
      <c r="A61" t="inlineStr">
        <is>
          <t>A 66387-2018</t>
        </is>
      </c>
      <c r="B61" s="1" t="n">
        <v>43436</v>
      </c>
      <c r="C61" s="1" t="n">
        <v>45347</v>
      </c>
      <c r="D61" t="inlineStr">
        <is>
          <t>DALARNAS LÄN</t>
        </is>
      </c>
      <c r="E61" t="inlineStr">
        <is>
          <t>LEKSAND</t>
        </is>
      </c>
      <c r="G61" t="n">
        <v>2.8</v>
      </c>
      <c r="H61" t="n">
        <v>0</v>
      </c>
      <c r="I61" t="n">
        <v>0</v>
      </c>
      <c r="J61" t="n">
        <v>0</v>
      </c>
      <c r="K61" t="n">
        <v>0</v>
      </c>
      <c r="L61" t="n">
        <v>0</v>
      </c>
      <c r="M61" t="n">
        <v>0</v>
      </c>
      <c r="N61" t="n">
        <v>0</v>
      </c>
      <c r="O61" t="n">
        <v>0</v>
      </c>
      <c r="P61" t="n">
        <v>0</v>
      </c>
      <c r="Q61" t="n">
        <v>0</v>
      </c>
      <c r="R61" s="2" t="inlineStr"/>
    </row>
    <row r="62" ht="15" customHeight="1">
      <c r="A62" t="inlineStr">
        <is>
          <t>A 66601-2018</t>
        </is>
      </c>
      <c r="B62" s="1" t="n">
        <v>43437</v>
      </c>
      <c r="C62" s="1" t="n">
        <v>45347</v>
      </c>
      <c r="D62" t="inlineStr">
        <is>
          <t>DALARNAS LÄN</t>
        </is>
      </c>
      <c r="E62" t="inlineStr">
        <is>
          <t>LEKSAND</t>
        </is>
      </c>
      <c r="F62" t="inlineStr">
        <is>
          <t>Bergvik skog väst AB</t>
        </is>
      </c>
      <c r="G62" t="n">
        <v>0.7</v>
      </c>
      <c r="H62" t="n">
        <v>0</v>
      </c>
      <c r="I62" t="n">
        <v>0</v>
      </c>
      <c r="J62" t="n">
        <v>0</v>
      </c>
      <c r="K62" t="n">
        <v>0</v>
      </c>
      <c r="L62" t="n">
        <v>0</v>
      </c>
      <c r="M62" t="n">
        <v>0</v>
      </c>
      <c r="N62" t="n">
        <v>0</v>
      </c>
      <c r="O62" t="n">
        <v>0</v>
      </c>
      <c r="P62" t="n">
        <v>0</v>
      </c>
      <c r="Q62" t="n">
        <v>0</v>
      </c>
      <c r="R62" s="2" t="inlineStr"/>
    </row>
    <row r="63" ht="15" customHeight="1">
      <c r="A63" t="inlineStr">
        <is>
          <t>A 66607-2018</t>
        </is>
      </c>
      <c r="B63" s="1" t="n">
        <v>43437</v>
      </c>
      <c r="C63" s="1" t="n">
        <v>45347</v>
      </c>
      <c r="D63" t="inlineStr">
        <is>
          <t>DALARNAS LÄN</t>
        </is>
      </c>
      <c r="E63" t="inlineStr">
        <is>
          <t>LEKSAND</t>
        </is>
      </c>
      <c r="F63" t="inlineStr">
        <is>
          <t>Bergvik skog väst AB</t>
        </is>
      </c>
      <c r="G63" t="n">
        <v>3.7</v>
      </c>
      <c r="H63" t="n">
        <v>0</v>
      </c>
      <c r="I63" t="n">
        <v>0</v>
      </c>
      <c r="J63" t="n">
        <v>0</v>
      </c>
      <c r="K63" t="n">
        <v>0</v>
      </c>
      <c r="L63" t="n">
        <v>0</v>
      </c>
      <c r="M63" t="n">
        <v>0</v>
      </c>
      <c r="N63" t="n">
        <v>0</v>
      </c>
      <c r="O63" t="n">
        <v>0</v>
      </c>
      <c r="P63" t="n">
        <v>0</v>
      </c>
      <c r="Q63" t="n">
        <v>0</v>
      </c>
      <c r="R63" s="2" t="inlineStr"/>
    </row>
    <row r="64" ht="15" customHeight="1">
      <c r="A64" t="inlineStr">
        <is>
          <t>A 68468-2018</t>
        </is>
      </c>
      <c r="B64" s="1" t="n">
        <v>43439</v>
      </c>
      <c r="C64" s="1" t="n">
        <v>45347</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69049-2018</t>
        </is>
      </c>
      <c r="B65" s="1" t="n">
        <v>43440</v>
      </c>
      <c r="C65" s="1" t="n">
        <v>45347</v>
      </c>
      <c r="D65" t="inlineStr">
        <is>
          <t>DALARNAS LÄN</t>
        </is>
      </c>
      <c r="E65" t="inlineStr">
        <is>
          <t>LEKSAND</t>
        </is>
      </c>
      <c r="G65" t="n">
        <v>1.4</v>
      </c>
      <c r="H65" t="n">
        <v>0</v>
      </c>
      <c r="I65" t="n">
        <v>0</v>
      </c>
      <c r="J65" t="n">
        <v>0</v>
      </c>
      <c r="K65" t="n">
        <v>0</v>
      </c>
      <c r="L65" t="n">
        <v>0</v>
      </c>
      <c r="M65" t="n">
        <v>0</v>
      </c>
      <c r="N65" t="n">
        <v>0</v>
      </c>
      <c r="O65" t="n">
        <v>0</v>
      </c>
      <c r="P65" t="n">
        <v>0</v>
      </c>
      <c r="Q65" t="n">
        <v>0</v>
      </c>
      <c r="R65" s="2" t="inlineStr"/>
    </row>
    <row r="66" ht="15" customHeight="1">
      <c r="A66" t="inlineStr">
        <is>
          <t>A 69061-2018</t>
        </is>
      </c>
      <c r="B66" s="1" t="n">
        <v>43441</v>
      </c>
      <c r="C66" s="1" t="n">
        <v>45347</v>
      </c>
      <c r="D66" t="inlineStr">
        <is>
          <t>DALARNAS LÄN</t>
        </is>
      </c>
      <c r="E66" t="inlineStr">
        <is>
          <t>LEKSAND</t>
        </is>
      </c>
      <c r="G66" t="n">
        <v>2.3</v>
      </c>
      <c r="H66" t="n">
        <v>0</v>
      </c>
      <c r="I66" t="n">
        <v>0</v>
      </c>
      <c r="J66" t="n">
        <v>0</v>
      </c>
      <c r="K66" t="n">
        <v>0</v>
      </c>
      <c r="L66" t="n">
        <v>0</v>
      </c>
      <c r="M66" t="n">
        <v>0</v>
      </c>
      <c r="N66" t="n">
        <v>0</v>
      </c>
      <c r="O66" t="n">
        <v>0</v>
      </c>
      <c r="P66" t="n">
        <v>0</v>
      </c>
      <c r="Q66" t="n">
        <v>0</v>
      </c>
      <c r="R66" s="2" t="inlineStr"/>
    </row>
    <row r="67" ht="15" customHeight="1">
      <c r="A67" t="inlineStr">
        <is>
          <t>A 69897-2018</t>
        </is>
      </c>
      <c r="B67" s="1" t="n">
        <v>43447</v>
      </c>
      <c r="C67" s="1" t="n">
        <v>45347</v>
      </c>
      <c r="D67" t="inlineStr">
        <is>
          <t>DALARNAS LÄN</t>
        </is>
      </c>
      <c r="E67" t="inlineStr">
        <is>
          <t>LEKSAND</t>
        </is>
      </c>
      <c r="G67" t="n">
        <v>1</v>
      </c>
      <c r="H67" t="n">
        <v>0</v>
      </c>
      <c r="I67" t="n">
        <v>0</v>
      </c>
      <c r="J67" t="n">
        <v>0</v>
      </c>
      <c r="K67" t="n">
        <v>0</v>
      </c>
      <c r="L67" t="n">
        <v>0</v>
      </c>
      <c r="M67" t="n">
        <v>0</v>
      </c>
      <c r="N67" t="n">
        <v>0</v>
      </c>
      <c r="O67" t="n">
        <v>0</v>
      </c>
      <c r="P67" t="n">
        <v>0</v>
      </c>
      <c r="Q67" t="n">
        <v>0</v>
      </c>
      <c r="R67" s="2" t="inlineStr"/>
    </row>
    <row r="68" ht="15" customHeight="1">
      <c r="A68" t="inlineStr">
        <is>
          <t>A 70015-2018</t>
        </is>
      </c>
      <c r="B68" s="1" t="n">
        <v>43448</v>
      </c>
      <c r="C68" s="1" t="n">
        <v>45347</v>
      </c>
      <c r="D68" t="inlineStr">
        <is>
          <t>DALARNAS LÄN</t>
        </is>
      </c>
      <c r="E68" t="inlineStr">
        <is>
          <t>LEKSAND</t>
        </is>
      </c>
      <c r="G68" t="n">
        <v>1.2</v>
      </c>
      <c r="H68" t="n">
        <v>0</v>
      </c>
      <c r="I68" t="n">
        <v>0</v>
      </c>
      <c r="J68" t="n">
        <v>0</v>
      </c>
      <c r="K68" t="n">
        <v>0</v>
      </c>
      <c r="L68" t="n">
        <v>0</v>
      </c>
      <c r="M68" t="n">
        <v>0</v>
      </c>
      <c r="N68" t="n">
        <v>0</v>
      </c>
      <c r="O68" t="n">
        <v>0</v>
      </c>
      <c r="P68" t="n">
        <v>0</v>
      </c>
      <c r="Q68" t="n">
        <v>0</v>
      </c>
      <c r="R68" s="2" t="inlineStr"/>
    </row>
    <row r="69" ht="15" customHeight="1">
      <c r="A69" t="inlineStr">
        <is>
          <t>A 70403-2018</t>
        </is>
      </c>
      <c r="B69" s="1" t="n">
        <v>43450</v>
      </c>
      <c r="C69" s="1" t="n">
        <v>45347</v>
      </c>
      <c r="D69" t="inlineStr">
        <is>
          <t>DALARNAS LÄN</t>
        </is>
      </c>
      <c r="E69" t="inlineStr">
        <is>
          <t>LEKSAND</t>
        </is>
      </c>
      <c r="G69" t="n">
        <v>1.5</v>
      </c>
      <c r="H69" t="n">
        <v>0</v>
      </c>
      <c r="I69" t="n">
        <v>0</v>
      </c>
      <c r="J69" t="n">
        <v>0</v>
      </c>
      <c r="K69" t="n">
        <v>0</v>
      </c>
      <c r="L69" t="n">
        <v>0</v>
      </c>
      <c r="M69" t="n">
        <v>0</v>
      </c>
      <c r="N69" t="n">
        <v>0</v>
      </c>
      <c r="O69" t="n">
        <v>0</v>
      </c>
      <c r="P69" t="n">
        <v>0</v>
      </c>
      <c r="Q69" t="n">
        <v>0</v>
      </c>
      <c r="R69" s="2" t="inlineStr"/>
    </row>
    <row r="70" ht="15" customHeight="1">
      <c r="A70" t="inlineStr">
        <is>
          <t>A 70947-2018</t>
        </is>
      </c>
      <c r="B70" s="1" t="n">
        <v>43452</v>
      </c>
      <c r="C70" s="1" t="n">
        <v>45347</v>
      </c>
      <c r="D70" t="inlineStr">
        <is>
          <t>DALARNAS LÄN</t>
        </is>
      </c>
      <c r="E70" t="inlineStr">
        <is>
          <t>LEKSAND</t>
        </is>
      </c>
      <c r="F70" t="inlineStr">
        <is>
          <t>Bergvik skog väst AB</t>
        </is>
      </c>
      <c r="G70" t="n">
        <v>2.7</v>
      </c>
      <c r="H70" t="n">
        <v>0</v>
      </c>
      <c r="I70" t="n">
        <v>0</v>
      </c>
      <c r="J70" t="n">
        <v>0</v>
      </c>
      <c r="K70" t="n">
        <v>0</v>
      </c>
      <c r="L70" t="n">
        <v>0</v>
      </c>
      <c r="M70" t="n">
        <v>0</v>
      </c>
      <c r="N70" t="n">
        <v>0</v>
      </c>
      <c r="O70" t="n">
        <v>0</v>
      </c>
      <c r="P70" t="n">
        <v>0</v>
      </c>
      <c r="Q70" t="n">
        <v>0</v>
      </c>
      <c r="R70" s="2" t="inlineStr"/>
    </row>
    <row r="71" ht="15" customHeight="1">
      <c r="A71" t="inlineStr">
        <is>
          <t>A 71040-2018</t>
        </is>
      </c>
      <c r="B71" s="1" t="n">
        <v>43452</v>
      </c>
      <c r="C71" s="1" t="n">
        <v>45347</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72512-2018</t>
        </is>
      </c>
      <c r="B72" s="1" t="n">
        <v>43454</v>
      </c>
      <c r="C72" s="1" t="n">
        <v>45347</v>
      </c>
      <c r="D72" t="inlineStr">
        <is>
          <t>DALARNAS LÄN</t>
        </is>
      </c>
      <c r="E72" t="inlineStr">
        <is>
          <t>LEKSAND</t>
        </is>
      </c>
      <c r="G72" t="n">
        <v>1.6</v>
      </c>
      <c r="H72" t="n">
        <v>0</v>
      </c>
      <c r="I72" t="n">
        <v>0</v>
      </c>
      <c r="J72" t="n">
        <v>0</v>
      </c>
      <c r="K72" t="n">
        <v>0</v>
      </c>
      <c r="L72" t="n">
        <v>0</v>
      </c>
      <c r="M72" t="n">
        <v>0</v>
      </c>
      <c r="N72" t="n">
        <v>0</v>
      </c>
      <c r="O72" t="n">
        <v>0</v>
      </c>
      <c r="P72" t="n">
        <v>0</v>
      </c>
      <c r="Q72" t="n">
        <v>0</v>
      </c>
      <c r="R72" s="2" t="inlineStr"/>
    </row>
    <row r="73" ht="15" customHeight="1">
      <c r="A73" t="inlineStr">
        <is>
          <t>A 958-2019</t>
        </is>
      </c>
      <c r="B73" s="1" t="n">
        <v>43461</v>
      </c>
      <c r="C73" s="1" t="n">
        <v>45347</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2093-2019</t>
        </is>
      </c>
      <c r="B74" s="1" t="n">
        <v>43462</v>
      </c>
      <c r="C74" s="1" t="n">
        <v>45347</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72626-2018</t>
        </is>
      </c>
      <c r="B75" s="1" t="n">
        <v>43464</v>
      </c>
      <c r="C75" s="1" t="n">
        <v>45347</v>
      </c>
      <c r="D75" t="inlineStr">
        <is>
          <t>DALARNAS LÄN</t>
        </is>
      </c>
      <c r="E75" t="inlineStr">
        <is>
          <t>LEKSAND</t>
        </is>
      </c>
      <c r="G75" t="n">
        <v>4.9</v>
      </c>
      <c r="H75" t="n">
        <v>0</v>
      </c>
      <c r="I75" t="n">
        <v>0</v>
      </c>
      <c r="J75" t="n">
        <v>0</v>
      </c>
      <c r="K75" t="n">
        <v>0</v>
      </c>
      <c r="L75" t="n">
        <v>0</v>
      </c>
      <c r="M75" t="n">
        <v>0</v>
      </c>
      <c r="N75" t="n">
        <v>0</v>
      </c>
      <c r="O75" t="n">
        <v>0</v>
      </c>
      <c r="P75" t="n">
        <v>0</v>
      </c>
      <c r="Q75" t="n">
        <v>0</v>
      </c>
      <c r="R75" s="2" t="inlineStr"/>
    </row>
    <row r="76" ht="15" customHeight="1">
      <c r="A76" t="inlineStr">
        <is>
          <t>A 760-2019</t>
        </is>
      </c>
      <c r="B76" s="1" t="n">
        <v>43471</v>
      </c>
      <c r="C76" s="1" t="n">
        <v>45347</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2666-2019</t>
        </is>
      </c>
      <c r="B77" s="1" t="n">
        <v>43478</v>
      </c>
      <c r="C77" s="1" t="n">
        <v>45347</v>
      </c>
      <c r="D77" t="inlineStr">
        <is>
          <t>DALARNAS LÄN</t>
        </is>
      </c>
      <c r="E77" t="inlineStr">
        <is>
          <t>LEKSAND</t>
        </is>
      </c>
      <c r="G77" t="n">
        <v>0.7</v>
      </c>
      <c r="H77" t="n">
        <v>0</v>
      </c>
      <c r="I77" t="n">
        <v>0</v>
      </c>
      <c r="J77" t="n">
        <v>0</v>
      </c>
      <c r="K77" t="n">
        <v>0</v>
      </c>
      <c r="L77" t="n">
        <v>0</v>
      </c>
      <c r="M77" t="n">
        <v>0</v>
      </c>
      <c r="N77" t="n">
        <v>0</v>
      </c>
      <c r="O77" t="n">
        <v>0</v>
      </c>
      <c r="P77" t="n">
        <v>0</v>
      </c>
      <c r="Q77" t="n">
        <v>0</v>
      </c>
      <c r="R77" s="2" t="inlineStr"/>
    </row>
    <row r="78" ht="15" customHeight="1">
      <c r="A78" t="inlineStr">
        <is>
          <t>A 4667-2019</t>
        </is>
      </c>
      <c r="B78" s="1" t="n">
        <v>43486</v>
      </c>
      <c r="C78" s="1" t="n">
        <v>45347</v>
      </c>
      <c r="D78" t="inlineStr">
        <is>
          <t>DALARNAS LÄN</t>
        </is>
      </c>
      <c r="E78" t="inlineStr">
        <is>
          <t>LEKSAND</t>
        </is>
      </c>
      <c r="G78" t="n">
        <v>4.3</v>
      </c>
      <c r="H78" t="n">
        <v>0</v>
      </c>
      <c r="I78" t="n">
        <v>0</v>
      </c>
      <c r="J78" t="n">
        <v>0</v>
      </c>
      <c r="K78" t="n">
        <v>0</v>
      </c>
      <c r="L78" t="n">
        <v>0</v>
      </c>
      <c r="M78" t="n">
        <v>0</v>
      </c>
      <c r="N78" t="n">
        <v>0</v>
      </c>
      <c r="O78" t="n">
        <v>0</v>
      </c>
      <c r="P78" t="n">
        <v>0</v>
      </c>
      <c r="Q78" t="n">
        <v>0</v>
      </c>
      <c r="R78" s="2" t="inlineStr"/>
    </row>
    <row r="79" ht="15" customHeight="1">
      <c r="A79" t="inlineStr">
        <is>
          <t>A 5136-2019</t>
        </is>
      </c>
      <c r="B79" s="1" t="n">
        <v>43487</v>
      </c>
      <c r="C79" s="1" t="n">
        <v>45347</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5137-2019</t>
        </is>
      </c>
      <c r="B80" s="1" t="n">
        <v>43487</v>
      </c>
      <c r="C80" s="1" t="n">
        <v>45347</v>
      </c>
      <c r="D80" t="inlineStr">
        <is>
          <t>DALARNAS LÄN</t>
        </is>
      </c>
      <c r="E80" t="inlineStr">
        <is>
          <t>LEKSAND</t>
        </is>
      </c>
      <c r="G80" t="n">
        <v>0.2</v>
      </c>
      <c r="H80" t="n">
        <v>0</v>
      </c>
      <c r="I80" t="n">
        <v>0</v>
      </c>
      <c r="J80" t="n">
        <v>0</v>
      </c>
      <c r="K80" t="n">
        <v>0</v>
      </c>
      <c r="L80" t="n">
        <v>0</v>
      </c>
      <c r="M80" t="n">
        <v>0</v>
      </c>
      <c r="N80" t="n">
        <v>0</v>
      </c>
      <c r="O80" t="n">
        <v>0</v>
      </c>
      <c r="P80" t="n">
        <v>0</v>
      </c>
      <c r="Q80" t="n">
        <v>0</v>
      </c>
      <c r="R80" s="2" t="inlineStr"/>
    </row>
    <row r="81" ht="15" customHeight="1">
      <c r="A81" t="inlineStr">
        <is>
          <t>A 5712-2019</t>
        </is>
      </c>
      <c r="B81" s="1" t="n">
        <v>43490</v>
      </c>
      <c r="C81" s="1" t="n">
        <v>45347</v>
      </c>
      <c r="D81" t="inlineStr">
        <is>
          <t>DALARNAS LÄN</t>
        </is>
      </c>
      <c r="E81" t="inlineStr">
        <is>
          <t>LEKSAND</t>
        </is>
      </c>
      <c r="G81" t="n">
        <v>5.2</v>
      </c>
      <c r="H81" t="n">
        <v>0</v>
      </c>
      <c r="I81" t="n">
        <v>0</v>
      </c>
      <c r="J81" t="n">
        <v>0</v>
      </c>
      <c r="K81" t="n">
        <v>0</v>
      </c>
      <c r="L81" t="n">
        <v>0</v>
      </c>
      <c r="M81" t="n">
        <v>0</v>
      </c>
      <c r="N81" t="n">
        <v>0</v>
      </c>
      <c r="O81" t="n">
        <v>0</v>
      </c>
      <c r="P81" t="n">
        <v>0</v>
      </c>
      <c r="Q81" t="n">
        <v>0</v>
      </c>
      <c r="R81" s="2" t="inlineStr"/>
    </row>
    <row r="82" ht="15" customHeight="1">
      <c r="A82" t="inlineStr">
        <is>
          <t>A 7655-2019</t>
        </is>
      </c>
      <c r="B82" s="1" t="n">
        <v>43493</v>
      </c>
      <c r="C82" s="1" t="n">
        <v>45347</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7596-2019</t>
        </is>
      </c>
      <c r="B83" s="1" t="n">
        <v>43498</v>
      </c>
      <c r="C83" s="1" t="n">
        <v>45347</v>
      </c>
      <c r="D83" t="inlineStr">
        <is>
          <t>DALARNAS LÄN</t>
        </is>
      </c>
      <c r="E83" t="inlineStr">
        <is>
          <t>LEKSAND</t>
        </is>
      </c>
      <c r="G83" t="n">
        <v>7.1</v>
      </c>
      <c r="H83" t="n">
        <v>0</v>
      </c>
      <c r="I83" t="n">
        <v>0</v>
      </c>
      <c r="J83" t="n">
        <v>0</v>
      </c>
      <c r="K83" t="n">
        <v>0</v>
      </c>
      <c r="L83" t="n">
        <v>0</v>
      </c>
      <c r="M83" t="n">
        <v>0</v>
      </c>
      <c r="N83" t="n">
        <v>0</v>
      </c>
      <c r="O83" t="n">
        <v>0</v>
      </c>
      <c r="P83" t="n">
        <v>0</v>
      </c>
      <c r="Q83" t="n">
        <v>0</v>
      </c>
      <c r="R83" s="2" t="inlineStr"/>
    </row>
    <row r="84" ht="15" customHeight="1">
      <c r="A84" t="inlineStr">
        <is>
          <t>A 8555-2019</t>
        </is>
      </c>
      <c r="B84" s="1" t="n">
        <v>43502</v>
      </c>
      <c r="C84" s="1" t="n">
        <v>45347</v>
      </c>
      <c r="D84" t="inlineStr">
        <is>
          <t>DALARNAS LÄN</t>
        </is>
      </c>
      <c r="E84" t="inlineStr">
        <is>
          <t>LEKSAND</t>
        </is>
      </c>
      <c r="G84" t="n">
        <v>5</v>
      </c>
      <c r="H84" t="n">
        <v>0</v>
      </c>
      <c r="I84" t="n">
        <v>0</v>
      </c>
      <c r="J84" t="n">
        <v>0</v>
      </c>
      <c r="K84" t="n">
        <v>0</v>
      </c>
      <c r="L84" t="n">
        <v>0</v>
      </c>
      <c r="M84" t="n">
        <v>0</v>
      </c>
      <c r="N84" t="n">
        <v>0</v>
      </c>
      <c r="O84" t="n">
        <v>0</v>
      </c>
      <c r="P84" t="n">
        <v>0</v>
      </c>
      <c r="Q84" t="n">
        <v>0</v>
      </c>
      <c r="R84" s="2" t="inlineStr"/>
    </row>
    <row r="85" ht="15" customHeight="1">
      <c r="A85" t="inlineStr">
        <is>
          <t>A 8542-2019</t>
        </is>
      </c>
      <c r="B85" s="1" t="n">
        <v>43502</v>
      </c>
      <c r="C85" s="1" t="n">
        <v>45347</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9301-2019</t>
        </is>
      </c>
      <c r="B86" s="1" t="n">
        <v>43507</v>
      </c>
      <c r="C86" s="1" t="n">
        <v>45347</v>
      </c>
      <c r="D86" t="inlineStr">
        <is>
          <t>DALARNAS LÄN</t>
        </is>
      </c>
      <c r="E86" t="inlineStr">
        <is>
          <t>LEKSAND</t>
        </is>
      </c>
      <c r="G86" t="n">
        <v>4.4</v>
      </c>
      <c r="H86" t="n">
        <v>0</v>
      </c>
      <c r="I86" t="n">
        <v>0</v>
      </c>
      <c r="J86" t="n">
        <v>0</v>
      </c>
      <c r="K86" t="n">
        <v>0</v>
      </c>
      <c r="L86" t="n">
        <v>0</v>
      </c>
      <c r="M86" t="n">
        <v>0</v>
      </c>
      <c r="N86" t="n">
        <v>0</v>
      </c>
      <c r="O86" t="n">
        <v>0</v>
      </c>
      <c r="P86" t="n">
        <v>0</v>
      </c>
      <c r="Q86" t="n">
        <v>0</v>
      </c>
      <c r="R86" s="2" t="inlineStr"/>
    </row>
    <row r="87" ht="15" customHeight="1">
      <c r="A87" t="inlineStr">
        <is>
          <t>A 9744-2019</t>
        </is>
      </c>
      <c r="B87" s="1" t="n">
        <v>43508</v>
      </c>
      <c r="C87" s="1" t="n">
        <v>45347</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9955-2019</t>
        </is>
      </c>
      <c r="B88" s="1" t="n">
        <v>43509</v>
      </c>
      <c r="C88" s="1" t="n">
        <v>45347</v>
      </c>
      <c r="D88" t="inlineStr">
        <is>
          <t>DALARNAS LÄN</t>
        </is>
      </c>
      <c r="E88" t="inlineStr">
        <is>
          <t>LEKSAND</t>
        </is>
      </c>
      <c r="F88" t="inlineStr">
        <is>
          <t>Kommuner</t>
        </is>
      </c>
      <c r="G88" t="n">
        <v>1.7</v>
      </c>
      <c r="H88" t="n">
        <v>0</v>
      </c>
      <c r="I88" t="n">
        <v>0</v>
      </c>
      <c r="J88" t="n">
        <v>0</v>
      </c>
      <c r="K88" t="n">
        <v>0</v>
      </c>
      <c r="L88" t="n">
        <v>0</v>
      </c>
      <c r="M88" t="n">
        <v>0</v>
      </c>
      <c r="N88" t="n">
        <v>0</v>
      </c>
      <c r="O88" t="n">
        <v>0</v>
      </c>
      <c r="P88" t="n">
        <v>0</v>
      </c>
      <c r="Q88" t="n">
        <v>0</v>
      </c>
      <c r="R88" s="2" t="inlineStr"/>
    </row>
    <row r="89" ht="15" customHeight="1">
      <c r="A89" t="inlineStr">
        <is>
          <t>A 10236-2019</t>
        </is>
      </c>
      <c r="B89" s="1" t="n">
        <v>43510</v>
      </c>
      <c r="C89" s="1" t="n">
        <v>45347</v>
      </c>
      <c r="D89" t="inlineStr">
        <is>
          <t>DALARNAS LÄN</t>
        </is>
      </c>
      <c r="E89" t="inlineStr">
        <is>
          <t>LEKSAND</t>
        </is>
      </c>
      <c r="G89" t="n">
        <v>0.2</v>
      </c>
      <c r="H89" t="n">
        <v>0</v>
      </c>
      <c r="I89" t="n">
        <v>0</v>
      </c>
      <c r="J89" t="n">
        <v>0</v>
      </c>
      <c r="K89" t="n">
        <v>0</v>
      </c>
      <c r="L89" t="n">
        <v>0</v>
      </c>
      <c r="M89" t="n">
        <v>0</v>
      </c>
      <c r="N89" t="n">
        <v>0</v>
      </c>
      <c r="O89" t="n">
        <v>0</v>
      </c>
      <c r="P89" t="n">
        <v>0</v>
      </c>
      <c r="Q89" t="n">
        <v>0</v>
      </c>
      <c r="R89" s="2" t="inlineStr"/>
    </row>
    <row r="90" ht="15" customHeight="1">
      <c r="A90" t="inlineStr">
        <is>
          <t>A 10414-2019</t>
        </is>
      </c>
      <c r="B90" s="1" t="n">
        <v>43511</v>
      </c>
      <c r="C90" s="1" t="n">
        <v>45347</v>
      </c>
      <c r="D90" t="inlineStr">
        <is>
          <t>DALARNAS LÄN</t>
        </is>
      </c>
      <c r="E90" t="inlineStr">
        <is>
          <t>LEKSAND</t>
        </is>
      </c>
      <c r="G90" t="n">
        <v>5.6</v>
      </c>
      <c r="H90" t="n">
        <v>0</v>
      </c>
      <c r="I90" t="n">
        <v>0</v>
      </c>
      <c r="J90" t="n">
        <v>0</v>
      </c>
      <c r="K90" t="n">
        <v>0</v>
      </c>
      <c r="L90" t="n">
        <v>0</v>
      </c>
      <c r="M90" t="n">
        <v>0</v>
      </c>
      <c r="N90" t="n">
        <v>0</v>
      </c>
      <c r="O90" t="n">
        <v>0</v>
      </c>
      <c r="P90" t="n">
        <v>0</v>
      </c>
      <c r="Q90" t="n">
        <v>0</v>
      </c>
      <c r="R90" s="2" t="inlineStr"/>
    </row>
    <row r="91" ht="15" customHeight="1">
      <c r="A91" t="inlineStr">
        <is>
          <t>A 12168-2019</t>
        </is>
      </c>
      <c r="B91" s="1" t="n">
        <v>43522</v>
      </c>
      <c r="C91" s="1" t="n">
        <v>45347</v>
      </c>
      <c r="D91" t="inlineStr">
        <is>
          <t>DALARNAS LÄN</t>
        </is>
      </c>
      <c r="E91" t="inlineStr">
        <is>
          <t>LEKSAND</t>
        </is>
      </c>
      <c r="F91" t="inlineStr">
        <is>
          <t>Kommuner</t>
        </is>
      </c>
      <c r="G91" t="n">
        <v>1.9</v>
      </c>
      <c r="H91" t="n">
        <v>0</v>
      </c>
      <c r="I91" t="n">
        <v>0</v>
      </c>
      <c r="J91" t="n">
        <v>0</v>
      </c>
      <c r="K91" t="n">
        <v>0</v>
      </c>
      <c r="L91" t="n">
        <v>0</v>
      </c>
      <c r="M91" t="n">
        <v>0</v>
      </c>
      <c r="N91" t="n">
        <v>0</v>
      </c>
      <c r="O91" t="n">
        <v>0</v>
      </c>
      <c r="P91" t="n">
        <v>0</v>
      </c>
      <c r="Q91" t="n">
        <v>0</v>
      </c>
      <c r="R91" s="2" t="inlineStr"/>
    </row>
    <row r="92" ht="15" customHeight="1">
      <c r="A92" t="inlineStr">
        <is>
          <t>A 12430-2019</t>
        </is>
      </c>
      <c r="B92" s="1" t="n">
        <v>43523</v>
      </c>
      <c r="C92" s="1" t="n">
        <v>45347</v>
      </c>
      <c r="D92" t="inlineStr">
        <is>
          <t>DALARNAS LÄN</t>
        </is>
      </c>
      <c r="E92" t="inlineStr">
        <is>
          <t>LEKSAND</t>
        </is>
      </c>
      <c r="G92" t="n">
        <v>3.6</v>
      </c>
      <c r="H92" t="n">
        <v>0</v>
      </c>
      <c r="I92" t="n">
        <v>0</v>
      </c>
      <c r="J92" t="n">
        <v>0</v>
      </c>
      <c r="K92" t="n">
        <v>0</v>
      </c>
      <c r="L92" t="n">
        <v>0</v>
      </c>
      <c r="M92" t="n">
        <v>0</v>
      </c>
      <c r="N92" t="n">
        <v>0</v>
      </c>
      <c r="O92" t="n">
        <v>0</v>
      </c>
      <c r="P92" t="n">
        <v>0</v>
      </c>
      <c r="Q92" t="n">
        <v>0</v>
      </c>
      <c r="R92" s="2" t="inlineStr"/>
    </row>
    <row r="93" ht="15" customHeight="1">
      <c r="A93" t="inlineStr">
        <is>
          <t>A 13554-2019</t>
        </is>
      </c>
      <c r="B93" s="1" t="n">
        <v>43530</v>
      </c>
      <c r="C93" s="1" t="n">
        <v>45347</v>
      </c>
      <c r="D93" t="inlineStr">
        <is>
          <t>DALARNAS LÄN</t>
        </is>
      </c>
      <c r="E93" t="inlineStr">
        <is>
          <t>LEKSAND</t>
        </is>
      </c>
      <c r="G93" t="n">
        <v>2.2</v>
      </c>
      <c r="H93" t="n">
        <v>0</v>
      </c>
      <c r="I93" t="n">
        <v>0</v>
      </c>
      <c r="J93" t="n">
        <v>0</v>
      </c>
      <c r="K93" t="n">
        <v>0</v>
      </c>
      <c r="L93" t="n">
        <v>0</v>
      </c>
      <c r="M93" t="n">
        <v>0</v>
      </c>
      <c r="N93" t="n">
        <v>0</v>
      </c>
      <c r="O93" t="n">
        <v>0</v>
      </c>
      <c r="P93" t="n">
        <v>0</v>
      </c>
      <c r="Q93" t="n">
        <v>0</v>
      </c>
      <c r="R93" s="2" t="inlineStr"/>
    </row>
    <row r="94" ht="15" customHeight="1">
      <c r="A94" t="inlineStr">
        <is>
          <t>A 14501-2019</t>
        </is>
      </c>
      <c r="B94" s="1" t="n">
        <v>43535</v>
      </c>
      <c r="C94" s="1" t="n">
        <v>45347</v>
      </c>
      <c r="D94" t="inlineStr">
        <is>
          <t>DALARNAS LÄN</t>
        </is>
      </c>
      <c r="E94" t="inlineStr">
        <is>
          <t>LEKSAND</t>
        </is>
      </c>
      <c r="G94" t="n">
        <v>1.3</v>
      </c>
      <c r="H94" t="n">
        <v>0</v>
      </c>
      <c r="I94" t="n">
        <v>0</v>
      </c>
      <c r="J94" t="n">
        <v>0</v>
      </c>
      <c r="K94" t="n">
        <v>0</v>
      </c>
      <c r="L94" t="n">
        <v>0</v>
      </c>
      <c r="M94" t="n">
        <v>0</v>
      </c>
      <c r="N94" t="n">
        <v>0</v>
      </c>
      <c r="O94" t="n">
        <v>0</v>
      </c>
      <c r="P94" t="n">
        <v>0</v>
      </c>
      <c r="Q94" t="n">
        <v>0</v>
      </c>
      <c r="R94" s="2" t="inlineStr"/>
    </row>
    <row r="95" ht="15" customHeight="1">
      <c r="A95" t="inlineStr">
        <is>
          <t>A 17939-2019</t>
        </is>
      </c>
      <c r="B95" s="1" t="n">
        <v>43553</v>
      </c>
      <c r="C95" s="1" t="n">
        <v>45347</v>
      </c>
      <c r="D95" t="inlineStr">
        <is>
          <t>DALARNAS LÄN</t>
        </is>
      </c>
      <c r="E95" t="inlineStr">
        <is>
          <t>LEKSAND</t>
        </is>
      </c>
      <c r="G95" t="n">
        <v>3.9</v>
      </c>
      <c r="H95" t="n">
        <v>0</v>
      </c>
      <c r="I95" t="n">
        <v>0</v>
      </c>
      <c r="J95" t="n">
        <v>0</v>
      </c>
      <c r="K95" t="n">
        <v>0</v>
      </c>
      <c r="L95" t="n">
        <v>0</v>
      </c>
      <c r="M95" t="n">
        <v>0</v>
      </c>
      <c r="N95" t="n">
        <v>0</v>
      </c>
      <c r="O95" t="n">
        <v>0</v>
      </c>
      <c r="P95" t="n">
        <v>0</v>
      </c>
      <c r="Q95" t="n">
        <v>0</v>
      </c>
      <c r="R95" s="2" t="inlineStr"/>
    </row>
    <row r="96" ht="15" customHeight="1">
      <c r="A96" t="inlineStr">
        <is>
          <t>A 17822-2019</t>
        </is>
      </c>
      <c r="B96" s="1" t="n">
        <v>43556</v>
      </c>
      <c r="C96" s="1" t="n">
        <v>45347</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17967-2019</t>
        </is>
      </c>
      <c r="B97" s="1" t="n">
        <v>43557</v>
      </c>
      <c r="C97" s="1" t="n">
        <v>45347</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17970-2019</t>
        </is>
      </c>
      <c r="B98" s="1" t="n">
        <v>43557</v>
      </c>
      <c r="C98" s="1" t="n">
        <v>45347</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18238-2019</t>
        </is>
      </c>
      <c r="B99" s="1" t="n">
        <v>43558</v>
      </c>
      <c r="C99" s="1" t="n">
        <v>45347</v>
      </c>
      <c r="D99" t="inlineStr">
        <is>
          <t>DALARNAS LÄN</t>
        </is>
      </c>
      <c r="E99" t="inlineStr">
        <is>
          <t>LEKSAND</t>
        </is>
      </c>
      <c r="G99" t="n">
        <v>3.3</v>
      </c>
      <c r="H99" t="n">
        <v>0</v>
      </c>
      <c r="I99" t="n">
        <v>0</v>
      </c>
      <c r="J99" t="n">
        <v>0</v>
      </c>
      <c r="K99" t="n">
        <v>0</v>
      </c>
      <c r="L99" t="n">
        <v>0</v>
      </c>
      <c r="M99" t="n">
        <v>0</v>
      </c>
      <c r="N99" t="n">
        <v>0</v>
      </c>
      <c r="O99" t="n">
        <v>0</v>
      </c>
      <c r="P99" t="n">
        <v>0</v>
      </c>
      <c r="Q99" t="n">
        <v>0</v>
      </c>
      <c r="R99" s="2" t="inlineStr"/>
    </row>
    <row r="100" ht="15" customHeight="1">
      <c r="A100" t="inlineStr">
        <is>
          <t>A 19703-2019</t>
        </is>
      </c>
      <c r="B100" s="1" t="n">
        <v>43566</v>
      </c>
      <c r="C100" s="1" t="n">
        <v>45347</v>
      </c>
      <c r="D100" t="inlineStr">
        <is>
          <t>DALARNAS LÄN</t>
        </is>
      </c>
      <c r="E100" t="inlineStr">
        <is>
          <t>LEKSAND</t>
        </is>
      </c>
      <c r="G100" t="n">
        <v>0.4</v>
      </c>
      <c r="H100" t="n">
        <v>0</v>
      </c>
      <c r="I100" t="n">
        <v>0</v>
      </c>
      <c r="J100" t="n">
        <v>0</v>
      </c>
      <c r="K100" t="n">
        <v>0</v>
      </c>
      <c r="L100" t="n">
        <v>0</v>
      </c>
      <c r="M100" t="n">
        <v>0</v>
      </c>
      <c r="N100" t="n">
        <v>0</v>
      </c>
      <c r="O100" t="n">
        <v>0</v>
      </c>
      <c r="P100" t="n">
        <v>0</v>
      </c>
      <c r="Q100" t="n">
        <v>0</v>
      </c>
      <c r="R100" s="2" t="inlineStr"/>
    </row>
    <row r="101" ht="15" customHeight="1">
      <c r="A101" t="inlineStr">
        <is>
          <t>A 19790-2019</t>
        </is>
      </c>
      <c r="B101" s="1" t="n">
        <v>43566</v>
      </c>
      <c r="C101" s="1" t="n">
        <v>45347</v>
      </c>
      <c r="D101" t="inlineStr">
        <is>
          <t>DALARNAS LÄN</t>
        </is>
      </c>
      <c r="E101" t="inlineStr">
        <is>
          <t>LEKSAND</t>
        </is>
      </c>
      <c r="G101" t="n">
        <v>11.4</v>
      </c>
      <c r="H101" t="n">
        <v>0</v>
      </c>
      <c r="I101" t="n">
        <v>0</v>
      </c>
      <c r="J101" t="n">
        <v>0</v>
      </c>
      <c r="K101" t="n">
        <v>0</v>
      </c>
      <c r="L101" t="n">
        <v>0</v>
      </c>
      <c r="M101" t="n">
        <v>0</v>
      </c>
      <c r="N101" t="n">
        <v>0</v>
      </c>
      <c r="O101" t="n">
        <v>0</v>
      </c>
      <c r="P101" t="n">
        <v>0</v>
      </c>
      <c r="Q101" t="n">
        <v>0</v>
      </c>
      <c r="R101" s="2" t="inlineStr"/>
    </row>
    <row r="102" ht="15" customHeight="1">
      <c r="A102" t="inlineStr">
        <is>
          <t>A 22975-2019</t>
        </is>
      </c>
      <c r="B102" s="1" t="n">
        <v>43591</v>
      </c>
      <c r="C102" s="1" t="n">
        <v>45347</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24300-2019</t>
        </is>
      </c>
      <c r="B103" s="1" t="n">
        <v>43598</v>
      </c>
      <c r="C103" s="1" t="n">
        <v>45347</v>
      </c>
      <c r="D103" t="inlineStr">
        <is>
          <t>DALARNAS LÄN</t>
        </is>
      </c>
      <c r="E103" t="inlineStr">
        <is>
          <t>LEKSAND</t>
        </is>
      </c>
      <c r="G103" t="n">
        <v>0.5</v>
      </c>
      <c r="H103" t="n">
        <v>0</v>
      </c>
      <c r="I103" t="n">
        <v>0</v>
      </c>
      <c r="J103" t="n">
        <v>0</v>
      </c>
      <c r="K103" t="n">
        <v>0</v>
      </c>
      <c r="L103" t="n">
        <v>0</v>
      </c>
      <c r="M103" t="n">
        <v>0</v>
      </c>
      <c r="N103" t="n">
        <v>0</v>
      </c>
      <c r="O103" t="n">
        <v>0</v>
      </c>
      <c r="P103" t="n">
        <v>0</v>
      </c>
      <c r="Q103" t="n">
        <v>0</v>
      </c>
      <c r="R103" s="2" t="inlineStr"/>
    </row>
    <row r="104" ht="15" customHeight="1">
      <c r="A104" t="inlineStr">
        <is>
          <t>A 24051-2019</t>
        </is>
      </c>
      <c r="B104" s="1" t="n">
        <v>43598</v>
      </c>
      <c r="C104" s="1" t="n">
        <v>45347</v>
      </c>
      <c r="D104" t="inlineStr">
        <is>
          <t>DALARNAS LÄN</t>
        </is>
      </c>
      <c r="E104" t="inlineStr">
        <is>
          <t>LEKSAND</t>
        </is>
      </c>
      <c r="G104" t="n">
        <v>5.4</v>
      </c>
      <c r="H104" t="n">
        <v>0</v>
      </c>
      <c r="I104" t="n">
        <v>0</v>
      </c>
      <c r="J104" t="n">
        <v>0</v>
      </c>
      <c r="K104" t="n">
        <v>0</v>
      </c>
      <c r="L104" t="n">
        <v>0</v>
      </c>
      <c r="M104" t="n">
        <v>0</v>
      </c>
      <c r="N104" t="n">
        <v>0</v>
      </c>
      <c r="O104" t="n">
        <v>0</v>
      </c>
      <c r="P104" t="n">
        <v>0</v>
      </c>
      <c r="Q104" t="n">
        <v>0</v>
      </c>
      <c r="R104" s="2" t="inlineStr"/>
    </row>
    <row r="105" ht="15" customHeight="1">
      <c r="A105" t="inlineStr">
        <is>
          <t>A 24542-2019</t>
        </is>
      </c>
      <c r="B105" s="1" t="n">
        <v>43600</v>
      </c>
      <c r="C105" s="1" t="n">
        <v>45347</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32532-2019</t>
        </is>
      </c>
      <c r="B106" s="1" t="n">
        <v>43646</v>
      </c>
      <c r="C106" s="1" t="n">
        <v>45347</v>
      </c>
      <c r="D106" t="inlineStr">
        <is>
          <t>DALARNAS LÄN</t>
        </is>
      </c>
      <c r="E106" t="inlineStr">
        <is>
          <t>LEKSAND</t>
        </is>
      </c>
      <c r="G106" t="n">
        <v>3.1</v>
      </c>
      <c r="H106" t="n">
        <v>0</v>
      </c>
      <c r="I106" t="n">
        <v>0</v>
      </c>
      <c r="J106" t="n">
        <v>0</v>
      </c>
      <c r="K106" t="n">
        <v>0</v>
      </c>
      <c r="L106" t="n">
        <v>0</v>
      </c>
      <c r="M106" t="n">
        <v>0</v>
      </c>
      <c r="N106" t="n">
        <v>0</v>
      </c>
      <c r="O106" t="n">
        <v>0</v>
      </c>
      <c r="P106" t="n">
        <v>0</v>
      </c>
      <c r="Q106" t="n">
        <v>0</v>
      </c>
      <c r="R106" s="2" t="inlineStr"/>
    </row>
    <row r="107" ht="15" customHeight="1">
      <c r="A107" t="inlineStr">
        <is>
          <t>A 33903-2019</t>
        </is>
      </c>
      <c r="B107" s="1" t="n">
        <v>43654</v>
      </c>
      <c r="C107" s="1" t="n">
        <v>45347</v>
      </c>
      <c r="D107" t="inlineStr">
        <is>
          <t>DALARNAS LÄN</t>
        </is>
      </c>
      <c r="E107" t="inlineStr">
        <is>
          <t>LEKSAND</t>
        </is>
      </c>
      <c r="G107" t="n">
        <v>1.7</v>
      </c>
      <c r="H107" t="n">
        <v>0</v>
      </c>
      <c r="I107" t="n">
        <v>0</v>
      </c>
      <c r="J107" t="n">
        <v>0</v>
      </c>
      <c r="K107" t="n">
        <v>0</v>
      </c>
      <c r="L107" t="n">
        <v>0</v>
      </c>
      <c r="M107" t="n">
        <v>0</v>
      </c>
      <c r="N107" t="n">
        <v>0</v>
      </c>
      <c r="O107" t="n">
        <v>0</v>
      </c>
      <c r="P107" t="n">
        <v>0</v>
      </c>
      <c r="Q107" t="n">
        <v>0</v>
      </c>
      <c r="R107" s="2" t="inlineStr"/>
    </row>
    <row r="108" ht="15" customHeight="1">
      <c r="A108" t="inlineStr">
        <is>
          <t>A 36014-2019</t>
        </is>
      </c>
      <c r="B108" s="1" t="n">
        <v>43657</v>
      </c>
      <c r="C108" s="1" t="n">
        <v>45347</v>
      </c>
      <c r="D108" t="inlineStr">
        <is>
          <t>DALARNAS LÄN</t>
        </is>
      </c>
      <c r="E108" t="inlineStr">
        <is>
          <t>LEKSAND</t>
        </is>
      </c>
      <c r="G108" t="n">
        <v>1.8</v>
      </c>
      <c r="H108" t="n">
        <v>0</v>
      </c>
      <c r="I108" t="n">
        <v>0</v>
      </c>
      <c r="J108" t="n">
        <v>0</v>
      </c>
      <c r="K108" t="n">
        <v>0</v>
      </c>
      <c r="L108" t="n">
        <v>0</v>
      </c>
      <c r="M108" t="n">
        <v>0</v>
      </c>
      <c r="N108" t="n">
        <v>0</v>
      </c>
      <c r="O108" t="n">
        <v>0</v>
      </c>
      <c r="P108" t="n">
        <v>0</v>
      </c>
      <c r="Q108" t="n">
        <v>0</v>
      </c>
      <c r="R108" s="2" t="inlineStr"/>
    </row>
    <row r="109" ht="15" customHeight="1">
      <c r="A109" t="inlineStr">
        <is>
          <t>A 36023-2019</t>
        </is>
      </c>
      <c r="B109" s="1" t="n">
        <v>43657</v>
      </c>
      <c r="C109" s="1" t="n">
        <v>45347</v>
      </c>
      <c r="D109" t="inlineStr">
        <is>
          <t>DALARNAS LÄN</t>
        </is>
      </c>
      <c r="E109" t="inlineStr">
        <is>
          <t>LEKSAND</t>
        </is>
      </c>
      <c r="G109" t="n">
        <v>1.5</v>
      </c>
      <c r="H109" t="n">
        <v>0</v>
      </c>
      <c r="I109" t="n">
        <v>0</v>
      </c>
      <c r="J109" t="n">
        <v>0</v>
      </c>
      <c r="K109" t="n">
        <v>0</v>
      </c>
      <c r="L109" t="n">
        <v>0</v>
      </c>
      <c r="M109" t="n">
        <v>0</v>
      </c>
      <c r="N109" t="n">
        <v>0</v>
      </c>
      <c r="O109" t="n">
        <v>0</v>
      </c>
      <c r="P109" t="n">
        <v>0</v>
      </c>
      <c r="Q109" t="n">
        <v>0</v>
      </c>
      <c r="R109" s="2" t="inlineStr"/>
    </row>
    <row r="110" ht="15" customHeight="1">
      <c r="A110" t="inlineStr">
        <is>
          <t>A 36287-2019</t>
        </is>
      </c>
      <c r="B110" s="1" t="n">
        <v>43669</v>
      </c>
      <c r="C110" s="1" t="n">
        <v>45347</v>
      </c>
      <c r="D110" t="inlineStr">
        <is>
          <t>DALARNAS LÄN</t>
        </is>
      </c>
      <c r="E110" t="inlineStr">
        <is>
          <t>LEKSAND</t>
        </is>
      </c>
      <c r="G110" t="n">
        <v>1.1</v>
      </c>
      <c r="H110" t="n">
        <v>0</v>
      </c>
      <c r="I110" t="n">
        <v>0</v>
      </c>
      <c r="J110" t="n">
        <v>0</v>
      </c>
      <c r="K110" t="n">
        <v>0</v>
      </c>
      <c r="L110" t="n">
        <v>0</v>
      </c>
      <c r="M110" t="n">
        <v>0</v>
      </c>
      <c r="N110" t="n">
        <v>0</v>
      </c>
      <c r="O110" t="n">
        <v>0</v>
      </c>
      <c r="P110" t="n">
        <v>0</v>
      </c>
      <c r="Q110" t="n">
        <v>0</v>
      </c>
      <c r="R110" s="2" t="inlineStr"/>
    </row>
    <row r="111" ht="15" customHeight="1">
      <c r="A111" t="inlineStr">
        <is>
          <t>A 37733-2019</t>
        </is>
      </c>
      <c r="B111" s="1" t="n">
        <v>43682</v>
      </c>
      <c r="C111" s="1" t="n">
        <v>45347</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37822-2019</t>
        </is>
      </c>
      <c r="B112" s="1" t="n">
        <v>43682</v>
      </c>
      <c r="C112" s="1" t="n">
        <v>45347</v>
      </c>
      <c r="D112" t="inlineStr">
        <is>
          <t>DALARNAS LÄN</t>
        </is>
      </c>
      <c r="E112" t="inlineStr">
        <is>
          <t>LEKSAND</t>
        </is>
      </c>
      <c r="G112" t="n">
        <v>8.9</v>
      </c>
      <c r="H112" t="n">
        <v>0</v>
      </c>
      <c r="I112" t="n">
        <v>0</v>
      </c>
      <c r="J112" t="n">
        <v>0</v>
      </c>
      <c r="K112" t="n">
        <v>0</v>
      </c>
      <c r="L112" t="n">
        <v>0</v>
      </c>
      <c r="M112" t="n">
        <v>0</v>
      </c>
      <c r="N112" t="n">
        <v>0</v>
      </c>
      <c r="O112" t="n">
        <v>0</v>
      </c>
      <c r="P112" t="n">
        <v>0</v>
      </c>
      <c r="Q112" t="n">
        <v>0</v>
      </c>
      <c r="R112" s="2" t="inlineStr"/>
    </row>
    <row r="113" ht="15" customHeight="1">
      <c r="A113" t="inlineStr">
        <is>
          <t>A 38350-2019</t>
        </is>
      </c>
      <c r="B113" s="1" t="n">
        <v>43685</v>
      </c>
      <c r="C113" s="1" t="n">
        <v>45347</v>
      </c>
      <c r="D113" t="inlineStr">
        <is>
          <t>DALARNAS LÄN</t>
        </is>
      </c>
      <c r="E113" t="inlineStr">
        <is>
          <t>LEKSAND</t>
        </is>
      </c>
      <c r="G113" t="n">
        <v>0.5</v>
      </c>
      <c r="H113" t="n">
        <v>0</v>
      </c>
      <c r="I113" t="n">
        <v>0</v>
      </c>
      <c r="J113" t="n">
        <v>0</v>
      </c>
      <c r="K113" t="n">
        <v>0</v>
      </c>
      <c r="L113" t="n">
        <v>0</v>
      </c>
      <c r="M113" t="n">
        <v>0</v>
      </c>
      <c r="N113" t="n">
        <v>0</v>
      </c>
      <c r="O113" t="n">
        <v>0</v>
      </c>
      <c r="P113" t="n">
        <v>0</v>
      </c>
      <c r="Q113" t="n">
        <v>0</v>
      </c>
      <c r="R113" s="2" t="inlineStr"/>
    </row>
    <row r="114" ht="15" customHeight="1">
      <c r="A114" t="inlineStr">
        <is>
          <t>A 39025-2019</t>
        </is>
      </c>
      <c r="B114" s="1" t="n">
        <v>43689</v>
      </c>
      <c r="C114" s="1" t="n">
        <v>45347</v>
      </c>
      <c r="D114" t="inlineStr">
        <is>
          <t>DALARNAS LÄN</t>
        </is>
      </c>
      <c r="E114" t="inlineStr">
        <is>
          <t>LEKSAND</t>
        </is>
      </c>
      <c r="F114" t="inlineStr">
        <is>
          <t>Bergvik skog väst AB</t>
        </is>
      </c>
      <c r="G114" t="n">
        <v>10.1</v>
      </c>
      <c r="H114" t="n">
        <v>0</v>
      </c>
      <c r="I114" t="n">
        <v>0</v>
      </c>
      <c r="J114" t="n">
        <v>0</v>
      </c>
      <c r="K114" t="n">
        <v>0</v>
      </c>
      <c r="L114" t="n">
        <v>0</v>
      </c>
      <c r="M114" t="n">
        <v>0</v>
      </c>
      <c r="N114" t="n">
        <v>0</v>
      </c>
      <c r="O114" t="n">
        <v>0</v>
      </c>
      <c r="P114" t="n">
        <v>0</v>
      </c>
      <c r="Q114" t="n">
        <v>0</v>
      </c>
      <c r="R114" s="2" t="inlineStr"/>
    </row>
    <row r="115" ht="15" customHeight="1">
      <c r="A115" t="inlineStr">
        <is>
          <t>A 41329-2019</t>
        </is>
      </c>
      <c r="B115" s="1" t="n">
        <v>43698</v>
      </c>
      <c r="C115" s="1" t="n">
        <v>45347</v>
      </c>
      <c r="D115" t="inlineStr">
        <is>
          <t>DALARNAS LÄN</t>
        </is>
      </c>
      <c r="E115" t="inlineStr">
        <is>
          <t>LEKSAND</t>
        </is>
      </c>
      <c r="G115" t="n">
        <v>2</v>
      </c>
      <c r="H115" t="n">
        <v>0</v>
      </c>
      <c r="I115" t="n">
        <v>0</v>
      </c>
      <c r="J115" t="n">
        <v>0</v>
      </c>
      <c r="K115" t="n">
        <v>0</v>
      </c>
      <c r="L115" t="n">
        <v>0</v>
      </c>
      <c r="M115" t="n">
        <v>0</v>
      </c>
      <c r="N115" t="n">
        <v>0</v>
      </c>
      <c r="O115" t="n">
        <v>0</v>
      </c>
      <c r="P115" t="n">
        <v>0</v>
      </c>
      <c r="Q115" t="n">
        <v>0</v>
      </c>
      <c r="R115" s="2" t="inlineStr"/>
    </row>
    <row r="116" ht="15" customHeight="1">
      <c r="A116" t="inlineStr">
        <is>
          <t>A 43082-2019</t>
        </is>
      </c>
      <c r="B116" s="1" t="n">
        <v>43705</v>
      </c>
      <c r="C116" s="1" t="n">
        <v>45347</v>
      </c>
      <c r="D116" t="inlineStr">
        <is>
          <t>DALARNAS LÄN</t>
        </is>
      </c>
      <c r="E116" t="inlineStr">
        <is>
          <t>LEKSAND</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43887-2019</t>
        </is>
      </c>
      <c r="B117" s="1" t="n">
        <v>43707</v>
      </c>
      <c r="C117" s="1" t="n">
        <v>45347</v>
      </c>
      <c r="D117" t="inlineStr">
        <is>
          <t>DALARNAS LÄN</t>
        </is>
      </c>
      <c r="E117" t="inlineStr">
        <is>
          <t>LEKSAND</t>
        </is>
      </c>
      <c r="F117" t="inlineStr">
        <is>
          <t>Övriga Aktiebolag</t>
        </is>
      </c>
      <c r="G117" t="n">
        <v>1.4</v>
      </c>
      <c r="H117" t="n">
        <v>0</v>
      </c>
      <c r="I117" t="n">
        <v>0</v>
      </c>
      <c r="J117" t="n">
        <v>0</v>
      </c>
      <c r="K117" t="n">
        <v>0</v>
      </c>
      <c r="L117" t="n">
        <v>0</v>
      </c>
      <c r="M117" t="n">
        <v>0</v>
      </c>
      <c r="N117" t="n">
        <v>0</v>
      </c>
      <c r="O117" t="n">
        <v>0</v>
      </c>
      <c r="P117" t="n">
        <v>0</v>
      </c>
      <c r="Q117" t="n">
        <v>0</v>
      </c>
      <c r="R117" s="2" t="inlineStr"/>
    </row>
    <row r="118" ht="15" customHeight="1">
      <c r="A118" t="inlineStr">
        <is>
          <t>A 43884-2019</t>
        </is>
      </c>
      <c r="B118" s="1" t="n">
        <v>43707</v>
      </c>
      <c r="C118" s="1" t="n">
        <v>45347</v>
      </c>
      <c r="D118" t="inlineStr">
        <is>
          <t>DALARNAS LÄN</t>
        </is>
      </c>
      <c r="E118" t="inlineStr">
        <is>
          <t>LEKSAND</t>
        </is>
      </c>
      <c r="F118" t="inlineStr">
        <is>
          <t>Övriga Aktiebolag</t>
        </is>
      </c>
      <c r="G118" t="n">
        <v>1.4</v>
      </c>
      <c r="H118" t="n">
        <v>0</v>
      </c>
      <c r="I118" t="n">
        <v>0</v>
      </c>
      <c r="J118" t="n">
        <v>0</v>
      </c>
      <c r="K118" t="n">
        <v>0</v>
      </c>
      <c r="L118" t="n">
        <v>0</v>
      </c>
      <c r="M118" t="n">
        <v>0</v>
      </c>
      <c r="N118" t="n">
        <v>0</v>
      </c>
      <c r="O118" t="n">
        <v>0</v>
      </c>
      <c r="P118" t="n">
        <v>0</v>
      </c>
      <c r="Q118" t="n">
        <v>0</v>
      </c>
      <c r="R118" s="2" t="inlineStr"/>
    </row>
    <row r="119" ht="15" customHeight="1">
      <c r="A119" t="inlineStr">
        <is>
          <t>A 44058-2019</t>
        </is>
      </c>
      <c r="B119" s="1" t="n">
        <v>43710</v>
      </c>
      <c r="C119" s="1" t="n">
        <v>45347</v>
      </c>
      <c r="D119" t="inlineStr">
        <is>
          <t>DALARNAS LÄN</t>
        </is>
      </c>
      <c r="E119" t="inlineStr">
        <is>
          <t>LEKSAND</t>
        </is>
      </c>
      <c r="F119" t="inlineStr">
        <is>
          <t>Kyrkan</t>
        </is>
      </c>
      <c r="G119" t="n">
        <v>1.3</v>
      </c>
      <c r="H119" t="n">
        <v>0</v>
      </c>
      <c r="I119" t="n">
        <v>0</v>
      </c>
      <c r="J119" t="n">
        <v>0</v>
      </c>
      <c r="K119" t="n">
        <v>0</v>
      </c>
      <c r="L119" t="n">
        <v>0</v>
      </c>
      <c r="M119" t="n">
        <v>0</v>
      </c>
      <c r="N119" t="n">
        <v>0</v>
      </c>
      <c r="O119" t="n">
        <v>0</v>
      </c>
      <c r="P119" t="n">
        <v>0</v>
      </c>
      <c r="Q119" t="n">
        <v>0</v>
      </c>
      <c r="R119" s="2" t="inlineStr"/>
    </row>
    <row r="120" ht="15" customHeight="1">
      <c r="A120" t="inlineStr">
        <is>
          <t>A 45526-2019</t>
        </is>
      </c>
      <c r="B120" s="1" t="n">
        <v>43714</v>
      </c>
      <c r="C120" s="1" t="n">
        <v>45347</v>
      </c>
      <c r="D120" t="inlineStr">
        <is>
          <t>DALARNAS LÄN</t>
        </is>
      </c>
      <c r="E120" t="inlineStr">
        <is>
          <t>LEKSAND</t>
        </is>
      </c>
      <c r="F120" t="inlineStr">
        <is>
          <t>Bergvik skog väst AB</t>
        </is>
      </c>
      <c r="G120" t="n">
        <v>5.9</v>
      </c>
      <c r="H120" t="n">
        <v>0</v>
      </c>
      <c r="I120" t="n">
        <v>0</v>
      </c>
      <c r="J120" t="n">
        <v>0</v>
      </c>
      <c r="K120" t="n">
        <v>0</v>
      </c>
      <c r="L120" t="n">
        <v>0</v>
      </c>
      <c r="M120" t="n">
        <v>0</v>
      </c>
      <c r="N120" t="n">
        <v>0</v>
      </c>
      <c r="O120" t="n">
        <v>0</v>
      </c>
      <c r="P120" t="n">
        <v>0</v>
      </c>
      <c r="Q120" t="n">
        <v>0</v>
      </c>
      <c r="R120" s="2" t="inlineStr"/>
    </row>
    <row r="121" ht="15" customHeight="1">
      <c r="A121" t="inlineStr">
        <is>
          <t>A 45572-2019</t>
        </is>
      </c>
      <c r="B121" s="1" t="n">
        <v>43716</v>
      </c>
      <c r="C121" s="1" t="n">
        <v>45347</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46739-2019</t>
        </is>
      </c>
      <c r="B122" s="1" t="n">
        <v>43719</v>
      </c>
      <c r="C122" s="1" t="n">
        <v>45347</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46740-2019</t>
        </is>
      </c>
      <c r="B123" s="1" t="n">
        <v>43719</v>
      </c>
      <c r="C123" s="1" t="n">
        <v>45347</v>
      </c>
      <c r="D123" t="inlineStr">
        <is>
          <t>DALARNAS LÄN</t>
        </is>
      </c>
      <c r="E123" t="inlineStr">
        <is>
          <t>LEKSAND</t>
        </is>
      </c>
      <c r="G123" t="n">
        <v>0.3</v>
      </c>
      <c r="H123" t="n">
        <v>0</v>
      </c>
      <c r="I123" t="n">
        <v>0</v>
      </c>
      <c r="J123" t="n">
        <v>0</v>
      </c>
      <c r="K123" t="n">
        <v>0</v>
      </c>
      <c r="L123" t="n">
        <v>0</v>
      </c>
      <c r="M123" t="n">
        <v>0</v>
      </c>
      <c r="N123" t="n">
        <v>0</v>
      </c>
      <c r="O123" t="n">
        <v>0</v>
      </c>
      <c r="P123" t="n">
        <v>0</v>
      </c>
      <c r="Q123" t="n">
        <v>0</v>
      </c>
      <c r="R123" s="2" t="inlineStr"/>
    </row>
    <row r="124" ht="15" customHeight="1">
      <c r="A124" t="inlineStr">
        <is>
          <t>A 47532-2019</t>
        </is>
      </c>
      <c r="B124" s="1" t="n">
        <v>43724</v>
      </c>
      <c r="C124" s="1" t="n">
        <v>45347</v>
      </c>
      <c r="D124" t="inlineStr">
        <is>
          <t>DALARNAS LÄN</t>
        </is>
      </c>
      <c r="E124" t="inlineStr">
        <is>
          <t>LEKSAND</t>
        </is>
      </c>
      <c r="G124" t="n">
        <v>2.3</v>
      </c>
      <c r="H124" t="n">
        <v>0</v>
      </c>
      <c r="I124" t="n">
        <v>0</v>
      </c>
      <c r="J124" t="n">
        <v>0</v>
      </c>
      <c r="K124" t="n">
        <v>0</v>
      </c>
      <c r="L124" t="n">
        <v>0</v>
      </c>
      <c r="M124" t="n">
        <v>0</v>
      </c>
      <c r="N124" t="n">
        <v>0</v>
      </c>
      <c r="O124" t="n">
        <v>0</v>
      </c>
      <c r="P124" t="n">
        <v>0</v>
      </c>
      <c r="Q124" t="n">
        <v>0</v>
      </c>
      <c r="R124" s="2" t="inlineStr"/>
    </row>
    <row r="125" ht="15" customHeight="1">
      <c r="A125" t="inlineStr">
        <is>
          <t>A 49132-2019</t>
        </is>
      </c>
      <c r="B125" s="1" t="n">
        <v>43728</v>
      </c>
      <c r="C125" s="1" t="n">
        <v>45347</v>
      </c>
      <c r="D125" t="inlineStr">
        <is>
          <t>DALARNAS LÄN</t>
        </is>
      </c>
      <c r="E125" t="inlineStr">
        <is>
          <t>LEKSAND</t>
        </is>
      </c>
      <c r="G125" t="n">
        <v>1.9</v>
      </c>
      <c r="H125" t="n">
        <v>0</v>
      </c>
      <c r="I125" t="n">
        <v>0</v>
      </c>
      <c r="J125" t="n">
        <v>0</v>
      </c>
      <c r="K125" t="n">
        <v>0</v>
      </c>
      <c r="L125" t="n">
        <v>0</v>
      </c>
      <c r="M125" t="n">
        <v>0</v>
      </c>
      <c r="N125" t="n">
        <v>0</v>
      </c>
      <c r="O125" t="n">
        <v>0</v>
      </c>
      <c r="P125" t="n">
        <v>0</v>
      </c>
      <c r="Q125" t="n">
        <v>0</v>
      </c>
      <c r="R125" s="2" t="inlineStr"/>
    </row>
    <row r="126" ht="15" customHeight="1">
      <c r="A126" t="inlineStr">
        <is>
          <t>A 51390-2019</t>
        </is>
      </c>
      <c r="B126" s="1" t="n">
        <v>43733</v>
      </c>
      <c r="C126" s="1" t="n">
        <v>45347</v>
      </c>
      <c r="D126" t="inlineStr">
        <is>
          <t>DALARNAS LÄN</t>
        </is>
      </c>
      <c r="E126" t="inlineStr">
        <is>
          <t>LEKSAND</t>
        </is>
      </c>
      <c r="G126" t="n">
        <v>4.7</v>
      </c>
      <c r="H126" t="n">
        <v>0</v>
      </c>
      <c r="I126" t="n">
        <v>0</v>
      </c>
      <c r="J126" t="n">
        <v>0</v>
      </c>
      <c r="K126" t="n">
        <v>0</v>
      </c>
      <c r="L126" t="n">
        <v>0</v>
      </c>
      <c r="M126" t="n">
        <v>0</v>
      </c>
      <c r="N126" t="n">
        <v>0</v>
      </c>
      <c r="O126" t="n">
        <v>0</v>
      </c>
      <c r="P126" t="n">
        <v>0</v>
      </c>
      <c r="Q126" t="n">
        <v>0</v>
      </c>
      <c r="R126" s="2" t="inlineStr"/>
    </row>
    <row r="127" ht="15" customHeight="1">
      <c r="A127" t="inlineStr">
        <is>
          <t>A 50532-2019</t>
        </is>
      </c>
      <c r="B127" s="1" t="n">
        <v>43735</v>
      </c>
      <c r="C127" s="1" t="n">
        <v>45347</v>
      </c>
      <c r="D127" t="inlineStr">
        <is>
          <t>DALARNAS LÄN</t>
        </is>
      </c>
      <c r="E127" t="inlineStr">
        <is>
          <t>LEKSAND</t>
        </is>
      </c>
      <c r="F127" t="inlineStr">
        <is>
          <t>Kyrkan</t>
        </is>
      </c>
      <c r="G127" t="n">
        <v>1.3</v>
      </c>
      <c r="H127" t="n">
        <v>0</v>
      </c>
      <c r="I127" t="n">
        <v>0</v>
      </c>
      <c r="J127" t="n">
        <v>0</v>
      </c>
      <c r="K127" t="n">
        <v>0</v>
      </c>
      <c r="L127" t="n">
        <v>0</v>
      </c>
      <c r="M127" t="n">
        <v>0</v>
      </c>
      <c r="N127" t="n">
        <v>0</v>
      </c>
      <c r="O127" t="n">
        <v>0</v>
      </c>
      <c r="P127" t="n">
        <v>0</v>
      </c>
      <c r="Q127" t="n">
        <v>0</v>
      </c>
      <c r="R127" s="2" t="inlineStr"/>
    </row>
    <row r="128" ht="15" customHeight="1">
      <c r="A128" t="inlineStr">
        <is>
          <t>A 52130-2019</t>
        </is>
      </c>
      <c r="B128" s="1" t="n">
        <v>43735</v>
      </c>
      <c r="C128" s="1" t="n">
        <v>45347</v>
      </c>
      <c r="D128" t="inlineStr">
        <is>
          <t>DALARNAS LÄN</t>
        </is>
      </c>
      <c r="E128" t="inlineStr">
        <is>
          <t>LEKSAND</t>
        </is>
      </c>
      <c r="G128" t="n">
        <v>0.8</v>
      </c>
      <c r="H128" t="n">
        <v>0</v>
      </c>
      <c r="I128" t="n">
        <v>0</v>
      </c>
      <c r="J128" t="n">
        <v>0</v>
      </c>
      <c r="K128" t="n">
        <v>0</v>
      </c>
      <c r="L128" t="n">
        <v>0</v>
      </c>
      <c r="M128" t="n">
        <v>0</v>
      </c>
      <c r="N128" t="n">
        <v>0</v>
      </c>
      <c r="O128" t="n">
        <v>0</v>
      </c>
      <c r="P128" t="n">
        <v>0</v>
      </c>
      <c r="Q128" t="n">
        <v>0</v>
      </c>
      <c r="R128" s="2" t="inlineStr"/>
    </row>
    <row r="129" ht="15" customHeight="1">
      <c r="A129" t="inlineStr">
        <is>
          <t>A 52827-2019</t>
        </is>
      </c>
      <c r="B129" s="1" t="n">
        <v>43746</v>
      </c>
      <c r="C129" s="1" t="n">
        <v>45347</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52957-2019</t>
        </is>
      </c>
      <c r="B130" s="1" t="n">
        <v>43747</v>
      </c>
      <c r="C130" s="1" t="n">
        <v>45347</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53553-2019</t>
        </is>
      </c>
      <c r="B131" s="1" t="n">
        <v>43749</v>
      </c>
      <c r="C131" s="1" t="n">
        <v>45347</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56844-2019</t>
        </is>
      </c>
      <c r="B132" s="1" t="n">
        <v>43765</v>
      </c>
      <c r="C132" s="1" t="n">
        <v>45347</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57221-2019</t>
        </is>
      </c>
      <c r="B133" s="1" t="n">
        <v>43767</v>
      </c>
      <c r="C133" s="1" t="n">
        <v>45347</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58237-2019</t>
        </is>
      </c>
      <c r="B134" s="1" t="n">
        <v>43770</v>
      </c>
      <c r="C134" s="1" t="n">
        <v>45347</v>
      </c>
      <c r="D134" t="inlineStr">
        <is>
          <t>DALARNAS LÄN</t>
        </is>
      </c>
      <c r="E134" t="inlineStr">
        <is>
          <t>LEKSAND</t>
        </is>
      </c>
      <c r="G134" t="n">
        <v>2.5</v>
      </c>
      <c r="H134" t="n">
        <v>0</v>
      </c>
      <c r="I134" t="n">
        <v>0</v>
      </c>
      <c r="J134" t="n">
        <v>0</v>
      </c>
      <c r="K134" t="n">
        <v>0</v>
      </c>
      <c r="L134" t="n">
        <v>0</v>
      </c>
      <c r="M134" t="n">
        <v>0</v>
      </c>
      <c r="N134" t="n">
        <v>0</v>
      </c>
      <c r="O134" t="n">
        <v>0</v>
      </c>
      <c r="P134" t="n">
        <v>0</v>
      </c>
      <c r="Q134" t="n">
        <v>0</v>
      </c>
      <c r="R134" s="2" t="inlineStr"/>
    </row>
    <row r="135" ht="15" customHeight="1">
      <c r="A135" t="inlineStr">
        <is>
          <t>A 59714-2019</t>
        </is>
      </c>
      <c r="B135" s="1" t="n">
        <v>43776</v>
      </c>
      <c r="C135" s="1" t="n">
        <v>45347</v>
      </c>
      <c r="D135" t="inlineStr">
        <is>
          <t>DALARNAS LÄN</t>
        </is>
      </c>
      <c r="E135" t="inlineStr">
        <is>
          <t>LEKSAND</t>
        </is>
      </c>
      <c r="F135" t="inlineStr">
        <is>
          <t>Bergvik skog väst AB</t>
        </is>
      </c>
      <c r="G135" t="n">
        <v>4.8</v>
      </c>
      <c r="H135" t="n">
        <v>0</v>
      </c>
      <c r="I135" t="n">
        <v>0</v>
      </c>
      <c r="J135" t="n">
        <v>0</v>
      </c>
      <c r="K135" t="n">
        <v>0</v>
      </c>
      <c r="L135" t="n">
        <v>0</v>
      </c>
      <c r="M135" t="n">
        <v>0</v>
      </c>
      <c r="N135" t="n">
        <v>0</v>
      </c>
      <c r="O135" t="n">
        <v>0</v>
      </c>
      <c r="P135" t="n">
        <v>0</v>
      </c>
      <c r="Q135" t="n">
        <v>0</v>
      </c>
      <c r="R135" s="2" t="inlineStr"/>
    </row>
    <row r="136" ht="15" customHeight="1">
      <c r="A136" t="inlineStr">
        <is>
          <t>A 59721-2019</t>
        </is>
      </c>
      <c r="B136" s="1" t="n">
        <v>43776</v>
      </c>
      <c r="C136" s="1" t="n">
        <v>45347</v>
      </c>
      <c r="D136" t="inlineStr">
        <is>
          <t>DALARNAS LÄN</t>
        </is>
      </c>
      <c r="E136" t="inlineStr">
        <is>
          <t>LEKSAND</t>
        </is>
      </c>
      <c r="F136" t="inlineStr">
        <is>
          <t>Bergvik skog väst AB</t>
        </is>
      </c>
      <c r="G136" t="n">
        <v>4.8</v>
      </c>
      <c r="H136" t="n">
        <v>0</v>
      </c>
      <c r="I136" t="n">
        <v>0</v>
      </c>
      <c r="J136" t="n">
        <v>0</v>
      </c>
      <c r="K136" t="n">
        <v>0</v>
      </c>
      <c r="L136" t="n">
        <v>0</v>
      </c>
      <c r="M136" t="n">
        <v>0</v>
      </c>
      <c r="N136" t="n">
        <v>0</v>
      </c>
      <c r="O136" t="n">
        <v>0</v>
      </c>
      <c r="P136" t="n">
        <v>0</v>
      </c>
      <c r="Q136" t="n">
        <v>0</v>
      </c>
      <c r="R136" s="2" t="inlineStr"/>
    </row>
    <row r="137" ht="15" customHeight="1">
      <c r="A137" t="inlineStr">
        <is>
          <t>A 60809-2019</t>
        </is>
      </c>
      <c r="B137" s="1" t="n">
        <v>43780</v>
      </c>
      <c r="C137" s="1" t="n">
        <v>45347</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61111-2019</t>
        </is>
      </c>
      <c r="B138" s="1" t="n">
        <v>43782</v>
      </c>
      <c r="C138" s="1" t="n">
        <v>45347</v>
      </c>
      <c r="D138" t="inlineStr">
        <is>
          <t>DALARNAS LÄN</t>
        </is>
      </c>
      <c r="E138" t="inlineStr">
        <is>
          <t>LEKSAND</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61113-2019</t>
        </is>
      </c>
      <c r="B139" s="1" t="n">
        <v>43782</v>
      </c>
      <c r="C139" s="1" t="n">
        <v>45347</v>
      </c>
      <c r="D139" t="inlineStr">
        <is>
          <t>DALARNAS LÄN</t>
        </is>
      </c>
      <c r="E139" t="inlineStr">
        <is>
          <t>LEKSAND</t>
        </is>
      </c>
      <c r="F139" t="inlineStr">
        <is>
          <t>Bergvik skog väst AB</t>
        </is>
      </c>
      <c r="G139" t="n">
        <v>0.2</v>
      </c>
      <c r="H139" t="n">
        <v>0</v>
      </c>
      <c r="I139" t="n">
        <v>0</v>
      </c>
      <c r="J139" t="n">
        <v>0</v>
      </c>
      <c r="K139" t="n">
        <v>0</v>
      </c>
      <c r="L139" t="n">
        <v>0</v>
      </c>
      <c r="M139" t="n">
        <v>0</v>
      </c>
      <c r="N139" t="n">
        <v>0</v>
      </c>
      <c r="O139" t="n">
        <v>0</v>
      </c>
      <c r="P139" t="n">
        <v>0</v>
      </c>
      <c r="Q139" t="n">
        <v>0</v>
      </c>
      <c r="R139" s="2" t="inlineStr"/>
    </row>
    <row r="140" ht="15" customHeight="1">
      <c r="A140" t="inlineStr">
        <is>
          <t>A 64635-2019</t>
        </is>
      </c>
      <c r="B140" s="1" t="n">
        <v>43794</v>
      </c>
      <c r="C140" s="1" t="n">
        <v>45347</v>
      </c>
      <c r="D140" t="inlineStr">
        <is>
          <t>DALARNAS LÄN</t>
        </is>
      </c>
      <c r="E140" t="inlineStr">
        <is>
          <t>LEKSAND</t>
        </is>
      </c>
      <c r="G140" t="n">
        <v>5.4</v>
      </c>
      <c r="H140" t="n">
        <v>0</v>
      </c>
      <c r="I140" t="n">
        <v>0</v>
      </c>
      <c r="J140" t="n">
        <v>0</v>
      </c>
      <c r="K140" t="n">
        <v>0</v>
      </c>
      <c r="L140" t="n">
        <v>0</v>
      </c>
      <c r="M140" t="n">
        <v>0</v>
      </c>
      <c r="N140" t="n">
        <v>0</v>
      </c>
      <c r="O140" t="n">
        <v>0</v>
      </c>
      <c r="P140" t="n">
        <v>0</v>
      </c>
      <c r="Q140" t="n">
        <v>0</v>
      </c>
      <c r="R140" s="2" t="inlineStr"/>
    </row>
    <row r="141" ht="15" customHeight="1">
      <c r="A141" t="inlineStr">
        <is>
          <t>A 66288-2019</t>
        </is>
      </c>
      <c r="B141" s="1" t="n">
        <v>43808</v>
      </c>
      <c r="C141" s="1" t="n">
        <v>45347</v>
      </c>
      <c r="D141" t="inlineStr">
        <is>
          <t>DALARNAS LÄN</t>
        </is>
      </c>
      <c r="E141" t="inlineStr">
        <is>
          <t>LEKSAND</t>
        </is>
      </c>
      <c r="G141" t="n">
        <v>0.7</v>
      </c>
      <c r="H141" t="n">
        <v>0</v>
      </c>
      <c r="I141" t="n">
        <v>0</v>
      </c>
      <c r="J141" t="n">
        <v>0</v>
      </c>
      <c r="K141" t="n">
        <v>0</v>
      </c>
      <c r="L141" t="n">
        <v>0</v>
      </c>
      <c r="M141" t="n">
        <v>0</v>
      </c>
      <c r="N141" t="n">
        <v>0</v>
      </c>
      <c r="O141" t="n">
        <v>0</v>
      </c>
      <c r="P141" t="n">
        <v>0</v>
      </c>
      <c r="Q141" t="n">
        <v>0</v>
      </c>
      <c r="R141" s="2" t="inlineStr"/>
    </row>
    <row r="142" ht="15" customHeight="1">
      <c r="A142" t="inlineStr">
        <is>
          <t>A 66822-2019</t>
        </is>
      </c>
      <c r="B142" s="1" t="n">
        <v>43810</v>
      </c>
      <c r="C142" s="1" t="n">
        <v>45347</v>
      </c>
      <c r="D142" t="inlineStr">
        <is>
          <t>DALARNAS LÄN</t>
        </is>
      </c>
      <c r="E142" t="inlineStr">
        <is>
          <t>LEKSAND</t>
        </is>
      </c>
      <c r="G142" t="n">
        <v>5.2</v>
      </c>
      <c r="H142" t="n">
        <v>0</v>
      </c>
      <c r="I142" t="n">
        <v>0</v>
      </c>
      <c r="J142" t="n">
        <v>0</v>
      </c>
      <c r="K142" t="n">
        <v>0</v>
      </c>
      <c r="L142" t="n">
        <v>0</v>
      </c>
      <c r="M142" t="n">
        <v>0</v>
      </c>
      <c r="N142" t="n">
        <v>0</v>
      </c>
      <c r="O142" t="n">
        <v>0</v>
      </c>
      <c r="P142" t="n">
        <v>0</v>
      </c>
      <c r="Q142" t="n">
        <v>0</v>
      </c>
      <c r="R142" s="2" t="inlineStr"/>
    </row>
    <row r="143" ht="15" customHeight="1">
      <c r="A143" t="inlineStr">
        <is>
          <t>A 67123-2019</t>
        </is>
      </c>
      <c r="B143" s="1" t="n">
        <v>43811</v>
      </c>
      <c r="C143" s="1" t="n">
        <v>45347</v>
      </c>
      <c r="D143" t="inlineStr">
        <is>
          <t>DALARNAS LÄN</t>
        </is>
      </c>
      <c r="E143" t="inlineStr">
        <is>
          <t>LEKSAND</t>
        </is>
      </c>
      <c r="G143" t="n">
        <v>2.1</v>
      </c>
      <c r="H143" t="n">
        <v>0</v>
      </c>
      <c r="I143" t="n">
        <v>0</v>
      </c>
      <c r="J143" t="n">
        <v>0</v>
      </c>
      <c r="K143" t="n">
        <v>0</v>
      </c>
      <c r="L143" t="n">
        <v>0</v>
      </c>
      <c r="M143" t="n">
        <v>0</v>
      </c>
      <c r="N143" t="n">
        <v>0</v>
      </c>
      <c r="O143" t="n">
        <v>0</v>
      </c>
      <c r="P143" t="n">
        <v>0</v>
      </c>
      <c r="Q143" t="n">
        <v>0</v>
      </c>
      <c r="R143" s="2" t="inlineStr"/>
    </row>
    <row r="144" ht="15" customHeight="1">
      <c r="A144" t="inlineStr">
        <is>
          <t>A 68808-2019</t>
        </is>
      </c>
      <c r="B144" s="1" t="n">
        <v>43815</v>
      </c>
      <c r="C144" s="1" t="n">
        <v>45347</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1604-2020</t>
        </is>
      </c>
      <c r="B145" s="1" t="n">
        <v>43829</v>
      </c>
      <c r="C145" s="1" t="n">
        <v>45347</v>
      </c>
      <c r="D145" t="inlineStr">
        <is>
          <t>DALARNAS LÄN</t>
        </is>
      </c>
      <c r="E145" t="inlineStr">
        <is>
          <t>LEKSAND</t>
        </is>
      </c>
      <c r="G145" t="n">
        <v>1.3</v>
      </c>
      <c r="H145" t="n">
        <v>0</v>
      </c>
      <c r="I145" t="n">
        <v>0</v>
      </c>
      <c r="J145" t="n">
        <v>0</v>
      </c>
      <c r="K145" t="n">
        <v>0</v>
      </c>
      <c r="L145" t="n">
        <v>0</v>
      </c>
      <c r="M145" t="n">
        <v>0</v>
      </c>
      <c r="N145" t="n">
        <v>0</v>
      </c>
      <c r="O145" t="n">
        <v>0</v>
      </c>
      <c r="P145" t="n">
        <v>0</v>
      </c>
      <c r="Q145" t="n">
        <v>0</v>
      </c>
      <c r="R145" s="2" t="inlineStr"/>
    </row>
    <row r="146" ht="15" customHeight="1">
      <c r="A146" t="inlineStr">
        <is>
          <t>A 1915-2020</t>
        </is>
      </c>
      <c r="B146" s="1" t="n">
        <v>43837</v>
      </c>
      <c r="C146" s="1" t="n">
        <v>45347</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1778-2020</t>
        </is>
      </c>
      <c r="B147" s="1" t="n">
        <v>43844</v>
      </c>
      <c r="C147" s="1" t="n">
        <v>45347</v>
      </c>
      <c r="D147" t="inlineStr">
        <is>
          <t>DALARNAS LÄN</t>
        </is>
      </c>
      <c r="E147" t="inlineStr">
        <is>
          <t>LEKSAND</t>
        </is>
      </c>
      <c r="G147" t="n">
        <v>1.3</v>
      </c>
      <c r="H147" t="n">
        <v>0</v>
      </c>
      <c r="I147" t="n">
        <v>0</v>
      </c>
      <c r="J147" t="n">
        <v>0</v>
      </c>
      <c r="K147" t="n">
        <v>0</v>
      </c>
      <c r="L147" t="n">
        <v>0</v>
      </c>
      <c r="M147" t="n">
        <v>0</v>
      </c>
      <c r="N147" t="n">
        <v>0</v>
      </c>
      <c r="O147" t="n">
        <v>0</v>
      </c>
      <c r="P147" t="n">
        <v>0</v>
      </c>
      <c r="Q147" t="n">
        <v>0</v>
      </c>
      <c r="R147" s="2" t="inlineStr"/>
    </row>
    <row r="148" ht="15" customHeight="1">
      <c r="A148" t="inlineStr">
        <is>
          <t>A 2670-2020</t>
        </is>
      </c>
      <c r="B148" s="1" t="n">
        <v>43849</v>
      </c>
      <c r="C148" s="1" t="n">
        <v>45347</v>
      </c>
      <c r="D148" t="inlineStr">
        <is>
          <t>DALARNAS LÄN</t>
        </is>
      </c>
      <c r="E148" t="inlineStr">
        <is>
          <t>LEKSAND</t>
        </is>
      </c>
      <c r="G148" t="n">
        <v>2.4</v>
      </c>
      <c r="H148" t="n">
        <v>0</v>
      </c>
      <c r="I148" t="n">
        <v>0</v>
      </c>
      <c r="J148" t="n">
        <v>0</v>
      </c>
      <c r="K148" t="n">
        <v>0</v>
      </c>
      <c r="L148" t="n">
        <v>0</v>
      </c>
      <c r="M148" t="n">
        <v>0</v>
      </c>
      <c r="N148" t="n">
        <v>0</v>
      </c>
      <c r="O148" t="n">
        <v>0</v>
      </c>
      <c r="P148" t="n">
        <v>0</v>
      </c>
      <c r="Q148" t="n">
        <v>0</v>
      </c>
      <c r="R148" s="2" t="inlineStr"/>
    </row>
    <row r="149" ht="15" customHeight="1">
      <c r="A149" t="inlineStr">
        <is>
          <t>A 4479-2020</t>
        </is>
      </c>
      <c r="B149" s="1" t="n">
        <v>43850</v>
      </c>
      <c r="C149" s="1" t="n">
        <v>45347</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4004-2020</t>
        </is>
      </c>
      <c r="B150" s="1" t="n">
        <v>43856</v>
      </c>
      <c r="C150" s="1" t="n">
        <v>45347</v>
      </c>
      <c r="D150" t="inlineStr">
        <is>
          <t>DALARNAS LÄN</t>
        </is>
      </c>
      <c r="E150" t="inlineStr">
        <is>
          <t>LEKSAND</t>
        </is>
      </c>
      <c r="G150" t="n">
        <v>6</v>
      </c>
      <c r="H150" t="n">
        <v>0</v>
      </c>
      <c r="I150" t="n">
        <v>0</v>
      </c>
      <c r="J150" t="n">
        <v>0</v>
      </c>
      <c r="K150" t="n">
        <v>0</v>
      </c>
      <c r="L150" t="n">
        <v>0</v>
      </c>
      <c r="M150" t="n">
        <v>0</v>
      </c>
      <c r="N150" t="n">
        <v>0</v>
      </c>
      <c r="O150" t="n">
        <v>0</v>
      </c>
      <c r="P150" t="n">
        <v>0</v>
      </c>
      <c r="Q150" t="n">
        <v>0</v>
      </c>
      <c r="R150" s="2" t="inlineStr"/>
    </row>
    <row r="151" ht="15" customHeight="1">
      <c r="A151" t="inlineStr">
        <is>
          <t>A 6002-2020</t>
        </is>
      </c>
      <c r="B151" s="1" t="n">
        <v>43864</v>
      </c>
      <c r="C151" s="1" t="n">
        <v>45347</v>
      </c>
      <c r="D151" t="inlineStr">
        <is>
          <t>DALARNAS LÄN</t>
        </is>
      </c>
      <c r="E151" t="inlineStr">
        <is>
          <t>LEKSAND</t>
        </is>
      </c>
      <c r="G151" t="n">
        <v>0.6</v>
      </c>
      <c r="H151" t="n">
        <v>0</v>
      </c>
      <c r="I151" t="n">
        <v>0</v>
      </c>
      <c r="J151" t="n">
        <v>0</v>
      </c>
      <c r="K151" t="n">
        <v>0</v>
      </c>
      <c r="L151" t="n">
        <v>0</v>
      </c>
      <c r="M151" t="n">
        <v>0</v>
      </c>
      <c r="N151" t="n">
        <v>0</v>
      </c>
      <c r="O151" t="n">
        <v>0</v>
      </c>
      <c r="P151" t="n">
        <v>0</v>
      </c>
      <c r="Q151" t="n">
        <v>0</v>
      </c>
      <c r="R151" s="2" t="inlineStr"/>
    </row>
    <row r="152" ht="15" customHeight="1">
      <c r="A152" t="inlineStr">
        <is>
          <t>A 6017-2020</t>
        </is>
      </c>
      <c r="B152" s="1" t="n">
        <v>43864</v>
      </c>
      <c r="C152" s="1" t="n">
        <v>45347</v>
      </c>
      <c r="D152" t="inlineStr">
        <is>
          <t>DALARNAS LÄN</t>
        </is>
      </c>
      <c r="E152" t="inlineStr">
        <is>
          <t>LEKSAND</t>
        </is>
      </c>
      <c r="G152" t="n">
        <v>2.6</v>
      </c>
      <c r="H152" t="n">
        <v>0</v>
      </c>
      <c r="I152" t="n">
        <v>0</v>
      </c>
      <c r="J152" t="n">
        <v>0</v>
      </c>
      <c r="K152" t="n">
        <v>0</v>
      </c>
      <c r="L152" t="n">
        <v>0</v>
      </c>
      <c r="M152" t="n">
        <v>0</v>
      </c>
      <c r="N152" t="n">
        <v>0</v>
      </c>
      <c r="O152" t="n">
        <v>0</v>
      </c>
      <c r="P152" t="n">
        <v>0</v>
      </c>
      <c r="Q152" t="n">
        <v>0</v>
      </c>
      <c r="R152" s="2" t="inlineStr"/>
    </row>
    <row r="153" ht="15" customHeight="1">
      <c r="A153" t="inlineStr">
        <is>
          <t>A 6751-2020</t>
        </is>
      </c>
      <c r="B153" s="1" t="n">
        <v>43866</v>
      </c>
      <c r="C153" s="1" t="n">
        <v>45347</v>
      </c>
      <c r="D153" t="inlineStr">
        <is>
          <t>DALARNAS LÄN</t>
        </is>
      </c>
      <c r="E153" t="inlineStr">
        <is>
          <t>LEKSAND</t>
        </is>
      </c>
      <c r="G153" t="n">
        <v>1.4</v>
      </c>
      <c r="H153" t="n">
        <v>0</v>
      </c>
      <c r="I153" t="n">
        <v>0</v>
      </c>
      <c r="J153" t="n">
        <v>0</v>
      </c>
      <c r="K153" t="n">
        <v>0</v>
      </c>
      <c r="L153" t="n">
        <v>0</v>
      </c>
      <c r="M153" t="n">
        <v>0</v>
      </c>
      <c r="N153" t="n">
        <v>0</v>
      </c>
      <c r="O153" t="n">
        <v>0</v>
      </c>
      <c r="P153" t="n">
        <v>0</v>
      </c>
      <c r="Q153" t="n">
        <v>0</v>
      </c>
      <c r="R153" s="2" t="inlineStr"/>
    </row>
    <row r="154" ht="15" customHeight="1">
      <c r="A154" t="inlineStr">
        <is>
          <t>A 7351-2020</t>
        </is>
      </c>
      <c r="B154" s="1" t="n">
        <v>43871</v>
      </c>
      <c r="C154" s="1" t="n">
        <v>45347</v>
      </c>
      <c r="D154" t="inlineStr">
        <is>
          <t>DALARNAS LÄN</t>
        </is>
      </c>
      <c r="E154" t="inlineStr">
        <is>
          <t>LEKSAND</t>
        </is>
      </c>
      <c r="F154" t="inlineStr">
        <is>
          <t>Bergvik skog väst AB</t>
        </is>
      </c>
      <c r="G154" t="n">
        <v>5.4</v>
      </c>
      <c r="H154" t="n">
        <v>0</v>
      </c>
      <c r="I154" t="n">
        <v>0</v>
      </c>
      <c r="J154" t="n">
        <v>0</v>
      </c>
      <c r="K154" t="n">
        <v>0</v>
      </c>
      <c r="L154" t="n">
        <v>0</v>
      </c>
      <c r="M154" t="n">
        <v>0</v>
      </c>
      <c r="N154" t="n">
        <v>0</v>
      </c>
      <c r="O154" t="n">
        <v>0</v>
      </c>
      <c r="P154" t="n">
        <v>0</v>
      </c>
      <c r="Q154" t="n">
        <v>0</v>
      </c>
      <c r="R154" s="2" t="inlineStr"/>
    </row>
    <row r="155" ht="15" customHeight="1">
      <c r="A155" t="inlineStr">
        <is>
          <t>A 7868-2020</t>
        </is>
      </c>
      <c r="B155" s="1" t="n">
        <v>43873</v>
      </c>
      <c r="C155" s="1" t="n">
        <v>45347</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9710-2020</t>
        </is>
      </c>
      <c r="B156" s="1" t="n">
        <v>43881</v>
      </c>
      <c r="C156" s="1" t="n">
        <v>45347</v>
      </c>
      <c r="D156" t="inlineStr">
        <is>
          <t>DALARNAS LÄN</t>
        </is>
      </c>
      <c r="E156" t="inlineStr">
        <is>
          <t>LEKSAND</t>
        </is>
      </c>
      <c r="G156" t="n">
        <v>1</v>
      </c>
      <c r="H156" t="n">
        <v>0</v>
      </c>
      <c r="I156" t="n">
        <v>0</v>
      </c>
      <c r="J156" t="n">
        <v>0</v>
      </c>
      <c r="K156" t="n">
        <v>0</v>
      </c>
      <c r="L156" t="n">
        <v>0</v>
      </c>
      <c r="M156" t="n">
        <v>0</v>
      </c>
      <c r="N156" t="n">
        <v>0</v>
      </c>
      <c r="O156" t="n">
        <v>0</v>
      </c>
      <c r="P156" t="n">
        <v>0</v>
      </c>
      <c r="Q156" t="n">
        <v>0</v>
      </c>
      <c r="R156" s="2" t="inlineStr"/>
    </row>
    <row r="157" ht="15" customHeight="1">
      <c r="A157" t="inlineStr">
        <is>
          <t>A 11372-2020</t>
        </is>
      </c>
      <c r="B157" s="1" t="n">
        <v>43892</v>
      </c>
      <c r="C157" s="1" t="n">
        <v>45347</v>
      </c>
      <c r="D157" t="inlineStr">
        <is>
          <t>DALARNAS LÄN</t>
        </is>
      </c>
      <c r="E157" t="inlineStr">
        <is>
          <t>LEKSAND</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12176-2020</t>
        </is>
      </c>
      <c r="B158" s="1" t="n">
        <v>43895</v>
      </c>
      <c r="C158" s="1" t="n">
        <v>45347</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12247-2020</t>
        </is>
      </c>
      <c r="B159" s="1" t="n">
        <v>43895</v>
      </c>
      <c r="C159" s="1" t="n">
        <v>45347</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13340-2020</t>
        </is>
      </c>
      <c r="B160" s="1" t="n">
        <v>43902</v>
      </c>
      <c r="C160" s="1" t="n">
        <v>45347</v>
      </c>
      <c r="D160" t="inlineStr">
        <is>
          <t>DALARNAS LÄN</t>
        </is>
      </c>
      <c r="E160" t="inlineStr">
        <is>
          <t>LEKSAND</t>
        </is>
      </c>
      <c r="G160" t="n">
        <v>1.4</v>
      </c>
      <c r="H160" t="n">
        <v>0</v>
      </c>
      <c r="I160" t="n">
        <v>0</v>
      </c>
      <c r="J160" t="n">
        <v>0</v>
      </c>
      <c r="K160" t="n">
        <v>0</v>
      </c>
      <c r="L160" t="n">
        <v>0</v>
      </c>
      <c r="M160" t="n">
        <v>0</v>
      </c>
      <c r="N160" t="n">
        <v>0</v>
      </c>
      <c r="O160" t="n">
        <v>0</v>
      </c>
      <c r="P160" t="n">
        <v>0</v>
      </c>
      <c r="Q160" t="n">
        <v>0</v>
      </c>
      <c r="R160" s="2" t="inlineStr"/>
    </row>
    <row r="161" ht="15" customHeight="1">
      <c r="A161" t="inlineStr">
        <is>
          <t>A 13356-2020</t>
        </is>
      </c>
      <c r="B161" s="1" t="n">
        <v>43902</v>
      </c>
      <c r="C161" s="1" t="n">
        <v>45347</v>
      </c>
      <c r="D161" t="inlineStr">
        <is>
          <t>DALARNAS LÄN</t>
        </is>
      </c>
      <c r="E161" t="inlineStr">
        <is>
          <t>LEKSAND</t>
        </is>
      </c>
      <c r="G161" t="n">
        <v>0.4</v>
      </c>
      <c r="H161" t="n">
        <v>0</v>
      </c>
      <c r="I161" t="n">
        <v>0</v>
      </c>
      <c r="J161" t="n">
        <v>0</v>
      </c>
      <c r="K161" t="n">
        <v>0</v>
      </c>
      <c r="L161" t="n">
        <v>0</v>
      </c>
      <c r="M161" t="n">
        <v>0</v>
      </c>
      <c r="N161" t="n">
        <v>0</v>
      </c>
      <c r="O161" t="n">
        <v>0</v>
      </c>
      <c r="P161" t="n">
        <v>0</v>
      </c>
      <c r="Q161" t="n">
        <v>0</v>
      </c>
      <c r="R161" s="2" t="inlineStr"/>
    </row>
    <row r="162" ht="15" customHeight="1">
      <c r="A162" t="inlineStr">
        <is>
          <t>A 13352-2020</t>
        </is>
      </c>
      <c r="B162" s="1" t="n">
        <v>43902</v>
      </c>
      <c r="C162" s="1" t="n">
        <v>45347</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15165-2020</t>
        </is>
      </c>
      <c r="B163" s="1" t="n">
        <v>43912</v>
      </c>
      <c r="C163" s="1" t="n">
        <v>45347</v>
      </c>
      <c r="D163" t="inlineStr">
        <is>
          <t>DALARNAS LÄN</t>
        </is>
      </c>
      <c r="E163" t="inlineStr">
        <is>
          <t>LEKSAND</t>
        </is>
      </c>
      <c r="G163" t="n">
        <v>1.2</v>
      </c>
      <c r="H163" t="n">
        <v>0</v>
      </c>
      <c r="I163" t="n">
        <v>0</v>
      </c>
      <c r="J163" t="n">
        <v>0</v>
      </c>
      <c r="K163" t="n">
        <v>0</v>
      </c>
      <c r="L163" t="n">
        <v>0</v>
      </c>
      <c r="M163" t="n">
        <v>0</v>
      </c>
      <c r="N163" t="n">
        <v>0</v>
      </c>
      <c r="O163" t="n">
        <v>0</v>
      </c>
      <c r="P163" t="n">
        <v>0</v>
      </c>
      <c r="Q163" t="n">
        <v>0</v>
      </c>
      <c r="R163" s="2" t="inlineStr"/>
    </row>
    <row r="164" ht="15" customHeight="1">
      <c r="A164" t="inlineStr">
        <is>
          <t>A 16288-2020</t>
        </is>
      </c>
      <c r="B164" s="1" t="n">
        <v>43917</v>
      </c>
      <c r="C164" s="1" t="n">
        <v>45347</v>
      </c>
      <c r="D164" t="inlineStr">
        <is>
          <t>DALARNAS LÄN</t>
        </is>
      </c>
      <c r="E164" t="inlineStr">
        <is>
          <t>LEKSAND</t>
        </is>
      </c>
      <c r="F164" t="inlineStr">
        <is>
          <t>Bergvik skog väst AB</t>
        </is>
      </c>
      <c r="G164" t="n">
        <v>0.6</v>
      </c>
      <c r="H164" t="n">
        <v>0</v>
      </c>
      <c r="I164" t="n">
        <v>0</v>
      </c>
      <c r="J164" t="n">
        <v>0</v>
      </c>
      <c r="K164" t="n">
        <v>0</v>
      </c>
      <c r="L164" t="n">
        <v>0</v>
      </c>
      <c r="M164" t="n">
        <v>0</v>
      </c>
      <c r="N164" t="n">
        <v>0</v>
      </c>
      <c r="O164" t="n">
        <v>0</v>
      </c>
      <c r="P164" t="n">
        <v>0</v>
      </c>
      <c r="Q164" t="n">
        <v>0</v>
      </c>
      <c r="R164" s="2" t="inlineStr"/>
    </row>
    <row r="165" ht="15" customHeight="1">
      <c r="A165" t="inlineStr">
        <is>
          <t>A 18803-2020</t>
        </is>
      </c>
      <c r="B165" s="1" t="n">
        <v>43933</v>
      </c>
      <c r="C165" s="1" t="n">
        <v>45347</v>
      </c>
      <c r="D165" t="inlineStr">
        <is>
          <t>DALARNAS LÄN</t>
        </is>
      </c>
      <c r="E165" t="inlineStr">
        <is>
          <t>LEKSAND</t>
        </is>
      </c>
      <c r="G165" t="n">
        <v>1.9</v>
      </c>
      <c r="H165" t="n">
        <v>0</v>
      </c>
      <c r="I165" t="n">
        <v>0</v>
      </c>
      <c r="J165" t="n">
        <v>0</v>
      </c>
      <c r="K165" t="n">
        <v>0</v>
      </c>
      <c r="L165" t="n">
        <v>0</v>
      </c>
      <c r="M165" t="n">
        <v>0</v>
      </c>
      <c r="N165" t="n">
        <v>0</v>
      </c>
      <c r="O165" t="n">
        <v>0</v>
      </c>
      <c r="P165" t="n">
        <v>0</v>
      </c>
      <c r="Q165" t="n">
        <v>0</v>
      </c>
      <c r="R165" s="2" t="inlineStr"/>
    </row>
    <row r="166" ht="15" customHeight="1">
      <c r="A166" t="inlineStr">
        <is>
          <t>A 19361-2020</t>
        </is>
      </c>
      <c r="B166" s="1" t="n">
        <v>43938</v>
      </c>
      <c r="C166" s="1" t="n">
        <v>45347</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21141-2020</t>
        </is>
      </c>
      <c r="B167" s="1" t="n">
        <v>43951</v>
      </c>
      <c r="C167" s="1" t="n">
        <v>45347</v>
      </c>
      <c r="D167" t="inlineStr">
        <is>
          <t>DALARNAS LÄN</t>
        </is>
      </c>
      <c r="E167" t="inlineStr">
        <is>
          <t>LEKSAND</t>
        </is>
      </c>
      <c r="F167" t="inlineStr">
        <is>
          <t>Bergvik skog väst AB</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22718-2020</t>
        </is>
      </c>
      <c r="B168" s="1" t="n">
        <v>43964</v>
      </c>
      <c r="C168" s="1" t="n">
        <v>45347</v>
      </c>
      <c r="D168" t="inlineStr">
        <is>
          <t>DALARNAS LÄN</t>
        </is>
      </c>
      <c r="E168" t="inlineStr">
        <is>
          <t>LEKSAND</t>
        </is>
      </c>
      <c r="G168" t="n">
        <v>1.7</v>
      </c>
      <c r="H168" t="n">
        <v>0</v>
      </c>
      <c r="I168" t="n">
        <v>0</v>
      </c>
      <c r="J168" t="n">
        <v>0</v>
      </c>
      <c r="K168" t="n">
        <v>0</v>
      </c>
      <c r="L168" t="n">
        <v>0</v>
      </c>
      <c r="M168" t="n">
        <v>0</v>
      </c>
      <c r="N168" t="n">
        <v>0</v>
      </c>
      <c r="O168" t="n">
        <v>0</v>
      </c>
      <c r="P168" t="n">
        <v>0</v>
      </c>
      <c r="Q168" t="n">
        <v>0</v>
      </c>
      <c r="R168" s="2" t="inlineStr"/>
    </row>
    <row r="169" ht="15" customHeight="1">
      <c r="A169" t="inlineStr">
        <is>
          <t>A 24207-2020</t>
        </is>
      </c>
      <c r="B169" s="1" t="n">
        <v>43973</v>
      </c>
      <c r="C169" s="1" t="n">
        <v>45347</v>
      </c>
      <c r="D169" t="inlineStr">
        <is>
          <t>DALARNAS LÄN</t>
        </is>
      </c>
      <c r="E169" t="inlineStr">
        <is>
          <t>LEKSAND</t>
        </is>
      </c>
      <c r="G169" t="n">
        <v>2.2</v>
      </c>
      <c r="H169" t="n">
        <v>0</v>
      </c>
      <c r="I169" t="n">
        <v>0</v>
      </c>
      <c r="J169" t="n">
        <v>0</v>
      </c>
      <c r="K169" t="n">
        <v>0</v>
      </c>
      <c r="L169" t="n">
        <v>0</v>
      </c>
      <c r="M169" t="n">
        <v>0</v>
      </c>
      <c r="N169" t="n">
        <v>0</v>
      </c>
      <c r="O169" t="n">
        <v>0</v>
      </c>
      <c r="P169" t="n">
        <v>0</v>
      </c>
      <c r="Q169" t="n">
        <v>0</v>
      </c>
      <c r="R169" s="2" t="inlineStr"/>
    </row>
    <row r="170" ht="15" customHeight="1">
      <c r="A170" t="inlineStr">
        <is>
          <t>A 25156-2020</t>
        </is>
      </c>
      <c r="B170" s="1" t="n">
        <v>43978</v>
      </c>
      <c r="C170" s="1" t="n">
        <v>45347</v>
      </c>
      <c r="D170" t="inlineStr">
        <is>
          <t>DALARNAS LÄN</t>
        </is>
      </c>
      <c r="E170" t="inlineStr">
        <is>
          <t>LEKSAND</t>
        </is>
      </c>
      <c r="G170" t="n">
        <v>0.9</v>
      </c>
      <c r="H170" t="n">
        <v>0</v>
      </c>
      <c r="I170" t="n">
        <v>0</v>
      </c>
      <c r="J170" t="n">
        <v>0</v>
      </c>
      <c r="K170" t="n">
        <v>0</v>
      </c>
      <c r="L170" t="n">
        <v>0</v>
      </c>
      <c r="M170" t="n">
        <v>0</v>
      </c>
      <c r="N170" t="n">
        <v>0</v>
      </c>
      <c r="O170" t="n">
        <v>0</v>
      </c>
      <c r="P170" t="n">
        <v>0</v>
      </c>
      <c r="Q170" t="n">
        <v>0</v>
      </c>
      <c r="R170" s="2" t="inlineStr"/>
    </row>
    <row r="171" ht="15" customHeight="1">
      <c r="A171" t="inlineStr">
        <is>
          <t>A 25720-2020</t>
        </is>
      </c>
      <c r="B171" s="1" t="n">
        <v>43984</v>
      </c>
      <c r="C171" s="1" t="n">
        <v>45347</v>
      </c>
      <c r="D171" t="inlineStr">
        <is>
          <t>DALARNAS LÄN</t>
        </is>
      </c>
      <c r="E171" t="inlineStr">
        <is>
          <t>LEKSAND</t>
        </is>
      </c>
      <c r="G171" t="n">
        <v>3.5</v>
      </c>
      <c r="H171" t="n">
        <v>0</v>
      </c>
      <c r="I171" t="n">
        <v>0</v>
      </c>
      <c r="J171" t="n">
        <v>0</v>
      </c>
      <c r="K171" t="n">
        <v>0</v>
      </c>
      <c r="L171" t="n">
        <v>0</v>
      </c>
      <c r="M171" t="n">
        <v>0</v>
      </c>
      <c r="N171" t="n">
        <v>0</v>
      </c>
      <c r="O171" t="n">
        <v>0</v>
      </c>
      <c r="P171" t="n">
        <v>0</v>
      </c>
      <c r="Q171" t="n">
        <v>0</v>
      </c>
      <c r="R171" s="2" t="inlineStr"/>
    </row>
    <row r="172" ht="15" customHeight="1">
      <c r="A172" t="inlineStr">
        <is>
          <t>A 25989-2020</t>
        </is>
      </c>
      <c r="B172" s="1" t="n">
        <v>43985</v>
      </c>
      <c r="C172" s="1" t="n">
        <v>45347</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26456-2020</t>
        </is>
      </c>
      <c r="B173" s="1" t="n">
        <v>43986</v>
      </c>
      <c r="C173" s="1" t="n">
        <v>45347</v>
      </c>
      <c r="D173" t="inlineStr">
        <is>
          <t>DALARNAS LÄN</t>
        </is>
      </c>
      <c r="E173" t="inlineStr">
        <is>
          <t>LEKSAND</t>
        </is>
      </c>
      <c r="G173" t="n">
        <v>2.9</v>
      </c>
      <c r="H173" t="n">
        <v>0</v>
      </c>
      <c r="I173" t="n">
        <v>0</v>
      </c>
      <c r="J173" t="n">
        <v>0</v>
      </c>
      <c r="K173" t="n">
        <v>0</v>
      </c>
      <c r="L173" t="n">
        <v>0</v>
      </c>
      <c r="M173" t="n">
        <v>0</v>
      </c>
      <c r="N173" t="n">
        <v>0</v>
      </c>
      <c r="O173" t="n">
        <v>0</v>
      </c>
      <c r="P173" t="n">
        <v>0</v>
      </c>
      <c r="Q173" t="n">
        <v>0</v>
      </c>
      <c r="R173" s="2" t="inlineStr"/>
    </row>
    <row r="174" ht="15" customHeight="1">
      <c r="A174" t="inlineStr">
        <is>
          <t>A 26560-2020</t>
        </is>
      </c>
      <c r="B174" s="1" t="n">
        <v>43987</v>
      </c>
      <c r="C174" s="1" t="n">
        <v>45347</v>
      </c>
      <c r="D174" t="inlineStr">
        <is>
          <t>DALARNAS LÄN</t>
        </is>
      </c>
      <c r="E174" t="inlineStr">
        <is>
          <t>LEKSAND</t>
        </is>
      </c>
      <c r="G174" t="n">
        <v>0.8</v>
      </c>
      <c r="H174" t="n">
        <v>0</v>
      </c>
      <c r="I174" t="n">
        <v>0</v>
      </c>
      <c r="J174" t="n">
        <v>0</v>
      </c>
      <c r="K174" t="n">
        <v>0</v>
      </c>
      <c r="L174" t="n">
        <v>0</v>
      </c>
      <c r="M174" t="n">
        <v>0</v>
      </c>
      <c r="N174" t="n">
        <v>0</v>
      </c>
      <c r="O174" t="n">
        <v>0</v>
      </c>
      <c r="P174" t="n">
        <v>0</v>
      </c>
      <c r="Q174" t="n">
        <v>0</v>
      </c>
      <c r="R174" s="2" t="inlineStr"/>
    </row>
    <row r="175" ht="15" customHeight="1">
      <c r="A175" t="inlineStr">
        <is>
          <t>A 28161-2020</t>
        </is>
      </c>
      <c r="B175" s="1" t="n">
        <v>43997</v>
      </c>
      <c r="C175" s="1" t="n">
        <v>45347</v>
      </c>
      <c r="D175" t="inlineStr">
        <is>
          <t>DALARNAS LÄN</t>
        </is>
      </c>
      <c r="E175" t="inlineStr">
        <is>
          <t>LEKSAND</t>
        </is>
      </c>
      <c r="G175" t="n">
        <v>1.2</v>
      </c>
      <c r="H175" t="n">
        <v>0</v>
      </c>
      <c r="I175" t="n">
        <v>0</v>
      </c>
      <c r="J175" t="n">
        <v>0</v>
      </c>
      <c r="K175" t="n">
        <v>0</v>
      </c>
      <c r="L175" t="n">
        <v>0</v>
      </c>
      <c r="M175" t="n">
        <v>0</v>
      </c>
      <c r="N175" t="n">
        <v>0</v>
      </c>
      <c r="O175" t="n">
        <v>0</v>
      </c>
      <c r="P175" t="n">
        <v>0</v>
      </c>
      <c r="Q175" t="n">
        <v>0</v>
      </c>
      <c r="R175" s="2" t="inlineStr"/>
    </row>
    <row r="176" ht="15" customHeight="1">
      <c r="A176" t="inlineStr">
        <is>
          <t>A 28796-2020</t>
        </is>
      </c>
      <c r="B176" s="1" t="n">
        <v>44000</v>
      </c>
      <c r="C176" s="1" t="n">
        <v>45347</v>
      </c>
      <c r="D176" t="inlineStr">
        <is>
          <t>DALARNAS LÄN</t>
        </is>
      </c>
      <c r="E176" t="inlineStr">
        <is>
          <t>LEKSAND</t>
        </is>
      </c>
      <c r="F176" t="inlineStr">
        <is>
          <t>Bergvik skog väst AB</t>
        </is>
      </c>
      <c r="G176" t="n">
        <v>4.7</v>
      </c>
      <c r="H176" t="n">
        <v>0</v>
      </c>
      <c r="I176" t="n">
        <v>0</v>
      </c>
      <c r="J176" t="n">
        <v>0</v>
      </c>
      <c r="K176" t="n">
        <v>0</v>
      </c>
      <c r="L176" t="n">
        <v>0</v>
      </c>
      <c r="M176" t="n">
        <v>0</v>
      </c>
      <c r="N176" t="n">
        <v>0</v>
      </c>
      <c r="O176" t="n">
        <v>0</v>
      </c>
      <c r="P176" t="n">
        <v>0</v>
      </c>
      <c r="Q176" t="n">
        <v>0</v>
      </c>
      <c r="R176" s="2" t="inlineStr"/>
    </row>
    <row r="177" ht="15" customHeight="1">
      <c r="A177" t="inlineStr">
        <is>
          <t>A 29089-2020</t>
        </is>
      </c>
      <c r="B177" s="1" t="n">
        <v>44002</v>
      </c>
      <c r="C177" s="1" t="n">
        <v>45347</v>
      </c>
      <c r="D177" t="inlineStr">
        <is>
          <t>DALARNAS LÄN</t>
        </is>
      </c>
      <c r="E177" t="inlineStr">
        <is>
          <t>LEKSAND</t>
        </is>
      </c>
      <c r="G177" t="n">
        <v>1.8</v>
      </c>
      <c r="H177" t="n">
        <v>0</v>
      </c>
      <c r="I177" t="n">
        <v>0</v>
      </c>
      <c r="J177" t="n">
        <v>0</v>
      </c>
      <c r="K177" t="n">
        <v>0</v>
      </c>
      <c r="L177" t="n">
        <v>0</v>
      </c>
      <c r="M177" t="n">
        <v>0</v>
      </c>
      <c r="N177" t="n">
        <v>0</v>
      </c>
      <c r="O177" t="n">
        <v>0</v>
      </c>
      <c r="P177" t="n">
        <v>0</v>
      </c>
      <c r="Q177" t="n">
        <v>0</v>
      </c>
      <c r="R177" s="2" t="inlineStr"/>
    </row>
    <row r="178" ht="15" customHeight="1">
      <c r="A178" t="inlineStr">
        <is>
          <t>A 29088-2020</t>
        </is>
      </c>
      <c r="B178" s="1" t="n">
        <v>44002</v>
      </c>
      <c r="C178" s="1" t="n">
        <v>45347</v>
      </c>
      <c r="D178" t="inlineStr">
        <is>
          <t>DALARNAS LÄN</t>
        </is>
      </c>
      <c r="E178" t="inlineStr">
        <is>
          <t>LEKSAND</t>
        </is>
      </c>
      <c r="G178" t="n">
        <v>0.6</v>
      </c>
      <c r="H178" t="n">
        <v>0</v>
      </c>
      <c r="I178" t="n">
        <v>0</v>
      </c>
      <c r="J178" t="n">
        <v>0</v>
      </c>
      <c r="K178" t="n">
        <v>0</v>
      </c>
      <c r="L178" t="n">
        <v>0</v>
      </c>
      <c r="M178" t="n">
        <v>0</v>
      </c>
      <c r="N178" t="n">
        <v>0</v>
      </c>
      <c r="O178" t="n">
        <v>0</v>
      </c>
      <c r="P178" t="n">
        <v>0</v>
      </c>
      <c r="Q178" t="n">
        <v>0</v>
      </c>
      <c r="R178" s="2" t="inlineStr"/>
    </row>
    <row r="179" ht="15" customHeight="1">
      <c r="A179" t="inlineStr">
        <is>
          <t>A 29672-2020</t>
        </is>
      </c>
      <c r="B179" s="1" t="n">
        <v>44005</v>
      </c>
      <c r="C179" s="1" t="n">
        <v>45347</v>
      </c>
      <c r="D179" t="inlineStr">
        <is>
          <t>DALARNAS LÄN</t>
        </is>
      </c>
      <c r="E179" t="inlineStr">
        <is>
          <t>LEKSAND</t>
        </is>
      </c>
      <c r="G179" t="n">
        <v>0.4</v>
      </c>
      <c r="H179" t="n">
        <v>0</v>
      </c>
      <c r="I179" t="n">
        <v>0</v>
      </c>
      <c r="J179" t="n">
        <v>0</v>
      </c>
      <c r="K179" t="n">
        <v>0</v>
      </c>
      <c r="L179" t="n">
        <v>0</v>
      </c>
      <c r="M179" t="n">
        <v>0</v>
      </c>
      <c r="N179" t="n">
        <v>0</v>
      </c>
      <c r="O179" t="n">
        <v>0</v>
      </c>
      <c r="P179" t="n">
        <v>0</v>
      </c>
      <c r="Q179" t="n">
        <v>0</v>
      </c>
      <c r="R179" s="2" t="inlineStr"/>
    </row>
    <row r="180" ht="15" customHeight="1">
      <c r="A180" t="inlineStr">
        <is>
          <t>A 31629-2020</t>
        </is>
      </c>
      <c r="B180" s="1" t="n">
        <v>44013</v>
      </c>
      <c r="C180" s="1" t="n">
        <v>45347</v>
      </c>
      <c r="D180" t="inlineStr">
        <is>
          <t>DALARNAS LÄN</t>
        </is>
      </c>
      <c r="E180" t="inlineStr">
        <is>
          <t>LEKSAND</t>
        </is>
      </c>
      <c r="G180" t="n">
        <v>5.4</v>
      </c>
      <c r="H180" t="n">
        <v>0</v>
      </c>
      <c r="I180" t="n">
        <v>0</v>
      </c>
      <c r="J180" t="n">
        <v>0</v>
      </c>
      <c r="K180" t="n">
        <v>0</v>
      </c>
      <c r="L180" t="n">
        <v>0</v>
      </c>
      <c r="M180" t="n">
        <v>0</v>
      </c>
      <c r="N180" t="n">
        <v>0</v>
      </c>
      <c r="O180" t="n">
        <v>0</v>
      </c>
      <c r="P180" t="n">
        <v>0</v>
      </c>
      <c r="Q180" t="n">
        <v>0</v>
      </c>
      <c r="R180" s="2" t="inlineStr"/>
    </row>
    <row r="181" ht="15" customHeight="1">
      <c r="A181" t="inlineStr">
        <is>
          <t>A 36306-2020</t>
        </is>
      </c>
      <c r="B181" s="1" t="n">
        <v>44049</v>
      </c>
      <c r="C181" s="1" t="n">
        <v>45347</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37568-2020</t>
        </is>
      </c>
      <c r="B182" s="1" t="n">
        <v>44056</v>
      </c>
      <c r="C182" s="1" t="n">
        <v>45347</v>
      </c>
      <c r="D182" t="inlineStr">
        <is>
          <t>DALARNAS LÄN</t>
        </is>
      </c>
      <c r="E182" t="inlineStr">
        <is>
          <t>LEKSAND</t>
        </is>
      </c>
      <c r="G182" t="n">
        <v>3.4</v>
      </c>
      <c r="H182" t="n">
        <v>0</v>
      </c>
      <c r="I182" t="n">
        <v>0</v>
      </c>
      <c r="J182" t="n">
        <v>0</v>
      </c>
      <c r="K182" t="n">
        <v>0</v>
      </c>
      <c r="L182" t="n">
        <v>0</v>
      </c>
      <c r="M182" t="n">
        <v>0</v>
      </c>
      <c r="N182" t="n">
        <v>0</v>
      </c>
      <c r="O182" t="n">
        <v>0</v>
      </c>
      <c r="P182" t="n">
        <v>0</v>
      </c>
      <c r="Q182" t="n">
        <v>0</v>
      </c>
      <c r="R182" s="2" t="inlineStr"/>
    </row>
    <row r="183" ht="15" customHeight="1">
      <c r="A183" t="inlineStr">
        <is>
          <t>A 41093-2020</t>
        </is>
      </c>
      <c r="B183" s="1" t="n">
        <v>44071</v>
      </c>
      <c r="C183" s="1" t="n">
        <v>45347</v>
      </c>
      <c r="D183" t="inlineStr">
        <is>
          <t>DALARNAS LÄN</t>
        </is>
      </c>
      <c r="E183" t="inlineStr">
        <is>
          <t>LEKSAND</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41200-2020</t>
        </is>
      </c>
      <c r="B184" s="1" t="n">
        <v>44071</v>
      </c>
      <c r="C184" s="1" t="n">
        <v>45347</v>
      </c>
      <c r="D184" t="inlineStr">
        <is>
          <t>DALARNAS LÄN</t>
        </is>
      </c>
      <c r="E184" t="inlineStr">
        <is>
          <t>LEKSAND</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41432-2020</t>
        </is>
      </c>
      <c r="B185" s="1" t="n">
        <v>44073</v>
      </c>
      <c r="C185" s="1" t="n">
        <v>45347</v>
      </c>
      <c r="D185" t="inlineStr">
        <is>
          <t>DALARNAS LÄN</t>
        </is>
      </c>
      <c r="E185" t="inlineStr">
        <is>
          <t>LEKSAND</t>
        </is>
      </c>
      <c r="G185" t="n">
        <v>0.9</v>
      </c>
      <c r="H185" t="n">
        <v>0</v>
      </c>
      <c r="I185" t="n">
        <v>0</v>
      </c>
      <c r="J185" t="n">
        <v>0</v>
      </c>
      <c r="K185" t="n">
        <v>0</v>
      </c>
      <c r="L185" t="n">
        <v>0</v>
      </c>
      <c r="M185" t="n">
        <v>0</v>
      </c>
      <c r="N185" t="n">
        <v>0</v>
      </c>
      <c r="O185" t="n">
        <v>0</v>
      </c>
      <c r="P185" t="n">
        <v>0</v>
      </c>
      <c r="Q185" t="n">
        <v>0</v>
      </c>
      <c r="R185" s="2" t="inlineStr"/>
    </row>
    <row r="186" ht="15" customHeight="1">
      <c r="A186" t="inlineStr">
        <is>
          <t>A 42890-2020</t>
        </is>
      </c>
      <c r="B186" s="1" t="n">
        <v>44078</v>
      </c>
      <c r="C186" s="1" t="n">
        <v>45347</v>
      </c>
      <c r="D186" t="inlineStr">
        <is>
          <t>DALARNAS LÄN</t>
        </is>
      </c>
      <c r="E186" t="inlineStr">
        <is>
          <t>LEKSAND</t>
        </is>
      </c>
      <c r="F186" t="inlineStr">
        <is>
          <t>Bergvik skog väst AB</t>
        </is>
      </c>
      <c r="G186" t="n">
        <v>1.1</v>
      </c>
      <c r="H186" t="n">
        <v>0</v>
      </c>
      <c r="I186" t="n">
        <v>0</v>
      </c>
      <c r="J186" t="n">
        <v>0</v>
      </c>
      <c r="K186" t="n">
        <v>0</v>
      </c>
      <c r="L186" t="n">
        <v>0</v>
      </c>
      <c r="M186" t="n">
        <v>0</v>
      </c>
      <c r="N186" t="n">
        <v>0</v>
      </c>
      <c r="O186" t="n">
        <v>0</v>
      </c>
      <c r="P186" t="n">
        <v>0</v>
      </c>
      <c r="Q186" t="n">
        <v>0</v>
      </c>
      <c r="R186" s="2" t="inlineStr"/>
    </row>
    <row r="187" ht="15" customHeight="1">
      <c r="A187" t="inlineStr">
        <is>
          <t>A 44665-2020</t>
        </is>
      </c>
      <c r="B187" s="1" t="n">
        <v>44085</v>
      </c>
      <c r="C187" s="1" t="n">
        <v>45347</v>
      </c>
      <c r="D187" t="inlineStr">
        <is>
          <t>DALARNAS LÄN</t>
        </is>
      </c>
      <c r="E187" t="inlineStr">
        <is>
          <t>LEKSAND</t>
        </is>
      </c>
      <c r="F187" t="inlineStr">
        <is>
          <t>Bergvik skog väst AB</t>
        </is>
      </c>
      <c r="G187" t="n">
        <v>5.1</v>
      </c>
      <c r="H187" t="n">
        <v>0</v>
      </c>
      <c r="I187" t="n">
        <v>0</v>
      </c>
      <c r="J187" t="n">
        <v>0</v>
      </c>
      <c r="K187" t="n">
        <v>0</v>
      </c>
      <c r="L187" t="n">
        <v>0</v>
      </c>
      <c r="M187" t="n">
        <v>0</v>
      </c>
      <c r="N187" t="n">
        <v>0</v>
      </c>
      <c r="O187" t="n">
        <v>0</v>
      </c>
      <c r="P187" t="n">
        <v>0</v>
      </c>
      <c r="Q187" t="n">
        <v>0</v>
      </c>
      <c r="R187" s="2" t="inlineStr"/>
    </row>
    <row r="188" ht="15" customHeight="1">
      <c r="A188" t="inlineStr">
        <is>
          <t>A 45995-2020</t>
        </is>
      </c>
      <c r="B188" s="1" t="n">
        <v>44088</v>
      </c>
      <c r="C188" s="1" t="n">
        <v>45347</v>
      </c>
      <c r="D188" t="inlineStr">
        <is>
          <t>DALARNAS LÄN</t>
        </is>
      </c>
      <c r="E188" t="inlineStr">
        <is>
          <t>LEKSAND</t>
        </is>
      </c>
      <c r="G188" t="n">
        <v>7.8</v>
      </c>
      <c r="H188" t="n">
        <v>0</v>
      </c>
      <c r="I188" t="n">
        <v>0</v>
      </c>
      <c r="J188" t="n">
        <v>0</v>
      </c>
      <c r="K188" t="n">
        <v>0</v>
      </c>
      <c r="L188" t="n">
        <v>0</v>
      </c>
      <c r="M188" t="n">
        <v>0</v>
      </c>
      <c r="N188" t="n">
        <v>0</v>
      </c>
      <c r="O188" t="n">
        <v>0</v>
      </c>
      <c r="P188" t="n">
        <v>0</v>
      </c>
      <c r="Q188" t="n">
        <v>0</v>
      </c>
      <c r="R188" s="2" t="inlineStr"/>
    </row>
    <row r="189" ht="15" customHeight="1">
      <c r="A189" t="inlineStr">
        <is>
          <t>A 45950-2020</t>
        </is>
      </c>
      <c r="B189" s="1" t="n">
        <v>44088</v>
      </c>
      <c r="C189" s="1" t="n">
        <v>45347</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45991-2020</t>
        </is>
      </c>
      <c r="B190" s="1" t="n">
        <v>44088</v>
      </c>
      <c r="C190" s="1" t="n">
        <v>45347</v>
      </c>
      <c r="D190" t="inlineStr">
        <is>
          <t>DALARNAS LÄN</t>
        </is>
      </c>
      <c r="E190" t="inlineStr">
        <is>
          <t>LEKSAND</t>
        </is>
      </c>
      <c r="G190" t="n">
        <v>9.9</v>
      </c>
      <c r="H190" t="n">
        <v>0</v>
      </c>
      <c r="I190" t="n">
        <v>0</v>
      </c>
      <c r="J190" t="n">
        <v>0</v>
      </c>
      <c r="K190" t="n">
        <v>0</v>
      </c>
      <c r="L190" t="n">
        <v>0</v>
      </c>
      <c r="M190" t="n">
        <v>0</v>
      </c>
      <c r="N190" t="n">
        <v>0</v>
      </c>
      <c r="O190" t="n">
        <v>0</v>
      </c>
      <c r="P190" t="n">
        <v>0</v>
      </c>
      <c r="Q190" t="n">
        <v>0</v>
      </c>
      <c r="R190" s="2" t="inlineStr"/>
    </row>
    <row r="191" ht="15" customHeight="1">
      <c r="A191" t="inlineStr">
        <is>
          <t>A 46854-2020</t>
        </is>
      </c>
      <c r="B191" s="1" t="n">
        <v>44090</v>
      </c>
      <c r="C191" s="1" t="n">
        <v>45347</v>
      </c>
      <c r="D191" t="inlineStr">
        <is>
          <t>DALARNAS LÄN</t>
        </is>
      </c>
      <c r="E191" t="inlineStr">
        <is>
          <t>LEKSAND</t>
        </is>
      </c>
      <c r="G191" t="n">
        <v>1.6</v>
      </c>
      <c r="H191" t="n">
        <v>0</v>
      </c>
      <c r="I191" t="n">
        <v>0</v>
      </c>
      <c r="J191" t="n">
        <v>0</v>
      </c>
      <c r="K191" t="n">
        <v>0</v>
      </c>
      <c r="L191" t="n">
        <v>0</v>
      </c>
      <c r="M191" t="n">
        <v>0</v>
      </c>
      <c r="N191" t="n">
        <v>0</v>
      </c>
      <c r="O191" t="n">
        <v>0</v>
      </c>
      <c r="P191" t="n">
        <v>0</v>
      </c>
      <c r="Q191" t="n">
        <v>0</v>
      </c>
      <c r="R191" s="2" t="inlineStr"/>
    </row>
    <row r="192" ht="15" customHeight="1">
      <c r="A192" t="inlineStr">
        <is>
          <t>A 47004-2020</t>
        </is>
      </c>
      <c r="B192" s="1" t="n">
        <v>44091</v>
      </c>
      <c r="C192" s="1" t="n">
        <v>45347</v>
      </c>
      <c r="D192" t="inlineStr">
        <is>
          <t>DALARNAS LÄN</t>
        </is>
      </c>
      <c r="E192" t="inlineStr">
        <is>
          <t>LEKSAND</t>
        </is>
      </c>
      <c r="G192" t="n">
        <v>3.2</v>
      </c>
      <c r="H192" t="n">
        <v>0</v>
      </c>
      <c r="I192" t="n">
        <v>0</v>
      </c>
      <c r="J192" t="n">
        <v>0</v>
      </c>
      <c r="K192" t="n">
        <v>0</v>
      </c>
      <c r="L192" t="n">
        <v>0</v>
      </c>
      <c r="M192" t="n">
        <v>0</v>
      </c>
      <c r="N192" t="n">
        <v>0</v>
      </c>
      <c r="O192" t="n">
        <v>0</v>
      </c>
      <c r="P192" t="n">
        <v>0</v>
      </c>
      <c r="Q192" t="n">
        <v>0</v>
      </c>
      <c r="R192" s="2" t="inlineStr"/>
    </row>
    <row r="193" ht="15" customHeight="1">
      <c r="A193" t="inlineStr">
        <is>
          <t>A 47069-2020</t>
        </is>
      </c>
      <c r="B193" s="1" t="n">
        <v>44096</v>
      </c>
      <c r="C193" s="1" t="n">
        <v>45347</v>
      </c>
      <c r="D193" t="inlineStr">
        <is>
          <t>DALARNAS LÄN</t>
        </is>
      </c>
      <c r="E193" t="inlineStr">
        <is>
          <t>LEKSAND</t>
        </is>
      </c>
      <c r="G193" t="n">
        <v>5.5</v>
      </c>
      <c r="H193" t="n">
        <v>0</v>
      </c>
      <c r="I193" t="n">
        <v>0</v>
      </c>
      <c r="J193" t="n">
        <v>0</v>
      </c>
      <c r="K193" t="n">
        <v>0</v>
      </c>
      <c r="L193" t="n">
        <v>0</v>
      </c>
      <c r="M193" t="n">
        <v>0</v>
      </c>
      <c r="N193" t="n">
        <v>0</v>
      </c>
      <c r="O193" t="n">
        <v>0</v>
      </c>
      <c r="P193" t="n">
        <v>0</v>
      </c>
      <c r="Q193" t="n">
        <v>0</v>
      </c>
      <c r="R193" s="2" t="inlineStr"/>
    </row>
    <row r="194" ht="15" customHeight="1">
      <c r="A194" t="inlineStr">
        <is>
          <t>A 50123-2020</t>
        </is>
      </c>
      <c r="B194" s="1" t="n">
        <v>44104</v>
      </c>
      <c r="C194" s="1" t="n">
        <v>45347</v>
      </c>
      <c r="D194" t="inlineStr">
        <is>
          <t>DALARNAS LÄN</t>
        </is>
      </c>
      <c r="E194" t="inlineStr">
        <is>
          <t>LEKSAND</t>
        </is>
      </c>
      <c r="F194" t="inlineStr">
        <is>
          <t>Övriga Aktiebolag</t>
        </is>
      </c>
      <c r="G194" t="n">
        <v>2.7</v>
      </c>
      <c r="H194" t="n">
        <v>0</v>
      </c>
      <c r="I194" t="n">
        <v>0</v>
      </c>
      <c r="J194" t="n">
        <v>0</v>
      </c>
      <c r="K194" t="n">
        <v>0</v>
      </c>
      <c r="L194" t="n">
        <v>0</v>
      </c>
      <c r="M194" t="n">
        <v>0</v>
      </c>
      <c r="N194" t="n">
        <v>0</v>
      </c>
      <c r="O194" t="n">
        <v>0</v>
      </c>
      <c r="P194" t="n">
        <v>0</v>
      </c>
      <c r="Q194" t="n">
        <v>0</v>
      </c>
      <c r="R194" s="2" t="inlineStr"/>
    </row>
    <row r="195" ht="15" customHeight="1">
      <c r="A195" t="inlineStr">
        <is>
          <t>A 50102-2020</t>
        </is>
      </c>
      <c r="B195" s="1" t="n">
        <v>44104</v>
      </c>
      <c r="C195" s="1" t="n">
        <v>45347</v>
      </c>
      <c r="D195" t="inlineStr">
        <is>
          <t>DALARNAS LÄN</t>
        </is>
      </c>
      <c r="E195" t="inlineStr">
        <is>
          <t>LEKSAND</t>
        </is>
      </c>
      <c r="G195" t="n">
        <v>2.4</v>
      </c>
      <c r="H195" t="n">
        <v>0</v>
      </c>
      <c r="I195" t="n">
        <v>0</v>
      </c>
      <c r="J195" t="n">
        <v>0</v>
      </c>
      <c r="K195" t="n">
        <v>0</v>
      </c>
      <c r="L195" t="n">
        <v>0</v>
      </c>
      <c r="M195" t="n">
        <v>0</v>
      </c>
      <c r="N195" t="n">
        <v>0</v>
      </c>
      <c r="O195" t="n">
        <v>0</v>
      </c>
      <c r="P195" t="n">
        <v>0</v>
      </c>
      <c r="Q195" t="n">
        <v>0</v>
      </c>
      <c r="R195" s="2" t="inlineStr"/>
    </row>
    <row r="196" ht="15" customHeight="1">
      <c r="A196" t="inlineStr">
        <is>
          <t>A 60920-2020</t>
        </is>
      </c>
      <c r="B196" s="1" t="n">
        <v>44153</v>
      </c>
      <c r="C196" s="1" t="n">
        <v>45347</v>
      </c>
      <c r="D196" t="inlineStr">
        <is>
          <t>DALARNAS LÄN</t>
        </is>
      </c>
      <c r="E196" t="inlineStr">
        <is>
          <t>LEKSAND</t>
        </is>
      </c>
      <c r="G196" t="n">
        <v>0.6</v>
      </c>
      <c r="H196" t="n">
        <v>0</v>
      </c>
      <c r="I196" t="n">
        <v>0</v>
      </c>
      <c r="J196" t="n">
        <v>0</v>
      </c>
      <c r="K196" t="n">
        <v>0</v>
      </c>
      <c r="L196" t="n">
        <v>0</v>
      </c>
      <c r="M196" t="n">
        <v>0</v>
      </c>
      <c r="N196" t="n">
        <v>0</v>
      </c>
      <c r="O196" t="n">
        <v>0</v>
      </c>
      <c r="P196" t="n">
        <v>0</v>
      </c>
      <c r="Q196" t="n">
        <v>0</v>
      </c>
      <c r="R196" s="2" t="inlineStr"/>
    </row>
    <row r="197" ht="15" customHeight="1">
      <c r="A197" t="inlineStr">
        <is>
          <t>A 60963-2020</t>
        </is>
      </c>
      <c r="B197" s="1" t="n">
        <v>44154</v>
      </c>
      <c r="C197" s="1" t="n">
        <v>45347</v>
      </c>
      <c r="D197" t="inlineStr">
        <is>
          <t>DALARNAS LÄN</t>
        </is>
      </c>
      <c r="E197" t="inlineStr">
        <is>
          <t>LEKSAND</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62118-2020</t>
        </is>
      </c>
      <c r="B198" s="1" t="n">
        <v>44159</v>
      </c>
      <c r="C198" s="1" t="n">
        <v>45347</v>
      </c>
      <c r="D198" t="inlineStr">
        <is>
          <t>DALARNAS LÄN</t>
        </is>
      </c>
      <c r="E198" t="inlineStr">
        <is>
          <t>LEKSAND</t>
        </is>
      </c>
      <c r="F198" t="inlineStr">
        <is>
          <t>Bergvik skog väst AB</t>
        </is>
      </c>
      <c r="G198" t="n">
        <v>3.9</v>
      </c>
      <c r="H198" t="n">
        <v>0</v>
      </c>
      <c r="I198" t="n">
        <v>0</v>
      </c>
      <c r="J198" t="n">
        <v>0</v>
      </c>
      <c r="K198" t="n">
        <v>0</v>
      </c>
      <c r="L198" t="n">
        <v>0</v>
      </c>
      <c r="M198" t="n">
        <v>0</v>
      </c>
      <c r="N198" t="n">
        <v>0</v>
      </c>
      <c r="O198" t="n">
        <v>0</v>
      </c>
      <c r="P198" t="n">
        <v>0</v>
      </c>
      <c r="Q198" t="n">
        <v>0</v>
      </c>
      <c r="R198" s="2" t="inlineStr"/>
    </row>
    <row r="199" ht="15" customHeight="1">
      <c r="A199" t="inlineStr">
        <is>
          <t>A 63481-2020</t>
        </is>
      </c>
      <c r="B199" s="1" t="n">
        <v>44161</v>
      </c>
      <c r="C199" s="1" t="n">
        <v>45347</v>
      </c>
      <c r="D199" t="inlineStr">
        <is>
          <t>DALARNAS LÄN</t>
        </is>
      </c>
      <c r="E199" t="inlineStr">
        <is>
          <t>LEKSAND</t>
        </is>
      </c>
      <c r="G199" t="n">
        <v>1.1</v>
      </c>
      <c r="H199" t="n">
        <v>0</v>
      </c>
      <c r="I199" t="n">
        <v>0</v>
      </c>
      <c r="J199" t="n">
        <v>0</v>
      </c>
      <c r="K199" t="n">
        <v>0</v>
      </c>
      <c r="L199" t="n">
        <v>0</v>
      </c>
      <c r="M199" t="n">
        <v>0</v>
      </c>
      <c r="N199" t="n">
        <v>0</v>
      </c>
      <c r="O199" t="n">
        <v>0</v>
      </c>
      <c r="P199" t="n">
        <v>0</v>
      </c>
      <c r="Q199" t="n">
        <v>0</v>
      </c>
      <c r="R199" s="2" t="inlineStr"/>
    </row>
    <row r="200" ht="15" customHeight="1">
      <c r="A200" t="inlineStr">
        <is>
          <t>A 64109-2020</t>
        </is>
      </c>
      <c r="B200" s="1" t="n">
        <v>44167</v>
      </c>
      <c r="C200" s="1" t="n">
        <v>45347</v>
      </c>
      <c r="D200" t="inlineStr">
        <is>
          <t>DALARNAS LÄN</t>
        </is>
      </c>
      <c r="E200" t="inlineStr">
        <is>
          <t>LEKSAND</t>
        </is>
      </c>
      <c r="G200" t="n">
        <v>2.7</v>
      </c>
      <c r="H200" t="n">
        <v>0</v>
      </c>
      <c r="I200" t="n">
        <v>0</v>
      </c>
      <c r="J200" t="n">
        <v>0</v>
      </c>
      <c r="K200" t="n">
        <v>0</v>
      </c>
      <c r="L200" t="n">
        <v>0</v>
      </c>
      <c r="M200" t="n">
        <v>0</v>
      </c>
      <c r="N200" t="n">
        <v>0</v>
      </c>
      <c r="O200" t="n">
        <v>0</v>
      </c>
      <c r="P200" t="n">
        <v>0</v>
      </c>
      <c r="Q200" t="n">
        <v>0</v>
      </c>
      <c r="R200" s="2" t="inlineStr"/>
    </row>
    <row r="201" ht="15" customHeight="1">
      <c r="A201" t="inlineStr">
        <is>
          <t>A 64449-2020</t>
        </is>
      </c>
      <c r="B201" s="1" t="n">
        <v>44168</v>
      </c>
      <c r="C201" s="1" t="n">
        <v>45347</v>
      </c>
      <c r="D201" t="inlineStr">
        <is>
          <t>DALARNAS LÄN</t>
        </is>
      </c>
      <c r="E201" t="inlineStr">
        <is>
          <t>LEKSAND</t>
        </is>
      </c>
      <c r="G201" t="n">
        <v>1.1</v>
      </c>
      <c r="H201" t="n">
        <v>0</v>
      </c>
      <c r="I201" t="n">
        <v>0</v>
      </c>
      <c r="J201" t="n">
        <v>0</v>
      </c>
      <c r="K201" t="n">
        <v>0</v>
      </c>
      <c r="L201" t="n">
        <v>0</v>
      </c>
      <c r="M201" t="n">
        <v>0</v>
      </c>
      <c r="N201" t="n">
        <v>0</v>
      </c>
      <c r="O201" t="n">
        <v>0</v>
      </c>
      <c r="P201" t="n">
        <v>0</v>
      </c>
      <c r="Q201" t="n">
        <v>0</v>
      </c>
      <c r="R201" s="2" t="inlineStr"/>
    </row>
    <row r="202" ht="15" customHeight="1">
      <c r="A202" t="inlineStr">
        <is>
          <t>A 64876-2020</t>
        </is>
      </c>
      <c r="B202" s="1" t="n">
        <v>44171</v>
      </c>
      <c r="C202" s="1" t="n">
        <v>45347</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65058-2020</t>
        </is>
      </c>
      <c r="B203" s="1" t="n">
        <v>44172</v>
      </c>
      <c r="C203" s="1" t="n">
        <v>45347</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66169-2020</t>
        </is>
      </c>
      <c r="B204" s="1" t="n">
        <v>44174</v>
      </c>
      <c r="C204" s="1" t="n">
        <v>45347</v>
      </c>
      <c r="D204" t="inlineStr">
        <is>
          <t>DALARNAS LÄN</t>
        </is>
      </c>
      <c r="E204" t="inlineStr">
        <is>
          <t>LEKSAND</t>
        </is>
      </c>
      <c r="G204" t="n">
        <v>5.3</v>
      </c>
      <c r="H204" t="n">
        <v>0</v>
      </c>
      <c r="I204" t="n">
        <v>0</v>
      </c>
      <c r="J204" t="n">
        <v>0</v>
      </c>
      <c r="K204" t="n">
        <v>0</v>
      </c>
      <c r="L204" t="n">
        <v>0</v>
      </c>
      <c r="M204" t="n">
        <v>0</v>
      </c>
      <c r="N204" t="n">
        <v>0</v>
      </c>
      <c r="O204" t="n">
        <v>0</v>
      </c>
      <c r="P204" t="n">
        <v>0</v>
      </c>
      <c r="Q204" t="n">
        <v>0</v>
      </c>
      <c r="R204" s="2" t="inlineStr"/>
    </row>
    <row r="205" ht="15" customHeight="1">
      <c r="A205" t="inlineStr">
        <is>
          <t>A 67100-2020</t>
        </is>
      </c>
      <c r="B205" s="1" t="n">
        <v>44179</v>
      </c>
      <c r="C205" s="1" t="n">
        <v>45347</v>
      </c>
      <c r="D205" t="inlineStr">
        <is>
          <t>DALARNAS LÄN</t>
        </is>
      </c>
      <c r="E205" t="inlineStr">
        <is>
          <t>LEKSAND</t>
        </is>
      </c>
      <c r="G205" t="n">
        <v>1.9</v>
      </c>
      <c r="H205" t="n">
        <v>0</v>
      </c>
      <c r="I205" t="n">
        <v>0</v>
      </c>
      <c r="J205" t="n">
        <v>0</v>
      </c>
      <c r="K205" t="n">
        <v>0</v>
      </c>
      <c r="L205" t="n">
        <v>0</v>
      </c>
      <c r="M205" t="n">
        <v>0</v>
      </c>
      <c r="N205" t="n">
        <v>0</v>
      </c>
      <c r="O205" t="n">
        <v>0</v>
      </c>
      <c r="P205" t="n">
        <v>0</v>
      </c>
      <c r="Q205" t="n">
        <v>0</v>
      </c>
      <c r="R205" s="2" t="inlineStr"/>
    </row>
    <row r="206" ht="15" customHeight="1">
      <c r="A206" t="inlineStr">
        <is>
          <t>A 67307-2020</t>
        </is>
      </c>
      <c r="B206" s="1" t="n">
        <v>44181</v>
      </c>
      <c r="C206" s="1" t="n">
        <v>45347</v>
      </c>
      <c r="D206" t="inlineStr">
        <is>
          <t>DALARNAS LÄN</t>
        </is>
      </c>
      <c r="E206" t="inlineStr">
        <is>
          <t>LEKSAND</t>
        </is>
      </c>
      <c r="G206" t="n">
        <v>5.9</v>
      </c>
      <c r="H206" t="n">
        <v>0</v>
      </c>
      <c r="I206" t="n">
        <v>0</v>
      </c>
      <c r="J206" t="n">
        <v>0</v>
      </c>
      <c r="K206" t="n">
        <v>0</v>
      </c>
      <c r="L206" t="n">
        <v>0</v>
      </c>
      <c r="M206" t="n">
        <v>0</v>
      </c>
      <c r="N206" t="n">
        <v>0</v>
      </c>
      <c r="O206" t="n">
        <v>0</v>
      </c>
      <c r="P206" t="n">
        <v>0</v>
      </c>
      <c r="Q206" t="n">
        <v>0</v>
      </c>
      <c r="R206" s="2" t="inlineStr"/>
    </row>
    <row r="207" ht="15" customHeight="1">
      <c r="A207" t="inlineStr">
        <is>
          <t>A 68058-2020</t>
        </is>
      </c>
      <c r="B207" s="1" t="n">
        <v>44183</v>
      </c>
      <c r="C207" s="1" t="n">
        <v>45347</v>
      </c>
      <c r="D207" t="inlineStr">
        <is>
          <t>DALARNAS LÄN</t>
        </is>
      </c>
      <c r="E207" t="inlineStr">
        <is>
          <t>LEKSAND</t>
        </is>
      </c>
      <c r="F207" t="inlineStr">
        <is>
          <t>Bergvik skog väst AB</t>
        </is>
      </c>
      <c r="G207" t="n">
        <v>4.9</v>
      </c>
      <c r="H207" t="n">
        <v>0</v>
      </c>
      <c r="I207" t="n">
        <v>0</v>
      </c>
      <c r="J207" t="n">
        <v>0</v>
      </c>
      <c r="K207" t="n">
        <v>0</v>
      </c>
      <c r="L207" t="n">
        <v>0</v>
      </c>
      <c r="M207" t="n">
        <v>0</v>
      </c>
      <c r="N207" t="n">
        <v>0</v>
      </c>
      <c r="O207" t="n">
        <v>0</v>
      </c>
      <c r="P207" t="n">
        <v>0</v>
      </c>
      <c r="Q207" t="n">
        <v>0</v>
      </c>
      <c r="R207" s="2" t="inlineStr"/>
    </row>
    <row r="208" ht="15" customHeight="1">
      <c r="A208" t="inlineStr">
        <is>
          <t>A 776-2021</t>
        </is>
      </c>
      <c r="B208" s="1" t="n">
        <v>44203</v>
      </c>
      <c r="C208" s="1" t="n">
        <v>45347</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1078-2021</t>
        </is>
      </c>
      <c r="B209" s="1" t="n">
        <v>44207</v>
      </c>
      <c r="C209" s="1" t="n">
        <v>45347</v>
      </c>
      <c r="D209" t="inlineStr">
        <is>
          <t>DALARNAS LÄN</t>
        </is>
      </c>
      <c r="E209" t="inlineStr">
        <is>
          <t>LEKSAND</t>
        </is>
      </c>
      <c r="G209" t="n">
        <v>4.9</v>
      </c>
      <c r="H209" t="n">
        <v>0</v>
      </c>
      <c r="I209" t="n">
        <v>0</v>
      </c>
      <c r="J209" t="n">
        <v>0</v>
      </c>
      <c r="K209" t="n">
        <v>0</v>
      </c>
      <c r="L209" t="n">
        <v>0</v>
      </c>
      <c r="M209" t="n">
        <v>0</v>
      </c>
      <c r="N209" t="n">
        <v>0</v>
      </c>
      <c r="O209" t="n">
        <v>0</v>
      </c>
      <c r="P209" t="n">
        <v>0</v>
      </c>
      <c r="Q209" t="n">
        <v>0</v>
      </c>
      <c r="R209" s="2" t="inlineStr"/>
    </row>
    <row r="210" ht="15" customHeight="1">
      <c r="A210" t="inlineStr">
        <is>
          <t>A 2311-2021</t>
        </is>
      </c>
      <c r="B210" s="1" t="n">
        <v>44213</v>
      </c>
      <c r="C210" s="1" t="n">
        <v>45347</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9131-2021</t>
        </is>
      </c>
      <c r="B211" s="1" t="n">
        <v>44249</v>
      </c>
      <c r="C211" s="1" t="n">
        <v>45347</v>
      </c>
      <c r="D211" t="inlineStr">
        <is>
          <t>DALARNAS LÄN</t>
        </is>
      </c>
      <c r="E211" t="inlineStr">
        <is>
          <t>LEKSAND</t>
        </is>
      </c>
      <c r="G211" t="n">
        <v>1.1</v>
      </c>
      <c r="H211" t="n">
        <v>0</v>
      </c>
      <c r="I211" t="n">
        <v>0</v>
      </c>
      <c r="J211" t="n">
        <v>0</v>
      </c>
      <c r="K211" t="n">
        <v>0</v>
      </c>
      <c r="L211" t="n">
        <v>0</v>
      </c>
      <c r="M211" t="n">
        <v>0</v>
      </c>
      <c r="N211" t="n">
        <v>0</v>
      </c>
      <c r="O211" t="n">
        <v>0</v>
      </c>
      <c r="P211" t="n">
        <v>0</v>
      </c>
      <c r="Q211" t="n">
        <v>0</v>
      </c>
      <c r="R211" s="2" t="inlineStr"/>
    </row>
    <row r="212" ht="15" customHeight="1">
      <c r="A212" t="inlineStr">
        <is>
          <t>A 9133-2021</t>
        </is>
      </c>
      <c r="B212" s="1" t="n">
        <v>44249</v>
      </c>
      <c r="C212" s="1" t="n">
        <v>45347</v>
      </c>
      <c r="D212" t="inlineStr">
        <is>
          <t>DALARNAS LÄN</t>
        </is>
      </c>
      <c r="E212" t="inlineStr">
        <is>
          <t>LEKSAND</t>
        </is>
      </c>
      <c r="G212" t="n">
        <v>2.5</v>
      </c>
      <c r="H212" t="n">
        <v>0</v>
      </c>
      <c r="I212" t="n">
        <v>0</v>
      </c>
      <c r="J212" t="n">
        <v>0</v>
      </c>
      <c r="K212" t="n">
        <v>0</v>
      </c>
      <c r="L212" t="n">
        <v>0</v>
      </c>
      <c r="M212" t="n">
        <v>0</v>
      </c>
      <c r="N212" t="n">
        <v>0</v>
      </c>
      <c r="O212" t="n">
        <v>0</v>
      </c>
      <c r="P212" t="n">
        <v>0</v>
      </c>
      <c r="Q212" t="n">
        <v>0</v>
      </c>
      <c r="R212" s="2" t="inlineStr"/>
    </row>
    <row r="213" ht="15" customHeight="1">
      <c r="A213" t="inlineStr">
        <is>
          <t>A 13705-2021</t>
        </is>
      </c>
      <c r="B213" s="1" t="n">
        <v>44274</v>
      </c>
      <c r="C213" s="1" t="n">
        <v>45347</v>
      </c>
      <c r="D213" t="inlineStr">
        <is>
          <t>DALARNAS LÄN</t>
        </is>
      </c>
      <c r="E213" t="inlineStr">
        <is>
          <t>LEKSAND</t>
        </is>
      </c>
      <c r="G213" t="n">
        <v>3.8</v>
      </c>
      <c r="H213" t="n">
        <v>0</v>
      </c>
      <c r="I213" t="n">
        <v>0</v>
      </c>
      <c r="J213" t="n">
        <v>0</v>
      </c>
      <c r="K213" t="n">
        <v>0</v>
      </c>
      <c r="L213" t="n">
        <v>0</v>
      </c>
      <c r="M213" t="n">
        <v>0</v>
      </c>
      <c r="N213" t="n">
        <v>0</v>
      </c>
      <c r="O213" t="n">
        <v>0</v>
      </c>
      <c r="P213" t="n">
        <v>0</v>
      </c>
      <c r="Q213" t="n">
        <v>0</v>
      </c>
      <c r="R213" s="2" t="inlineStr"/>
    </row>
    <row r="214" ht="15" customHeight="1">
      <c r="A214" t="inlineStr">
        <is>
          <t>A 16231-2021</t>
        </is>
      </c>
      <c r="B214" s="1" t="n">
        <v>44292</v>
      </c>
      <c r="C214" s="1" t="n">
        <v>45347</v>
      </c>
      <c r="D214" t="inlineStr">
        <is>
          <t>DALARNAS LÄN</t>
        </is>
      </c>
      <c r="E214" t="inlineStr">
        <is>
          <t>LEKSAND</t>
        </is>
      </c>
      <c r="G214" t="n">
        <v>1.1</v>
      </c>
      <c r="H214" t="n">
        <v>0</v>
      </c>
      <c r="I214" t="n">
        <v>0</v>
      </c>
      <c r="J214" t="n">
        <v>0</v>
      </c>
      <c r="K214" t="n">
        <v>0</v>
      </c>
      <c r="L214" t="n">
        <v>0</v>
      </c>
      <c r="M214" t="n">
        <v>0</v>
      </c>
      <c r="N214" t="n">
        <v>0</v>
      </c>
      <c r="O214" t="n">
        <v>0</v>
      </c>
      <c r="P214" t="n">
        <v>0</v>
      </c>
      <c r="Q214" t="n">
        <v>0</v>
      </c>
      <c r="R214" s="2" t="inlineStr"/>
    </row>
    <row r="215" ht="15" customHeight="1">
      <c r="A215" t="inlineStr">
        <is>
          <t>A 17615-2021</t>
        </is>
      </c>
      <c r="B215" s="1" t="n">
        <v>44299</v>
      </c>
      <c r="C215" s="1" t="n">
        <v>45347</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18267-2021</t>
        </is>
      </c>
      <c r="B216" s="1" t="n">
        <v>44305</v>
      </c>
      <c r="C216" s="1" t="n">
        <v>45347</v>
      </c>
      <c r="D216" t="inlineStr">
        <is>
          <t>DALARNAS LÄN</t>
        </is>
      </c>
      <c r="E216" t="inlineStr">
        <is>
          <t>LEKSAND</t>
        </is>
      </c>
      <c r="G216" t="n">
        <v>1.1</v>
      </c>
      <c r="H216" t="n">
        <v>0</v>
      </c>
      <c r="I216" t="n">
        <v>0</v>
      </c>
      <c r="J216" t="n">
        <v>0</v>
      </c>
      <c r="K216" t="n">
        <v>0</v>
      </c>
      <c r="L216" t="n">
        <v>0</v>
      </c>
      <c r="M216" t="n">
        <v>0</v>
      </c>
      <c r="N216" t="n">
        <v>0</v>
      </c>
      <c r="O216" t="n">
        <v>0</v>
      </c>
      <c r="P216" t="n">
        <v>0</v>
      </c>
      <c r="Q216" t="n">
        <v>0</v>
      </c>
      <c r="R216" s="2" t="inlineStr"/>
    </row>
    <row r="217" ht="15" customHeight="1">
      <c r="A217" t="inlineStr">
        <is>
          <t>A 18706-2021</t>
        </is>
      </c>
      <c r="B217" s="1" t="n">
        <v>44307</v>
      </c>
      <c r="C217" s="1" t="n">
        <v>45347</v>
      </c>
      <c r="D217" t="inlineStr">
        <is>
          <t>DALARNAS LÄN</t>
        </is>
      </c>
      <c r="E217" t="inlineStr">
        <is>
          <t>LEKSAND</t>
        </is>
      </c>
      <c r="G217" t="n">
        <v>3.4</v>
      </c>
      <c r="H217" t="n">
        <v>0</v>
      </c>
      <c r="I217" t="n">
        <v>0</v>
      </c>
      <c r="J217" t="n">
        <v>0</v>
      </c>
      <c r="K217" t="n">
        <v>0</v>
      </c>
      <c r="L217" t="n">
        <v>0</v>
      </c>
      <c r="M217" t="n">
        <v>0</v>
      </c>
      <c r="N217" t="n">
        <v>0</v>
      </c>
      <c r="O217" t="n">
        <v>0</v>
      </c>
      <c r="P217" t="n">
        <v>0</v>
      </c>
      <c r="Q217" t="n">
        <v>0</v>
      </c>
      <c r="R217" s="2" t="inlineStr"/>
    </row>
    <row r="218" ht="15" customHeight="1">
      <c r="A218" t="inlineStr">
        <is>
          <t>A 19677-2021</t>
        </is>
      </c>
      <c r="B218" s="1" t="n">
        <v>44312</v>
      </c>
      <c r="C218" s="1" t="n">
        <v>45347</v>
      </c>
      <c r="D218" t="inlineStr">
        <is>
          <t>DALARNAS LÄN</t>
        </is>
      </c>
      <c r="E218" t="inlineStr">
        <is>
          <t>LEKSAND</t>
        </is>
      </c>
      <c r="F218" t="inlineStr">
        <is>
          <t>Bergvik skog väst AB</t>
        </is>
      </c>
      <c r="G218" t="n">
        <v>3.1</v>
      </c>
      <c r="H218" t="n">
        <v>0</v>
      </c>
      <c r="I218" t="n">
        <v>0</v>
      </c>
      <c r="J218" t="n">
        <v>0</v>
      </c>
      <c r="K218" t="n">
        <v>0</v>
      </c>
      <c r="L218" t="n">
        <v>0</v>
      </c>
      <c r="M218" t="n">
        <v>0</v>
      </c>
      <c r="N218" t="n">
        <v>0</v>
      </c>
      <c r="O218" t="n">
        <v>0</v>
      </c>
      <c r="P218" t="n">
        <v>0</v>
      </c>
      <c r="Q218" t="n">
        <v>0</v>
      </c>
      <c r="R218" s="2" t="inlineStr"/>
    </row>
    <row r="219" ht="15" customHeight="1">
      <c r="A219" t="inlineStr">
        <is>
          <t>A 21132-2021</t>
        </is>
      </c>
      <c r="B219" s="1" t="n">
        <v>44319</v>
      </c>
      <c r="C219" s="1" t="n">
        <v>45347</v>
      </c>
      <c r="D219" t="inlineStr">
        <is>
          <t>DALARNAS LÄN</t>
        </is>
      </c>
      <c r="E219" t="inlineStr">
        <is>
          <t>LEKSAND</t>
        </is>
      </c>
      <c r="G219" t="n">
        <v>6.8</v>
      </c>
      <c r="H219" t="n">
        <v>0</v>
      </c>
      <c r="I219" t="n">
        <v>0</v>
      </c>
      <c r="J219" t="n">
        <v>0</v>
      </c>
      <c r="K219" t="n">
        <v>0</v>
      </c>
      <c r="L219" t="n">
        <v>0</v>
      </c>
      <c r="M219" t="n">
        <v>0</v>
      </c>
      <c r="N219" t="n">
        <v>0</v>
      </c>
      <c r="O219" t="n">
        <v>0</v>
      </c>
      <c r="P219" t="n">
        <v>0</v>
      </c>
      <c r="Q219" t="n">
        <v>0</v>
      </c>
      <c r="R219" s="2" t="inlineStr"/>
    </row>
    <row r="220" ht="15" customHeight="1">
      <c r="A220" t="inlineStr">
        <is>
          <t>A 21968-2021</t>
        </is>
      </c>
      <c r="B220" s="1" t="n">
        <v>44323</v>
      </c>
      <c r="C220" s="1" t="n">
        <v>45347</v>
      </c>
      <c r="D220" t="inlineStr">
        <is>
          <t>DALARNAS LÄN</t>
        </is>
      </c>
      <c r="E220" t="inlineStr">
        <is>
          <t>LEKSAND</t>
        </is>
      </c>
      <c r="G220" t="n">
        <v>1.4</v>
      </c>
      <c r="H220" t="n">
        <v>0</v>
      </c>
      <c r="I220" t="n">
        <v>0</v>
      </c>
      <c r="J220" t="n">
        <v>0</v>
      </c>
      <c r="K220" t="n">
        <v>0</v>
      </c>
      <c r="L220" t="n">
        <v>0</v>
      </c>
      <c r="M220" t="n">
        <v>0</v>
      </c>
      <c r="N220" t="n">
        <v>0</v>
      </c>
      <c r="O220" t="n">
        <v>0</v>
      </c>
      <c r="P220" t="n">
        <v>0</v>
      </c>
      <c r="Q220" t="n">
        <v>0</v>
      </c>
      <c r="R220" s="2" t="inlineStr"/>
    </row>
    <row r="221" ht="15" customHeight="1">
      <c r="A221" t="inlineStr">
        <is>
          <t>A 21969-2021</t>
        </is>
      </c>
      <c r="B221" s="1" t="n">
        <v>44323</v>
      </c>
      <c r="C221" s="1" t="n">
        <v>45347</v>
      </c>
      <c r="D221" t="inlineStr">
        <is>
          <t>DALARNAS LÄN</t>
        </is>
      </c>
      <c r="E221" t="inlineStr">
        <is>
          <t>LEKSAND</t>
        </is>
      </c>
      <c r="G221" t="n">
        <v>3.8</v>
      </c>
      <c r="H221" t="n">
        <v>0</v>
      </c>
      <c r="I221" t="n">
        <v>0</v>
      </c>
      <c r="J221" t="n">
        <v>0</v>
      </c>
      <c r="K221" t="n">
        <v>0</v>
      </c>
      <c r="L221" t="n">
        <v>0</v>
      </c>
      <c r="M221" t="n">
        <v>0</v>
      </c>
      <c r="N221" t="n">
        <v>0</v>
      </c>
      <c r="O221" t="n">
        <v>0</v>
      </c>
      <c r="P221" t="n">
        <v>0</v>
      </c>
      <c r="Q221" t="n">
        <v>0</v>
      </c>
      <c r="R221" s="2" t="inlineStr"/>
    </row>
    <row r="222" ht="15" customHeight="1">
      <c r="A222" t="inlineStr">
        <is>
          <t>A 21965-2021</t>
        </is>
      </c>
      <c r="B222" s="1" t="n">
        <v>44323</v>
      </c>
      <c r="C222" s="1" t="n">
        <v>45347</v>
      </c>
      <c r="D222" t="inlineStr">
        <is>
          <t>DALARNAS LÄN</t>
        </is>
      </c>
      <c r="E222" t="inlineStr">
        <is>
          <t>LEKSAND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22431-2021</t>
        </is>
      </c>
      <c r="B223" s="1" t="n">
        <v>44326</v>
      </c>
      <c r="C223" s="1" t="n">
        <v>45347</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22703-2021</t>
        </is>
      </c>
      <c r="B224" s="1" t="n">
        <v>44327</v>
      </c>
      <c r="C224" s="1" t="n">
        <v>45347</v>
      </c>
      <c r="D224" t="inlineStr">
        <is>
          <t>DALARNAS LÄN</t>
        </is>
      </c>
      <c r="E224" t="inlineStr">
        <is>
          <t>LEKSAND</t>
        </is>
      </c>
      <c r="F224" t="inlineStr">
        <is>
          <t>Bergvik skog väst AB</t>
        </is>
      </c>
      <c r="G224" t="n">
        <v>3.4</v>
      </c>
      <c r="H224" t="n">
        <v>0</v>
      </c>
      <c r="I224" t="n">
        <v>0</v>
      </c>
      <c r="J224" t="n">
        <v>0</v>
      </c>
      <c r="K224" t="n">
        <v>0</v>
      </c>
      <c r="L224" t="n">
        <v>0</v>
      </c>
      <c r="M224" t="n">
        <v>0</v>
      </c>
      <c r="N224" t="n">
        <v>0</v>
      </c>
      <c r="O224" t="n">
        <v>0</v>
      </c>
      <c r="P224" t="n">
        <v>0</v>
      </c>
      <c r="Q224" t="n">
        <v>0</v>
      </c>
      <c r="R224" s="2" t="inlineStr"/>
      <c r="U224">
        <f>HYPERLINK("https://klasma.github.io/Logging_2029/knärot/A 22703-2021 karta knärot.png", "A 22703-2021")</f>
        <v/>
      </c>
      <c r="V224">
        <f>HYPERLINK("https://klasma.github.io/Logging_2029/klagomål/A 22703-2021 FSC-klagomål.docx", "A 22703-2021")</f>
        <v/>
      </c>
      <c r="W224">
        <f>HYPERLINK("https://klasma.github.io/Logging_2029/klagomålsmail/A 22703-2021 FSC-klagomål mail.docx", "A 22703-2021")</f>
        <v/>
      </c>
      <c r="X224">
        <f>HYPERLINK("https://klasma.github.io/Logging_2029/tillsyn/A 22703-2021 tillsynsbegäran.docx", "A 22703-2021")</f>
        <v/>
      </c>
      <c r="Y224">
        <f>HYPERLINK("https://klasma.github.io/Logging_2029/tillsynsmail/A 22703-2021 tillsynsbegäran mail.docx", "A 22703-2021")</f>
        <v/>
      </c>
    </row>
    <row r="225" ht="15" customHeight="1">
      <c r="A225" t="inlineStr">
        <is>
          <t>A 22684-2021</t>
        </is>
      </c>
      <c r="B225" s="1" t="n">
        <v>44327</v>
      </c>
      <c r="C225" s="1" t="n">
        <v>45347</v>
      </c>
      <c r="D225" t="inlineStr">
        <is>
          <t>DALARNAS LÄN</t>
        </is>
      </c>
      <c r="E225" t="inlineStr">
        <is>
          <t>LEKSAND</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22999-2021</t>
        </is>
      </c>
      <c r="B226" s="1" t="n">
        <v>44328</v>
      </c>
      <c r="C226" s="1" t="n">
        <v>45347</v>
      </c>
      <c r="D226" t="inlineStr">
        <is>
          <t>DALARNAS LÄN</t>
        </is>
      </c>
      <c r="E226" t="inlineStr">
        <is>
          <t>LEKSAND</t>
        </is>
      </c>
      <c r="F226" t="inlineStr">
        <is>
          <t>Bergvik skog väst AB</t>
        </is>
      </c>
      <c r="G226" t="n">
        <v>8.5</v>
      </c>
      <c r="H226" t="n">
        <v>0</v>
      </c>
      <c r="I226" t="n">
        <v>0</v>
      </c>
      <c r="J226" t="n">
        <v>0</v>
      </c>
      <c r="K226" t="n">
        <v>0</v>
      </c>
      <c r="L226" t="n">
        <v>0</v>
      </c>
      <c r="M226" t="n">
        <v>0</v>
      </c>
      <c r="N226" t="n">
        <v>0</v>
      </c>
      <c r="O226" t="n">
        <v>0</v>
      </c>
      <c r="P226" t="n">
        <v>0</v>
      </c>
      <c r="Q226" t="n">
        <v>0</v>
      </c>
      <c r="R226" s="2" t="inlineStr"/>
    </row>
    <row r="227" ht="15" customHeight="1">
      <c r="A227" t="inlineStr">
        <is>
          <t>A 23824-2021</t>
        </is>
      </c>
      <c r="B227" s="1" t="n">
        <v>44335</v>
      </c>
      <c r="C227" s="1" t="n">
        <v>45347</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24142-2021</t>
        </is>
      </c>
      <c r="B228" s="1" t="n">
        <v>44336</v>
      </c>
      <c r="C228" s="1" t="n">
        <v>45347</v>
      </c>
      <c r="D228" t="inlineStr">
        <is>
          <t>DALARNAS LÄN</t>
        </is>
      </c>
      <c r="E228" t="inlineStr">
        <is>
          <t>LEKSAND</t>
        </is>
      </c>
      <c r="F228" t="inlineStr">
        <is>
          <t>Bergvik skog väst AB</t>
        </is>
      </c>
      <c r="G228" t="n">
        <v>18.9</v>
      </c>
      <c r="H228" t="n">
        <v>0</v>
      </c>
      <c r="I228" t="n">
        <v>0</v>
      </c>
      <c r="J228" t="n">
        <v>0</v>
      </c>
      <c r="K228" t="n">
        <v>0</v>
      </c>
      <c r="L228" t="n">
        <v>0</v>
      </c>
      <c r="M228" t="n">
        <v>0</v>
      </c>
      <c r="N228" t="n">
        <v>0</v>
      </c>
      <c r="O228" t="n">
        <v>0</v>
      </c>
      <c r="P228" t="n">
        <v>0</v>
      </c>
      <c r="Q228" t="n">
        <v>0</v>
      </c>
      <c r="R228" s="2" t="inlineStr"/>
    </row>
    <row r="229" ht="15" customHeight="1">
      <c r="A229" t="inlineStr">
        <is>
          <t>A 24479-2021</t>
        </is>
      </c>
      <c r="B229" s="1" t="n">
        <v>44337</v>
      </c>
      <c r="C229" s="1" t="n">
        <v>45347</v>
      </c>
      <c r="D229" t="inlineStr">
        <is>
          <t>DALARNAS LÄN</t>
        </is>
      </c>
      <c r="E229" t="inlineStr">
        <is>
          <t>LEKSAND</t>
        </is>
      </c>
      <c r="F229" t="inlineStr">
        <is>
          <t>Bergvik skog väst AB</t>
        </is>
      </c>
      <c r="G229" t="n">
        <v>6.6</v>
      </c>
      <c r="H229" t="n">
        <v>0</v>
      </c>
      <c r="I229" t="n">
        <v>0</v>
      </c>
      <c r="J229" t="n">
        <v>0</v>
      </c>
      <c r="K229" t="n">
        <v>0</v>
      </c>
      <c r="L229" t="n">
        <v>0</v>
      </c>
      <c r="M229" t="n">
        <v>0</v>
      </c>
      <c r="N229" t="n">
        <v>0</v>
      </c>
      <c r="O229" t="n">
        <v>0</v>
      </c>
      <c r="P229" t="n">
        <v>0</v>
      </c>
      <c r="Q229" t="n">
        <v>0</v>
      </c>
      <c r="R229" s="2" t="inlineStr"/>
    </row>
    <row r="230" ht="15" customHeight="1">
      <c r="A230" t="inlineStr">
        <is>
          <t>A 26738-2021</t>
        </is>
      </c>
      <c r="B230" s="1" t="n">
        <v>44349</v>
      </c>
      <c r="C230" s="1" t="n">
        <v>45347</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27154-2021</t>
        </is>
      </c>
      <c r="B231" s="1" t="n">
        <v>44350</v>
      </c>
      <c r="C231" s="1" t="n">
        <v>45347</v>
      </c>
      <c r="D231" t="inlineStr">
        <is>
          <t>DALARNAS LÄN</t>
        </is>
      </c>
      <c r="E231" t="inlineStr">
        <is>
          <t>LEKSAND</t>
        </is>
      </c>
      <c r="G231" t="n">
        <v>0.7</v>
      </c>
      <c r="H231" t="n">
        <v>0</v>
      </c>
      <c r="I231" t="n">
        <v>0</v>
      </c>
      <c r="J231" t="n">
        <v>0</v>
      </c>
      <c r="K231" t="n">
        <v>0</v>
      </c>
      <c r="L231" t="n">
        <v>0</v>
      </c>
      <c r="M231" t="n">
        <v>0</v>
      </c>
      <c r="N231" t="n">
        <v>0</v>
      </c>
      <c r="O231" t="n">
        <v>0</v>
      </c>
      <c r="P231" t="n">
        <v>0</v>
      </c>
      <c r="Q231" t="n">
        <v>0</v>
      </c>
      <c r="R231" s="2" t="inlineStr"/>
    </row>
    <row r="232" ht="15" customHeight="1">
      <c r="A232" t="inlineStr">
        <is>
          <t>A 27317-2021</t>
        </is>
      </c>
      <c r="B232" s="1" t="n">
        <v>44351</v>
      </c>
      <c r="C232" s="1" t="n">
        <v>45347</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32152-2021</t>
        </is>
      </c>
      <c r="B233" s="1" t="n">
        <v>44371</v>
      </c>
      <c r="C233" s="1" t="n">
        <v>45347</v>
      </c>
      <c r="D233" t="inlineStr">
        <is>
          <t>DALARNAS LÄN</t>
        </is>
      </c>
      <c r="E233" t="inlineStr">
        <is>
          <t>LEKSAND</t>
        </is>
      </c>
      <c r="G233" t="n">
        <v>2.1</v>
      </c>
      <c r="H233" t="n">
        <v>0</v>
      </c>
      <c r="I233" t="n">
        <v>0</v>
      </c>
      <c r="J233" t="n">
        <v>0</v>
      </c>
      <c r="K233" t="n">
        <v>0</v>
      </c>
      <c r="L233" t="n">
        <v>0</v>
      </c>
      <c r="M233" t="n">
        <v>0</v>
      </c>
      <c r="N233" t="n">
        <v>0</v>
      </c>
      <c r="O233" t="n">
        <v>0</v>
      </c>
      <c r="P233" t="n">
        <v>0</v>
      </c>
      <c r="Q233" t="n">
        <v>0</v>
      </c>
      <c r="R233" s="2" t="inlineStr"/>
    </row>
    <row r="234" ht="15" customHeight="1">
      <c r="A234" t="inlineStr">
        <is>
          <t>A 32635-2021</t>
        </is>
      </c>
      <c r="B234" s="1" t="n">
        <v>44374</v>
      </c>
      <c r="C234" s="1" t="n">
        <v>45347</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33072-2021</t>
        </is>
      </c>
      <c r="B235" s="1" t="n">
        <v>44375</v>
      </c>
      <c r="C235" s="1" t="n">
        <v>45347</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33170-2021</t>
        </is>
      </c>
      <c r="B236" s="1" t="n">
        <v>44376</v>
      </c>
      <c r="C236" s="1" t="n">
        <v>45347</v>
      </c>
      <c r="D236" t="inlineStr">
        <is>
          <t>DALARNAS LÄN</t>
        </is>
      </c>
      <c r="E236" t="inlineStr">
        <is>
          <t>LEKSAND</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34869-2021</t>
        </is>
      </c>
      <c r="B237" s="1" t="n">
        <v>44383</v>
      </c>
      <c r="C237" s="1" t="n">
        <v>45347</v>
      </c>
      <c r="D237" t="inlineStr">
        <is>
          <t>DALARNAS LÄN</t>
        </is>
      </c>
      <c r="E237" t="inlineStr">
        <is>
          <t>LEKSAND</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34867-2021</t>
        </is>
      </c>
      <c r="B238" s="1" t="n">
        <v>44383</v>
      </c>
      <c r="C238" s="1" t="n">
        <v>45347</v>
      </c>
      <c r="D238" t="inlineStr">
        <is>
          <t>DALARNAS LÄN</t>
        </is>
      </c>
      <c r="E238" t="inlineStr">
        <is>
          <t>LEKSAND</t>
        </is>
      </c>
      <c r="F238" t="inlineStr">
        <is>
          <t>Bergvik skog väst AB</t>
        </is>
      </c>
      <c r="G238" t="n">
        <v>2.5</v>
      </c>
      <c r="H238" t="n">
        <v>0</v>
      </c>
      <c r="I238" t="n">
        <v>0</v>
      </c>
      <c r="J238" t="n">
        <v>0</v>
      </c>
      <c r="K238" t="n">
        <v>0</v>
      </c>
      <c r="L238" t="n">
        <v>0</v>
      </c>
      <c r="M238" t="n">
        <v>0</v>
      </c>
      <c r="N238" t="n">
        <v>0</v>
      </c>
      <c r="O238" t="n">
        <v>0</v>
      </c>
      <c r="P238" t="n">
        <v>0</v>
      </c>
      <c r="Q238" t="n">
        <v>0</v>
      </c>
      <c r="R238" s="2" t="inlineStr"/>
    </row>
    <row r="239" ht="15" customHeight="1">
      <c r="A239" t="inlineStr">
        <is>
          <t>A 34911-2021</t>
        </is>
      </c>
      <c r="B239" s="1" t="n">
        <v>44383</v>
      </c>
      <c r="C239" s="1" t="n">
        <v>45347</v>
      </c>
      <c r="D239" t="inlineStr">
        <is>
          <t>DALARNAS LÄN</t>
        </is>
      </c>
      <c r="E239" t="inlineStr">
        <is>
          <t>LEKSAND</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36438-2021</t>
        </is>
      </c>
      <c r="B240" s="1" t="n">
        <v>44390</v>
      </c>
      <c r="C240" s="1" t="n">
        <v>45347</v>
      </c>
      <c r="D240" t="inlineStr">
        <is>
          <t>DALARNAS LÄN</t>
        </is>
      </c>
      <c r="E240" t="inlineStr">
        <is>
          <t>LEKSAND</t>
        </is>
      </c>
      <c r="G240" t="n">
        <v>5</v>
      </c>
      <c r="H240" t="n">
        <v>0</v>
      </c>
      <c r="I240" t="n">
        <v>0</v>
      </c>
      <c r="J240" t="n">
        <v>0</v>
      </c>
      <c r="K240" t="n">
        <v>0</v>
      </c>
      <c r="L240" t="n">
        <v>0</v>
      </c>
      <c r="M240" t="n">
        <v>0</v>
      </c>
      <c r="N240" t="n">
        <v>0</v>
      </c>
      <c r="O240" t="n">
        <v>0</v>
      </c>
      <c r="P240" t="n">
        <v>0</v>
      </c>
      <c r="Q240" t="n">
        <v>0</v>
      </c>
      <c r="R240" s="2" t="inlineStr"/>
    </row>
    <row r="241" ht="15" customHeight="1">
      <c r="A241" t="inlineStr">
        <is>
          <t>A 36956-2021</t>
        </is>
      </c>
      <c r="B241" s="1" t="n">
        <v>44393</v>
      </c>
      <c r="C241" s="1" t="n">
        <v>45347</v>
      </c>
      <c r="D241" t="inlineStr">
        <is>
          <t>DALARNAS LÄN</t>
        </is>
      </c>
      <c r="E241" t="inlineStr">
        <is>
          <t>LEKSAND</t>
        </is>
      </c>
      <c r="G241" t="n">
        <v>4.1</v>
      </c>
      <c r="H241" t="n">
        <v>0</v>
      </c>
      <c r="I241" t="n">
        <v>0</v>
      </c>
      <c r="J241" t="n">
        <v>0</v>
      </c>
      <c r="K241" t="n">
        <v>0</v>
      </c>
      <c r="L241" t="n">
        <v>0</v>
      </c>
      <c r="M241" t="n">
        <v>0</v>
      </c>
      <c r="N241" t="n">
        <v>0</v>
      </c>
      <c r="O241" t="n">
        <v>0</v>
      </c>
      <c r="P241" t="n">
        <v>0</v>
      </c>
      <c r="Q241" t="n">
        <v>0</v>
      </c>
      <c r="R241" s="2" t="inlineStr"/>
    </row>
    <row r="242" ht="15" customHeight="1">
      <c r="A242" t="inlineStr">
        <is>
          <t>A 37073-2021</t>
        </is>
      </c>
      <c r="B242" s="1" t="n">
        <v>44394</v>
      </c>
      <c r="C242" s="1" t="n">
        <v>45347</v>
      </c>
      <c r="D242" t="inlineStr">
        <is>
          <t>DALARNAS LÄN</t>
        </is>
      </c>
      <c r="E242" t="inlineStr">
        <is>
          <t>LEKSAND</t>
        </is>
      </c>
      <c r="F242" t="inlineStr">
        <is>
          <t>Bergvik skog väst AB</t>
        </is>
      </c>
      <c r="G242" t="n">
        <v>0.5</v>
      </c>
      <c r="H242" t="n">
        <v>0</v>
      </c>
      <c r="I242" t="n">
        <v>0</v>
      </c>
      <c r="J242" t="n">
        <v>0</v>
      </c>
      <c r="K242" t="n">
        <v>0</v>
      </c>
      <c r="L242" t="n">
        <v>0</v>
      </c>
      <c r="M242" t="n">
        <v>0</v>
      </c>
      <c r="N242" t="n">
        <v>0</v>
      </c>
      <c r="O242" t="n">
        <v>0</v>
      </c>
      <c r="P242" t="n">
        <v>0</v>
      </c>
      <c r="Q242" t="n">
        <v>0</v>
      </c>
      <c r="R242" s="2" t="inlineStr"/>
    </row>
    <row r="243" ht="15" customHeight="1">
      <c r="A243" t="inlineStr">
        <is>
          <t>A 37283-2021</t>
        </is>
      </c>
      <c r="B243" s="1" t="n">
        <v>44397</v>
      </c>
      <c r="C243" s="1" t="n">
        <v>45347</v>
      </c>
      <c r="D243" t="inlineStr">
        <is>
          <t>DALARNAS LÄN</t>
        </is>
      </c>
      <c r="E243" t="inlineStr">
        <is>
          <t>LEKSAND</t>
        </is>
      </c>
      <c r="G243" t="n">
        <v>2.9</v>
      </c>
      <c r="H243" t="n">
        <v>0</v>
      </c>
      <c r="I243" t="n">
        <v>0</v>
      </c>
      <c r="J243" t="n">
        <v>0</v>
      </c>
      <c r="K243" t="n">
        <v>0</v>
      </c>
      <c r="L243" t="n">
        <v>0</v>
      </c>
      <c r="M243" t="n">
        <v>0</v>
      </c>
      <c r="N243" t="n">
        <v>0</v>
      </c>
      <c r="O243" t="n">
        <v>0</v>
      </c>
      <c r="P243" t="n">
        <v>0</v>
      </c>
      <c r="Q243" t="n">
        <v>0</v>
      </c>
      <c r="R243" s="2" t="inlineStr"/>
    </row>
    <row r="244" ht="15" customHeight="1">
      <c r="A244" t="inlineStr">
        <is>
          <t>A 37531-2021</t>
        </is>
      </c>
      <c r="B244" s="1" t="n">
        <v>44399</v>
      </c>
      <c r="C244" s="1" t="n">
        <v>45347</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38192-2021</t>
        </is>
      </c>
      <c r="B245" s="1" t="n">
        <v>44405</v>
      </c>
      <c r="C245" s="1" t="n">
        <v>45347</v>
      </c>
      <c r="D245" t="inlineStr">
        <is>
          <t>DALARNAS LÄN</t>
        </is>
      </c>
      <c r="E245" t="inlineStr">
        <is>
          <t>LEKSAND</t>
        </is>
      </c>
      <c r="G245" t="n">
        <v>2</v>
      </c>
      <c r="H245" t="n">
        <v>0</v>
      </c>
      <c r="I245" t="n">
        <v>0</v>
      </c>
      <c r="J245" t="n">
        <v>0</v>
      </c>
      <c r="K245" t="n">
        <v>0</v>
      </c>
      <c r="L245" t="n">
        <v>0</v>
      </c>
      <c r="M245" t="n">
        <v>0</v>
      </c>
      <c r="N245" t="n">
        <v>0</v>
      </c>
      <c r="O245" t="n">
        <v>0</v>
      </c>
      <c r="P245" t="n">
        <v>0</v>
      </c>
      <c r="Q245" t="n">
        <v>0</v>
      </c>
      <c r="R245" s="2" t="inlineStr"/>
    </row>
    <row r="246" ht="15" customHeight="1">
      <c r="A246" t="inlineStr">
        <is>
          <t>A 38619-2021</t>
        </is>
      </c>
      <c r="B246" s="1" t="n">
        <v>44409</v>
      </c>
      <c r="C246" s="1" t="n">
        <v>45347</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39203-2021</t>
        </is>
      </c>
      <c r="B247" s="1" t="n">
        <v>44413</v>
      </c>
      <c r="C247" s="1" t="n">
        <v>45347</v>
      </c>
      <c r="D247" t="inlineStr">
        <is>
          <t>DALARNAS LÄN</t>
        </is>
      </c>
      <c r="E247" t="inlineStr">
        <is>
          <t>LEKSAND</t>
        </is>
      </c>
      <c r="G247" t="n">
        <v>5</v>
      </c>
      <c r="H247" t="n">
        <v>0</v>
      </c>
      <c r="I247" t="n">
        <v>0</v>
      </c>
      <c r="J247" t="n">
        <v>0</v>
      </c>
      <c r="K247" t="n">
        <v>0</v>
      </c>
      <c r="L247" t="n">
        <v>0</v>
      </c>
      <c r="M247" t="n">
        <v>0</v>
      </c>
      <c r="N247" t="n">
        <v>0</v>
      </c>
      <c r="O247" t="n">
        <v>0</v>
      </c>
      <c r="P247" t="n">
        <v>0</v>
      </c>
      <c r="Q247" t="n">
        <v>0</v>
      </c>
      <c r="R247" s="2" t="inlineStr"/>
    </row>
    <row r="248" ht="15" customHeight="1">
      <c r="A248" t="inlineStr">
        <is>
          <t>A 40584-2021</t>
        </is>
      </c>
      <c r="B248" s="1" t="n">
        <v>44420</v>
      </c>
      <c r="C248" s="1" t="n">
        <v>45347</v>
      </c>
      <c r="D248" t="inlineStr">
        <is>
          <t>DALARNAS LÄN</t>
        </is>
      </c>
      <c r="E248" t="inlineStr">
        <is>
          <t>LEKSAND</t>
        </is>
      </c>
      <c r="G248" t="n">
        <v>6</v>
      </c>
      <c r="H248" t="n">
        <v>0</v>
      </c>
      <c r="I248" t="n">
        <v>0</v>
      </c>
      <c r="J248" t="n">
        <v>0</v>
      </c>
      <c r="K248" t="n">
        <v>0</v>
      </c>
      <c r="L248" t="n">
        <v>0</v>
      </c>
      <c r="M248" t="n">
        <v>0</v>
      </c>
      <c r="N248" t="n">
        <v>0</v>
      </c>
      <c r="O248" t="n">
        <v>0</v>
      </c>
      <c r="P248" t="n">
        <v>0</v>
      </c>
      <c r="Q248" t="n">
        <v>0</v>
      </c>
      <c r="R248" s="2" t="inlineStr"/>
    </row>
    <row r="249" ht="15" customHeight="1">
      <c r="A249" t="inlineStr">
        <is>
          <t>A 42952-2021</t>
        </is>
      </c>
      <c r="B249" s="1" t="n">
        <v>44431</v>
      </c>
      <c r="C249" s="1" t="n">
        <v>45347</v>
      </c>
      <c r="D249" t="inlineStr">
        <is>
          <t>DALARNAS LÄN</t>
        </is>
      </c>
      <c r="E249" t="inlineStr">
        <is>
          <t>LEKSAND</t>
        </is>
      </c>
      <c r="G249" t="n">
        <v>5.4</v>
      </c>
      <c r="H249" t="n">
        <v>0</v>
      </c>
      <c r="I249" t="n">
        <v>0</v>
      </c>
      <c r="J249" t="n">
        <v>0</v>
      </c>
      <c r="K249" t="n">
        <v>0</v>
      </c>
      <c r="L249" t="n">
        <v>0</v>
      </c>
      <c r="M249" t="n">
        <v>0</v>
      </c>
      <c r="N249" t="n">
        <v>0</v>
      </c>
      <c r="O249" t="n">
        <v>0</v>
      </c>
      <c r="P249" t="n">
        <v>0</v>
      </c>
      <c r="Q249" t="n">
        <v>0</v>
      </c>
      <c r="R249" s="2" t="inlineStr"/>
    </row>
    <row r="250" ht="15" customHeight="1">
      <c r="A250" t="inlineStr">
        <is>
          <t>A 43410-2021</t>
        </is>
      </c>
      <c r="B250" s="1" t="n">
        <v>44432</v>
      </c>
      <c r="C250" s="1" t="n">
        <v>45347</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44922-2021</t>
        </is>
      </c>
      <c r="B251" s="1" t="n">
        <v>44438</v>
      </c>
      <c r="C251" s="1" t="n">
        <v>45347</v>
      </c>
      <c r="D251" t="inlineStr">
        <is>
          <t>DALARNAS LÄN</t>
        </is>
      </c>
      <c r="E251" t="inlineStr">
        <is>
          <t>LEKSAND</t>
        </is>
      </c>
      <c r="G251" t="n">
        <v>0.8</v>
      </c>
      <c r="H251" t="n">
        <v>0</v>
      </c>
      <c r="I251" t="n">
        <v>0</v>
      </c>
      <c r="J251" t="n">
        <v>0</v>
      </c>
      <c r="K251" t="n">
        <v>0</v>
      </c>
      <c r="L251" t="n">
        <v>0</v>
      </c>
      <c r="M251" t="n">
        <v>0</v>
      </c>
      <c r="N251" t="n">
        <v>0</v>
      </c>
      <c r="O251" t="n">
        <v>0</v>
      </c>
      <c r="P251" t="n">
        <v>0</v>
      </c>
      <c r="Q251" t="n">
        <v>0</v>
      </c>
      <c r="R251" s="2" t="inlineStr"/>
    </row>
    <row r="252" ht="15" customHeight="1">
      <c r="A252" t="inlineStr">
        <is>
          <t>A 45155-2021</t>
        </is>
      </c>
      <c r="B252" s="1" t="n">
        <v>44439</v>
      </c>
      <c r="C252" s="1" t="n">
        <v>45347</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45788-2021</t>
        </is>
      </c>
      <c r="B253" s="1" t="n">
        <v>44441</v>
      </c>
      <c r="C253" s="1" t="n">
        <v>45347</v>
      </c>
      <c r="D253" t="inlineStr">
        <is>
          <t>DALARNAS LÄN</t>
        </is>
      </c>
      <c r="E253" t="inlineStr">
        <is>
          <t>LEKSAND</t>
        </is>
      </c>
      <c r="G253" t="n">
        <v>3</v>
      </c>
      <c r="H253" t="n">
        <v>0</v>
      </c>
      <c r="I253" t="n">
        <v>0</v>
      </c>
      <c r="J253" t="n">
        <v>0</v>
      </c>
      <c r="K253" t="n">
        <v>0</v>
      </c>
      <c r="L253" t="n">
        <v>0</v>
      </c>
      <c r="M253" t="n">
        <v>0</v>
      </c>
      <c r="N253" t="n">
        <v>0</v>
      </c>
      <c r="O253" t="n">
        <v>0</v>
      </c>
      <c r="P253" t="n">
        <v>0</v>
      </c>
      <c r="Q253" t="n">
        <v>0</v>
      </c>
      <c r="R253" s="2" t="inlineStr"/>
    </row>
    <row r="254" ht="15" customHeight="1">
      <c r="A254" t="inlineStr">
        <is>
          <t>A 47121-2021</t>
        </is>
      </c>
      <c r="B254" s="1" t="n">
        <v>44446</v>
      </c>
      <c r="C254" s="1" t="n">
        <v>45347</v>
      </c>
      <c r="D254" t="inlineStr">
        <is>
          <t>DALARNAS LÄN</t>
        </is>
      </c>
      <c r="E254" t="inlineStr">
        <is>
          <t>LEKSAND</t>
        </is>
      </c>
      <c r="G254" t="n">
        <v>3.5</v>
      </c>
      <c r="H254" t="n">
        <v>0</v>
      </c>
      <c r="I254" t="n">
        <v>0</v>
      </c>
      <c r="J254" t="n">
        <v>0</v>
      </c>
      <c r="K254" t="n">
        <v>0</v>
      </c>
      <c r="L254" t="n">
        <v>0</v>
      </c>
      <c r="M254" t="n">
        <v>0</v>
      </c>
      <c r="N254" t="n">
        <v>0</v>
      </c>
      <c r="O254" t="n">
        <v>0</v>
      </c>
      <c r="P254" t="n">
        <v>0</v>
      </c>
      <c r="Q254" t="n">
        <v>0</v>
      </c>
      <c r="R254" s="2" t="inlineStr"/>
    </row>
    <row r="255" ht="15" customHeight="1">
      <c r="A255" t="inlineStr">
        <is>
          <t>A 48949-2021</t>
        </is>
      </c>
      <c r="B255" s="1" t="n">
        <v>44453</v>
      </c>
      <c r="C255" s="1" t="n">
        <v>45347</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53625-2021</t>
        </is>
      </c>
      <c r="B256" s="1" t="n">
        <v>44469</v>
      </c>
      <c r="C256" s="1" t="n">
        <v>45347</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56153-2021</t>
        </is>
      </c>
      <c r="B257" s="1" t="n">
        <v>44477</v>
      </c>
      <c r="C257" s="1" t="n">
        <v>45347</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58569-2021</t>
        </is>
      </c>
      <c r="B258" s="1" t="n">
        <v>44488</v>
      </c>
      <c r="C258" s="1" t="n">
        <v>45347</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59422-2021</t>
        </is>
      </c>
      <c r="B259" s="1" t="n">
        <v>44491</v>
      </c>
      <c r="C259" s="1" t="n">
        <v>45347</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61546-2021</t>
        </is>
      </c>
      <c r="B260" s="1" t="n">
        <v>44501</v>
      </c>
      <c r="C260" s="1" t="n">
        <v>45347</v>
      </c>
      <c r="D260" t="inlineStr">
        <is>
          <t>DALARNAS LÄN</t>
        </is>
      </c>
      <c r="E260" t="inlineStr">
        <is>
          <t>LEKSAND</t>
        </is>
      </c>
      <c r="G260" t="n">
        <v>3</v>
      </c>
      <c r="H260" t="n">
        <v>0</v>
      </c>
      <c r="I260" t="n">
        <v>0</v>
      </c>
      <c r="J260" t="n">
        <v>0</v>
      </c>
      <c r="K260" t="n">
        <v>0</v>
      </c>
      <c r="L260" t="n">
        <v>0</v>
      </c>
      <c r="M260" t="n">
        <v>0</v>
      </c>
      <c r="N260" t="n">
        <v>0</v>
      </c>
      <c r="O260" t="n">
        <v>0</v>
      </c>
      <c r="P260" t="n">
        <v>0</v>
      </c>
      <c r="Q260" t="n">
        <v>0</v>
      </c>
      <c r="R260" s="2" t="inlineStr"/>
    </row>
    <row r="261" ht="15" customHeight="1">
      <c r="A261" t="inlineStr">
        <is>
          <t>A 61669-2021</t>
        </is>
      </c>
      <c r="B261" s="1" t="n">
        <v>44501</v>
      </c>
      <c r="C261" s="1" t="n">
        <v>45347</v>
      </c>
      <c r="D261" t="inlineStr">
        <is>
          <t>DALARNAS LÄN</t>
        </is>
      </c>
      <c r="E261" t="inlineStr">
        <is>
          <t>LEKSAND</t>
        </is>
      </c>
      <c r="G261" t="n">
        <v>3.6</v>
      </c>
      <c r="H261" t="n">
        <v>0</v>
      </c>
      <c r="I261" t="n">
        <v>0</v>
      </c>
      <c r="J261" t="n">
        <v>0</v>
      </c>
      <c r="K261" t="n">
        <v>0</v>
      </c>
      <c r="L261" t="n">
        <v>0</v>
      </c>
      <c r="M261" t="n">
        <v>0</v>
      </c>
      <c r="N261" t="n">
        <v>0</v>
      </c>
      <c r="O261" t="n">
        <v>0</v>
      </c>
      <c r="P261" t="n">
        <v>0</v>
      </c>
      <c r="Q261" t="n">
        <v>0</v>
      </c>
      <c r="R261" s="2" t="inlineStr"/>
    </row>
    <row r="262" ht="15" customHeight="1">
      <c r="A262" t="inlineStr">
        <is>
          <t>A 61676-2021</t>
        </is>
      </c>
      <c r="B262" s="1" t="n">
        <v>44501</v>
      </c>
      <c r="C262" s="1" t="n">
        <v>45347</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62279-2021</t>
        </is>
      </c>
      <c r="B263" s="1" t="n">
        <v>44503</v>
      </c>
      <c r="C263" s="1" t="n">
        <v>45347</v>
      </c>
      <c r="D263" t="inlineStr">
        <is>
          <t>DALARNAS LÄN</t>
        </is>
      </c>
      <c r="E263" t="inlineStr">
        <is>
          <t>LEKSAND</t>
        </is>
      </c>
      <c r="G263" t="n">
        <v>1.8</v>
      </c>
      <c r="H263" t="n">
        <v>0</v>
      </c>
      <c r="I263" t="n">
        <v>0</v>
      </c>
      <c r="J263" t="n">
        <v>0</v>
      </c>
      <c r="K263" t="n">
        <v>0</v>
      </c>
      <c r="L263" t="n">
        <v>0</v>
      </c>
      <c r="M263" t="n">
        <v>0</v>
      </c>
      <c r="N263" t="n">
        <v>0</v>
      </c>
      <c r="O263" t="n">
        <v>0</v>
      </c>
      <c r="P263" t="n">
        <v>0</v>
      </c>
      <c r="Q263" t="n">
        <v>0</v>
      </c>
      <c r="R263" s="2" t="inlineStr"/>
    </row>
    <row r="264" ht="15" customHeight="1">
      <c r="A264" t="inlineStr">
        <is>
          <t>A 64718-2021</t>
        </is>
      </c>
      <c r="B264" s="1" t="n">
        <v>44512</v>
      </c>
      <c r="C264" s="1" t="n">
        <v>45347</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68573-2021</t>
        </is>
      </c>
      <c r="B265" s="1" t="n">
        <v>44529</v>
      </c>
      <c r="C265" s="1" t="n">
        <v>45347</v>
      </c>
      <c r="D265" t="inlineStr">
        <is>
          <t>DALARNAS LÄN</t>
        </is>
      </c>
      <c r="E265" t="inlineStr">
        <is>
          <t>LEKSAND</t>
        </is>
      </c>
      <c r="G265" t="n">
        <v>1.6</v>
      </c>
      <c r="H265" t="n">
        <v>0</v>
      </c>
      <c r="I265" t="n">
        <v>0</v>
      </c>
      <c r="J265" t="n">
        <v>0</v>
      </c>
      <c r="K265" t="n">
        <v>0</v>
      </c>
      <c r="L265" t="n">
        <v>0</v>
      </c>
      <c r="M265" t="n">
        <v>0</v>
      </c>
      <c r="N265" t="n">
        <v>0</v>
      </c>
      <c r="O265" t="n">
        <v>0</v>
      </c>
      <c r="P265" t="n">
        <v>0</v>
      </c>
      <c r="Q265" t="n">
        <v>0</v>
      </c>
      <c r="R265" s="2" t="inlineStr"/>
    </row>
    <row r="266" ht="15" customHeight="1">
      <c r="A266" t="inlineStr">
        <is>
          <t>A 68617-2021</t>
        </is>
      </c>
      <c r="B266" s="1" t="n">
        <v>44529</v>
      </c>
      <c r="C266" s="1" t="n">
        <v>45347</v>
      </c>
      <c r="D266" t="inlineStr">
        <is>
          <t>DALARNAS LÄN</t>
        </is>
      </c>
      <c r="E266" t="inlineStr">
        <is>
          <t>LEKSAND</t>
        </is>
      </c>
      <c r="G266" t="n">
        <v>0.4</v>
      </c>
      <c r="H266" t="n">
        <v>0</v>
      </c>
      <c r="I266" t="n">
        <v>0</v>
      </c>
      <c r="J266" t="n">
        <v>0</v>
      </c>
      <c r="K266" t="n">
        <v>0</v>
      </c>
      <c r="L266" t="n">
        <v>0</v>
      </c>
      <c r="M266" t="n">
        <v>0</v>
      </c>
      <c r="N266" t="n">
        <v>0</v>
      </c>
      <c r="O266" t="n">
        <v>0</v>
      </c>
      <c r="P266" t="n">
        <v>0</v>
      </c>
      <c r="Q266" t="n">
        <v>0</v>
      </c>
      <c r="R266" s="2" t="inlineStr"/>
    </row>
    <row r="267" ht="15" customHeight="1">
      <c r="A267" t="inlineStr">
        <is>
          <t>A 69525-2021</t>
        </is>
      </c>
      <c r="B267" s="1" t="n">
        <v>44531</v>
      </c>
      <c r="C267" s="1" t="n">
        <v>45347</v>
      </c>
      <c r="D267" t="inlineStr">
        <is>
          <t>DALARNAS LÄN</t>
        </is>
      </c>
      <c r="E267" t="inlineStr">
        <is>
          <t>LEKSAND</t>
        </is>
      </c>
      <c r="G267" t="n">
        <v>2.9</v>
      </c>
      <c r="H267" t="n">
        <v>0</v>
      </c>
      <c r="I267" t="n">
        <v>0</v>
      </c>
      <c r="J267" t="n">
        <v>0</v>
      </c>
      <c r="K267" t="n">
        <v>0</v>
      </c>
      <c r="L267" t="n">
        <v>0</v>
      </c>
      <c r="M267" t="n">
        <v>0</v>
      </c>
      <c r="N267" t="n">
        <v>0</v>
      </c>
      <c r="O267" t="n">
        <v>0</v>
      </c>
      <c r="P267" t="n">
        <v>0</v>
      </c>
      <c r="Q267" t="n">
        <v>0</v>
      </c>
      <c r="R267" s="2" t="inlineStr"/>
    </row>
    <row r="268" ht="15" customHeight="1">
      <c r="A268" t="inlineStr">
        <is>
          <t>A 70098-2021</t>
        </is>
      </c>
      <c r="B268" s="1" t="n">
        <v>44533</v>
      </c>
      <c r="C268" s="1" t="n">
        <v>45347</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70099-2021</t>
        </is>
      </c>
      <c r="B269" s="1" t="n">
        <v>44533</v>
      </c>
      <c r="C269" s="1" t="n">
        <v>45347</v>
      </c>
      <c r="D269" t="inlineStr">
        <is>
          <t>DALARNAS LÄN</t>
        </is>
      </c>
      <c r="E269" t="inlineStr">
        <is>
          <t>LEKSAND</t>
        </is>
      </c>
      <c r="G269" t="n">
        <v>2.8</v>
      </c>
      <c r="H269" t="n">
        <v>0</v>
      </c>
      <c r="I269" t="n">
        <v>0</v>
      </c>
      <c r="J269" t="n">
        <v>0</v>
      </c>
      <c r="K269" t="n">
        <v>0</v>
      </c>
      <c r="L269" t="n">
        <v>0</v>
      </c>
      <c r="M269" t="n">
        <v>0</v>
      </c>
      <c r="N269" t="n">
        <v>0</v>
      </c>
      <c r="O269" t="n">
        <v>0</v>
      </c>
      <c r="P269" t="n">
        <v>0</v>
      </c>
      <c r="Q269" t="n">
        <v>0</v>
      </c>
      <c r="R269" s="2" t="inlineStr"/>
    </row>
    <row r="270" ht="15" customHeight="1">
      <c r="A270" t="inlineStr">
        <is>
          <t>A 70026-2021</t>
        </is>
      </c>
      <c r="B270" s="1" t="n">
        <v>44533</v>
      </c>
      <c r="C270" s="1" t="n">
        <v>45347</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70296-2021</t>
        </is>
      </c>
      <c r="B271" s="1" t="n">
        <v>44536</v>
      </c>
      <c r="C271" s="1" t="n">
        <v>45347</v>
      </c>
      <c r="D271" t="inlineStr">
        <is>
          <t>DALARNAS LÄN</t>
        </is>
      </c>
      <c r="E271" t="inlineStr">
        <is>
          <t>LEKSAND</t>
        </is>
      </c>
      <c r="G271" t="n">
        <v>2.7</v>
      </c>
      <c r="H271" t="n">
        <v>0</v>
      </c>
      <c r="I271" t="n">
        <v>0</v>
      </c>
      <c r="J271" t="n">
        <v>0</v>
      </c>
      <c r="K271" t="n">
        <v>0</v>
      </c>
      <c r="L271" t="n">
        <v>0</v>
      </c>
      <c r="M271" t="n">
        <v>0</v>
      </c>
      <c r="N271" t="n">
        <v>0</v>
      </c>
      <c r="O271" t="n">
        <v>0</v>
      </c>
      <c r="P271" t="n">
        <v>0</v>
      </c>
      <c r="Q271" t="n">
        <v>0</v>
      </c>
      <c r="R271" s="2" t="inlineStr"/>
    </row>
    <row r="272" ht="15" customHeight="1">
      <c r="A272" t="inlineStr">
        <is>
          <t>A 70451-2021</t>
        </is>
      </c>
      <c r="B272" s="1" t="n">
        <v>44536</v>
      </c>
      <c r="C272" s="1" t="n">
        <v>45347</v>
      </c>
      <c r="D272" t="inlineStr">
        <is>
          <t>DALARNAS LÄN</t>
        </is>
      </c>
      <c r="E272" t="inlineStr">
        <is>
          <t>LEKSAND</t>
        </is>
      </c>
      <c r="G272" t="n">
        <v>3.7</v>
      </c>
      <c r="H272" t="n">
        <v>0</v>
      </c>
      <c r="I272" t="n">
        <v>0</v>
      </c>
      <c r="J272" t="n">
        <v>0</v>
      </c>
      <c r="K272" t="n">
        <v>0</v>
      </c>
      <c r="L272" t="n">
        <v>0</v>
      </c>
      <c r="M272" t="n">
        <v>0</v>
      </c>
      <c r="N272" t="n">
        <v>0</v>
      </c>
      <c r="O272" t="n">
        <v>0</v>
      </c>
      <c r="P272" t="n">
        <v>0</v>
      </c>
      <c r="Q272" t="n">
        <v>0</v>
      </c>
      <c r="R272" s="2" t="inlineStr"/>
    </row>
    <row r="273" ht="15" customHeight="1">
      <c r="A273" t="inlineStr">
        <is>
          <t>A 71311-2021</t>
        </is>
      </c>
      <c r="B273" s="1" t="n">
        <v>44539</v>
      </c>
      <c r="C273" s="1" t="n">
        <v>45347</v>
      </c>
      <c r="D273" t="inlineStr">
        <is>
          <t>DALARNAS LÄN</t>
        </is>
      </c>
      <c r="E273" t="inlineStr">
        <is>
          <t>LEKSAND</t>
        </is>
      </c>
      <c r="G273" t="n">
        <v>1.5</v>
      </c>
      <c r="H273" t="n">
        <v>0</v>
      </c>
      <c r="I273" t="n">
        <v>0</v>
      </c>
      <c r="J273" t="n">
        <v>0</v>
      </c>
      <c r="K273" t="n">
        <v>0</v>
      </c>
      <c r="L273" t="n">
        <v>0</v>
      </c>
      <c r="M273" t="n">
        <v>0</v>
      </c>
      <c r="N273" t="n">
        <v>0</v>
      </c>
      <c r="O273" t="n">
        <v>0</v>
      </c>
      <c r="P273" t="n">
        <v>0</v>
      </c>
      <c r="Q273" t="n">
        <v>0</v>
      </c>
      <c r="R273" s="2" t="inlineStr"/>
    </row>
    <row r="274" ht="15" customHeight="1">
      <c r="A274" t="inlineStr">
        <is>
          <t>A 71754-2021</t>
        </is>
      </c>
      <c r="B274" s="1" t="n">
        <v>44543</v>
      </c>
      <c r="C274" s="1" t="n">
        <v>45347</v>
      </c>
      <c r="D274" t="inlineStr">
        <is>
          <t>DALARNAS LÄN</t>
        </is>
      </c>
      <c r="E274" t="inlineStr">
        <is>
          <t>LEKSAND</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71817-2021</t>
        </is>
      </c>
      <c r="B275" s="1" t="n">
        <v>44543</v>
      </c>
      <c r="C275" s="1" t="n">
        <v>45347</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72155-2021</t>
        </is>
      </c>
      <c r="B276" s="1" t="n">
        <v>44543</v>
      </c>
      <c r="C276" s="1" t="n">
        <v>45347</v>
      </c>
      <c r="D276" t="inlineStr">
        <is>
          <t>DALARNAS LÄN</t>
        </is>
      </c>
      <c r="E276" t="inlineStr">
        <is>
          <t>LEKSAND</t>
        </is>
      </c>
      <c r="G276" t="n">
        <v>2.5</v>
      </c>
      <c r="H276" t="n">
        <v>0</v>
      </c>
      <c r="I276" t="n">
        <v>0</v>
      </c>
      <c r="J276" t="n">
        <v>0</v>
      </c>
      <c r="K276" t="n">
        <v>0</v>
      </c>
      <c r="L276" t="n">
        <v>0</v>
      </c>
      <c r="M276" t="n">
        <v>0</v>
      </c>
      <c r="N276" t="n">
        <v>0</v>
      </c>
      <c r="O276" t="n">
        <v>0</v>
      </c>
      <c r="P276" t="n">
        <v>0</v>
      </c>
      <c r="Q276" t="n">
        <v>0</v>
      </c>
      <c r="R276" s="2" t="inlineStr"/>
    </row>
    <row r="277" ht="15" customHeight="1">
      <c r="A277" t="inlineStr">
        <is>
          <t>A 72000-2021</t>
        </is>
      </c>
      <c r="B277" s="1" t="n">
        <v>44544</v>
      </c>
      <c r="C277" s="1" t="n">
        <v>45347</v>
      </c>
      <c r="D277" t="inlineStr">
        <is>
          <t>DALARNAS LÄN</t>
        </is>
      </c>
      <c r="E277" t="inlineStr">
        <is>
          <t>LEKSAND</t>
        </is>
      </c>
      <c r="F277" t="inlineStr">
        <is>
          <t>Bergvik skog väst AB</t>
        </is>
      </c>
      <c r="G277" t="n">
        <v>2</v>
      </c>
      <c r="H277" t="n">
        <v>0</v>
      </c>
      <c r="I277" t="n">
        <v>0</v>
      </c>
      <c r="J277" t="n">
        <v>0</v>
      </c>
      <c r="K277" t="n">
        <v>0</v>
      </c>
      <c r="L277" t="n">
        <v>0</v>
      </c>
      <c r="M277" t="n">
        <v>0</v>
      </c>
      <c r="N277" t="n">
        <v>0</v>
      </c>
      <c r="O277" t="n">
        <v>0</v>
      </c>
      <c r="P277" t="n">
        <v>0</v>
      </c>
      <c r="Q277" t="n">
        <v>0</v>
      </c>
      <c r="R277" s="2" t="inlineStr"/>
    </row>
    <row r="278" ht="15" customHeight="1">
      <c r="A278" t="inlineStr">
        <is>
          <t>A 72001-2021</t>
        </is>
      </c>
      <c r="B278" s="1" t="n">
        <v>44544</v>
      </c>
      <c r="C278" s="1" t="n">
        <v>45347</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72581-2021</t>
        </is>
      </c>
      <c r="B279" s="1" t="n">
        <v>44546</v>
      </c>
      <c r="C279" s="1" t="n">
        <v>45347</v>
      </c>
      <c r="D279" t="inlineStr">
        <is>
          <t>DALARNAS LÄN</t>
        </is>
      </c>
      <c r="E279" t="inlineStr">
        <is>
          <t>LEKSAND</t>
        </is>
      </c>
      <c r="G279" t="n">
        <v>0.6</v>
      </c>
      <c r="H279" t="n">
        <v>0</v>
      </c>
      <c r="I279" t="n">
        <v>0</v>
      </c>
      <c r="J279" t="n">
        <v>0</v>
      </c>
      <c r="K279" t="n">
        <v>0</v>
      </c>
      <c r="L279" t="n">
        <v>0</v>
      </c>
      <c r="M279" t="n">
        <v>0</v>
      </c>
      <c r="N279" t="n">
        <v>0</v>
      </c>
      <c r="O279" t="n">
        <v>0</v>
      </c>
      <c r="P279" t="n">
        <v>0</v>
      </c>
      <c r="Q279" t="n">
        <v>0</v>
      </c>
      <c r="R279" s="2" t="inlineStr"/>
    </row>
    <row r="280" ht="15" customHeight="1">
      <c r="A280" t="inlineStr">
        <is>
          <t>A 72531-2021</t>
        </is>
      </c>
      <c r="B280" s="1" t="n">
        <v>44546</v>
      </c>
      <c r="C280" s="1" t="n">
        <v>45347</v>
      </c>
      <c r="D280" t="inlineStr">
        <is>
          <t>DALARNAS LÄN</t>
        </is>
      </c>
      <c r="E280" t="inlineStr">
        <is>
          <t>LEKSAND</t>
        </is>
      </c>
      <c r="F280" t="inlineStr">
        <is>
          <t>Bergvik skog väst AB</t>
        </is>
      </c>
      <c r="G280" t="n">
        <v>1.7</v>
      </c>
      <c r="H280" t="n">
        <v>0</v>
      </c>
      <c r="I280" t="n">
        <v>0</v>
      </c>
      <c r="J280" t="n">
        <v>0</v>
      </c>
      <c r="K280" t="n">
        <v>0</v>
      </c>
      <c r="L280" t="n">
        <v>0</v>
      </c>
      <c r="M280" t="n">
        <v>0</v>
      </c>
      <c r="N280" t="n">
        <v>0</v>
      </c>
      <c r="O280" t="n">
        <v>0</v>
      </c>
      <c r="P280" t="n">
        <v>0</v>
      </c>
      <c r="Q280" t="n">
        <v>0</v>
      </c>
      <c r="R280" s="2" t="inlineStr"/>
    </row>
    <row r="281" ht="15" customHeight="1">
      <c r="A281" t="inlineStr">
        <is>
          <t>A 72575-2021</t>
        </is>
      </c>
      <c r="B281" s="1" t="n">
        <v>44546</v>
      </c>
      <c r="C281" s="1" t="n">
        <v>45347</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74067-2021</t>
        </is>
      </c>
      <c r="B282" s="1" t="n">
        <v>44553</v>
      </c>
      <c r="C282" s="1" t="n">
        <v>45347</v>
      </c>
      <c r="D282" t="inlineStr">
        <is>
          <t>DALARNAS LÄN</t>
        </is>
      </c>
      <c r="E282" t="inlineStr">
        <is>
          <t>LEKSAND</t>
        </is>
      </c>
      <c r="G282" t="n">
        <v>1.8</v>
      </c>
      <c r="H282" t="n">
        <v>0</v>
      </c>
      <c r="I282" t="n">
        <v>0</v>
      </c>
      <c r="J282" t="n">
        <v>0</v>
      </c>
      <c r="K282" t="n">
        <v>0</v>
      </c>
      <c r="L282" t="n">
        <v>0</v>
      </c>
      <c r="M282" t="n">
        <v>0</v>
      </c>
      <c r="N282" t="n">
        <v>0</v>
      </c>
      <c r="O282" t="n">
        <v>0</v>
      </c>
      <c r="P282" t="n">
        <v>0</v>
      </c>
      <c r="Q282" t="n">
        <v>0</v>
      </c>
      <c r="R282" s="2" t="inlineStr"/>
    </row>
    <row r="283" ht="15" customHeight="1">
      <c r="A283" t="inlineStr">
        <is>
          <t>A 791-2022</t>
        </is>
      </c>
      <c r="B283" s="1" t="n">
        <v>44570</v>
      </c>
      <c r="C283" s="1" t="n">
        <v>45347</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1775-2022</t>
        </is>
      </c>
      <c r="B284" s="1" t="n">
        <v>44574</v>
      </c>
      <c r="C284" s="1" t="n">
        <v>45347</v>
      </c>
      <c r="D284" t="inlineStr">
        <is>
          <t>DALARNAS LÄN</t>
        </is>
      </c>
      <c r="E284" t="inlineStr">
        <is>
          <t>LEKSAND</t>
        </is>
      </c>
      <c r="G284" t="n">
        <v>2</v>
      </c>
      <c r="H284" t="n">
        <v>0</v>
      </c>
      <c r="I284" t="n">
        <v>0</v>
      </c>
      <c r="J284" t="n">
        <v>0</v>
      </c>
      <c r="K284" t="n">
        <v>0</v>
      </c>
      <c r="L284" t="n">
        <v>0</v>
      </c>
      <c r="M284" t="n">
        <v>0</v>
      </c>
      <c r="N284" t="n">
        <v>0</v>
      </c>
      <c r="O284" t="n">
        <v>0</v>
      </c>
      <c r="P284" t="n">
        <v>0</v>
      </c>
      <c r="Q284" t="n">
        <v>0</v>
      </c>
      <c r="R284" s="2" t="inlineStr"/>
    </row>
    <row r="285" ht="15" customHeight="1">
      <c r="A285" t="inlineStr">
        <is>
          <t>A 2579-2022</t>
        </is>
      </c>
      <c r="B285" s="1" t="n">
        <v>44580</v>
      </c>
      <c r="C285" s="1" t="n">
        <v>45347</v>
      </c>
      <c r="D285" t="inlineStr">
        <is>
          <t>DALARNAS LÄN</t>
        </is>
      </c>
      <c r="E285" t="inlineStr">
        <is>
          <t>LEKSAND</t>
        </is>
      </c>
      <c r="G285" t="n">
        <v>0.3</v>
      </c>
      <c r="H285" t="n">
        <v>0</v>
      </c>
      <c r="I285" t="n">
        <v>0</v>
      </c>
      <c r="J285" t="n">
        <v>0</v>
      </c>
      <c r="K285" t="n">
        <v>0</v>
      </c>
      <c r="L285" t="n">
        <v>0</v>
      </c>
      <c r="M285" t="n">
        <v>0</v>
      </c>
      <c r="N285" t="n">
        <v>0</v>
      </c>
      <c r="O285" t="n">
        <v>0</v>
      </c>
      <c r="P285" t="n">
        <v>0</v>
      </c>
      <c r="Q285" t="n">
        <v>0</v>
      </c>
      <c r="R285" s="2" t="inlineStr"/>
    </row>
    <row r="286" ht="15" customHeight="1">
      <c r="A286" t="inlineStr">
        <is>
          <t>A 4257-2022</t>
        </is>
      </c>
      <c r="B286" s="1" t="n">
        <v>44588</v>
      </c>
      <c r="C286" s="1" t="n">
        <v>45347</v>
      </c>
      <c r="D286" t="inlineStr">
        <is>
          <t>DALARNAS LÄN</t>
        </is>
      </c>
      <c r="E286" t="inlineStr">
        <is>
          <t>LEKSAND</t>
        </is>
      </c>
      <c r="G286" t="n">
        <v>6.8</v>
      </c>
      <c r="H286" t="n">
        <v>0</v>
      </c>
      <c r="I286" t="n">
        <v>0</v>
      </c>
      <c r="J286" t="n">
        <v>0</v>
      </c>
      <c r="K286" t="n">
        <v>0</v>
      </c>
      <c r="L286" t="n">
        <v>0</v>
      </c>
      <c r="M286" t="n">
        <v>0</v>
      </c>
      <c r="N286" t="n">
        <v>0</v>
      </c>
      <c r="O286" t="n">
        <v>0</v>
      </c>
      <c r="P286" t="n">
        <v>0</v>
      </c>
      <c r="Q286" t="n">
        <v>0</v>
      </c>
      <c r="R286" s="2" t="inlineStr"/>
    </row>
    <row r="287" ht="15" customHeight="1">
      <c r="A287" t="inlineStr">
        <is>
          <t>A 4609-2022</t>
        </is>
      </c>
      <c r="B287" s="1" t="n">
        <v>44592</v>
      </c>
      <c r="C287" s="1" t="n">
        <v>45347</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8501-2022</t>
        </is>
      </c>
      <c r="B288" s="1" t="n">
        <v>44613</v>
      </c>
      <c r="C288" s="1" t="n">
        <v>45347</v>
      </c>
      <c r="D288" t="inlineStr">
        <is>
          <t>DALARNAS LÄN</t>
        </is>
      </c>
      <c r="E288" t="inlineStr">
        <is>
          <t>LEKSAND</t>
        </is>
      </c>
      <c r="G288" t="n">
        <v>3</v>
      </c>
      <c r="H288" t="n">
        <v>0</v>
      </c>
      <c r="I288" t="n">
        <v>0</v>
      </c>
      <c r="J288" t="n">
        <v>0</v>
      </c>
      <c r="K288" t="n">
        <v>0</v>
      </c>
      <c r="L288" t="n">
        <v>0</v>
      </c>
      <c r="M288" t="n">
        <v>0</v>
      </c>
      <c r="N288" t="n">
        <v>0</v>
      </c>
      <c r="O288" t="n">
        <v>0</v>
      </c>
      <c r="P288" t="n">
        <v>0</v>
      </c>
      <c r="Q288" t="n">
        <v>0</v>
      </c>
      <c r="R288" s="2" t="inlineStr"/>
    </row>
    <row r="289" ht="15" customHeight="1">
      <c r="A289" t="inlineStr">
        <is>
          <t>A 11015-2022</t>
        </is>
      </c>
      <c r="B289" s="1" t="n">
        <v>44628</v>
      </c>
      <c r="C289" s="1" t="n">
        <v>45347</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11412-2022</t>
        </is>
      </c>
      <c r="B290" s="1" t="n">
        <v>44630</v>
      </c>
      <c r="C290" s="1" t="n">
        <v>45347</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12992-2022</t>
        </is>
      </c>
      <c r="B291" s="1" t="n">
        <v>44643</v>
      </c>
      <c r="C291" s="1" t="n">
        <v>45347</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14140-2022</t>
        </is>
      </c>
      <c r="B292" s="1" t="n">
        <v>44651</v>
      </c>
      <c r="C292" s="1" t="n">
        <v>45347</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14806-2022</t>
        </is>
      </c>
      <c r="B293" s="1" t="n">
        <v>44656</v>
      </c>
      <c r="C293" s="1" t="n">
        <v>45347</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16353-2022</t>
        </is>
      </c>
      <c r="B294" s="1" t="n">
        <v>44670</v>
      </c>
      <c r="C294" s="1" t="n">
        <v>45347</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16375-2022</t>
        </is>
      </c>
      <c r="B295" s="1" t="n">
        <v>44671</v>
      </c>
      <c r="C295" s="1" t="n">
        <v>45347</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16976-2022</t>
        </is>
      </c>
      <c r="B296" s="1" t="n">
        <v>44676</v>
      </c>
      <c r="C296" s="1" t="n">
        <v>45347</v>
      </c>
      <c r="D296" t="inlineStr">
        <is>
          <t>DALARNAS LÄN</t>
        </is>
      </c>
      <c r="E296" t="inlineStr">
        <is>
          <t>LEKSAND</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17455-2022</t>
        </is>
      </c>
      <c r="B297" s="1" t="n">
        <v>44679</v>
      </c>
      <c r="C297" s="1" t="n">
        <v>45347</v>
      </c>
      <c r="D297" t="inlineStr">
        <is>
          <t>DALARNAS LÄN</t>
        </is>
      </c>
      <c r="E297" t="inlineStr">
        <is>
          <t>LEKSAND</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18140-2022</t>
        </is>
      </c>
      <c r="B298" s="1" t="n">
        <v>44684</v>
      </c>
      <c r="C298" s="1" t="n">
        <v>45347</v>
      </c>
      <c r="D298" t="inlineStr">
        <is>
          <t>DALARNAS LÄN</t>
        </is>
      </c>
      <c r="E298" t="inlineStr">
        <is>
          <t>LEKSAND</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18866-2022</t>
        </is>
      </c>
      <c r="B299" s="1" t="n">
        <v>44690</v>
      </c>
      <c r="C299" s="1" t="n">
        <v>45347</v>
      </c>
      <c r="D299" t="inlineStr">
        <is>
          <t>DALARNAS LÄN</t>
        </is>
      </c>
      <c r="E299" t="inlineStr">
        <is>
          <t>LEKSAND</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18870-2022</t>
        </is>
      </c>
      <c r="B300" s="1" t="n">
        <v>44690</v>
      </c>
      <c r="C300" s="1" t="n">
        <v>45347</v>
      </c>
      <c r="D300" t="inlineStr">
        <is>
          <t>DALARNAS LÄN</t>
        </is>
      </c>
      <c r="E300" t="inlineStr">
        <is>
          <t>LEKSAND</t>
        </is>
      </c>
      <c r="F300" t="inlineStr">
        <is>
          <t>Övriga Aktiebolag</t>
        </is>
      </c>
      <c r="G300" t="n">
        <v>3.1</v>
      </c>
      <c r="H300" t="n">
        <v>0</v>
      </c>
      <c r="I300" t="n">
        <v>0</v>
      </c>
      <c r="J300" t="n">
        <v>0</v>
      </c>
      <c r="K300" t="n">
        <v>0</v>
      </c>
      <c r="L300" t="n">
        <v>0</v>
      </c>
      <c r="M300" t="n">
        <v>0</v>
      </c>
      <c r="N300" t="n">
        <v>0</v>
      </c>
      <c r="O300" t="n">
        <v>0</v>
      </c>
      <c r="P300" t="n">
        <v>0</v>
      </c>
      <c r="Q300" t="n">
        <v>0</v>
      </c>
      <c r="R300" s="2" t="inlineStr"/>
    </row>
    <row r="301" ht="15" customHeight="1">
      <c r="A301" t="inlineStr">
        <is>
          <t>A 19467-2022</t>
        </is>
      </c>
      <c r="B301" s="1" t="n">
        <v>44693</v>
      </c>
      <c r="C301" s="1" t="n">
        <v>45347</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19480-2022</t>
        </is>
      </c>
      <c r="B302" s="1" t="n">
        <v>44693</v>
      </c>
      <c r="C302" s="1" t="n">
        <v>45347</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19993-2022</t>
        </is>
      </c>
      <c r="B303" s="1" t="n">
        <v>44697</v>
      </c>
      <c r="C303" s="1" t="n">
        <v>45347</v>
      </c>
      <c r="D303" t="inlineStr">
        <is>
          <t>DALARNAS LÄN</t>
        </is>
      </c>
      <c r="E303" t="inlineStr">
        <is>
          <t>LEKSAND</t>
        </is>
      </c>
      <c r="G303" t="n">
        <v>0.9</v>
      </c>
      <c r="H303" t="n">
        <v>0</v>
      </c>
      <c r="I303" t="n">
        <v>0</v>
      </c>
      <c r="J303" t="n">
        <v>0</v>
      </c>
      <c r="K303" t="n">
        <v>0</v>
      </c>
      <c r="L303" t="n">
        <v>0</v>
      </c>
      <c r="M303" t="n">
        <v>0</v>
      </c>
      <c r="N303" t="n">
        <v>0</v>
      </c>
      <c r="O303" t="n">
        <v>0</v>
      </c>
      <c r="P303" t="n">
        <v>0</v>
      </c>
      <c r="Q303" t="n">
        <v>0</v>
      </c>
      <c r="R303" s="2" t="inlineStr"/>
    </row>
    <row r="304" ht="15" customHeight="1">
      <c r="A304" t="inlineStr">
        <is>
          <t>A 20274-2022</t>
        </is>
      </c>
      <c r="B304" s="1" t="n">
        <v>44698</v>
      </c>
      <c r="C304" s="1" t="n">
        <v>45347</v>
      </c>
      <c r="D304" t="inlineStr">
        <is>
          <t>DALARNAS LÄN</t>
        </is>
      </c>
      <c r="E304" t="inlineStr">
        <is>
          <t>LEKSAND</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21565-2022</t>
        </is>
      </c>
      <c r="B305" s="1" t="n">
        <v>44704</v>
      </c>
      <c r="C305" s="1" t="n">
        <v>45347</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21841-2022</t>
        </is>
      </c>
      <c r="B306" s="1" t="n">
        <v>44711</v>
      </c>
      <c r="C306" s="1" t="n">
        <v>45347</v>
      </c>
      <c r="D306" t="inlineStr">
        <is>
          <t>DALARNAS LÄN</t>
        </is>
      </c>
      <c r="E306" t="inlineStr">
        <is>
          <t>LEKSAND</t>
        </is>
      </c>
      <c r="F306" t="inlineStr">
        <is>
          <t>Bergvik skog väst AB</t>
        </is>
      </c>
      <c r="G306" t="n">
        <v>3</v>
      </c>
      <c r="H306" t="n">
        <v>0</v>
      </c>
      <c r="I306" t="n">
        <v>0</v>
      </c>
      <c r="J306" t="n">
        <v>0</v>
      </c>
      <c r="K306" t="n">
        <v>0</v>
      </c>
      <c r="L306" t="n">
        <v>0</v>
      </c>
      <c r="M306" t="n">
        <v>0</v>
      </c>
      <c r="N306" t="n">
        <v>0</v>
      </c>
      <c r="O306" t="n">
        <v>0</v>
      </c>
      <c r="P306" t="n">
        <v>0</v>
      </c>
      <c r="Q306" t="n">
        <v>0</v>
      </c>
      <c r="R306" s="2" t="inlineStr"/>
    </row>
    <row r="307" ht="15" customHeight="1">
      <c r="A307" t="inlineStr">
        <is>
          <t>A 21839-2022</t>
        </is>
      </c>
      <c r="B307" s="1" t="n">
        <v>44711</v>
      </c>
      <c r="C307" s="1" t="n">
        <v>45347</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21840-2022</t>
        </is>
      </c>
      <c r="B308" s="1" t="n">
        <v>44711</v>
      </c>
      <c r="C308" s="1" t="n">
        <v>45347</v>
      </c>
      <c r="D308" t="inlineStr">
        <is>
          <t>DALARNAS LÄN</t>
        </is>
      </c>
      <c r="E308" t="inlineStr">
        <is>
          <t>LEKSAND</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22683-2022</t>
        </is>
      </c>
      <c r="B309" s="1" t="n">
        <v>44714</v>
      </c>
      <c r="C309" s="1" t="n">
        <v>45347</v>
      </c>
      <c r="D309" t="inlineStr">
        <is>
          <t>DALARNAS LÄN</t>
        </is>
      </c>
      <c r="E309" t="inlineStr">
        <is>
          <t>LEKSAND</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22681-2022</t>
        </is>
      </c>
      <c r="B310" s="1" t="n">
        <v>44714</v>
      </c>
      <c r="C310" s="1" t="n">
        <v>45347</v>
      </c>
      <c r="D310" t="inlineStr">
        <is>
          <t>DALARNAS LÄN</t>
        </is>
      </c>
      <c r="E310" t="inlineStr">
        <is>
          <t>LEKSAND</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22684-2022</t>
        </is>
      </c>
      <c r="B311" s="1" t="n">
        <v>44714</v>
      </c>
      <c r="C311" s="1" t="n">
        <v>45347</v>
      </c>
      <c r="D311" t="inlineStr">
        <is>
          <t>DALARNAS LÄN</t>
        </is>
      </c>
      <c r="E311" t="inlineStr">
        <is>
          <t>LEKSAND</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23137-2022</t>
        </is>
      </c>
      <c r="B312" s="1" t="n">
        <v>44719</v>
      </c>
      <c r="C312" s="1" t="n">
        <v>45347</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v>
      </c>
      <c r="C313" s="1" t="n">
        <v>45347</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26289-2022</t>
        </is>
      </c>
      <c r="B314" s="1" t="n">
        <v>44735</v>
      </c>
      <c r="C314" s="1" t="n">
        <v>45347</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26882-2022</t>
        </is>
      </c>
      <c r="B315" s="1" t="n">
        <v>44740</v>
      </c>
      <c r="C315" s="1" t="n">
        <v>45347</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28128-2022</t>
        </is>
      </c>
      <c r="B316" s="1" t="n">
        <v>44746</v>
      </c>
      <c r="C316" s="1" t="n">
        <v>45347</v>
      </c>
      <c r="D316" t="inlineStr">
        <is>
          <t>DALARNAS LÄN</t>
        </is>
      </c>
      <c r="E316" t="inlineStr">
        <is>
          <t>LEKSAND</t>
        </is>
      </c>
      <c r="G316" t="n">
        <v>3.5</v>
      </c>
      <c r="H316" t="n">
        <v>0</v>
      </c>
      <c r="I316" t="n">
        <v>0</v>
      </c>
      <c r="J316" t="n">
        <v>0</v>
      </c>
      <c r="K316" t="n">
        <v>0</v>
      </c>
      <c r="L316" t="n">
        <v>0</v>
      </c>
      <c r="M316" t="n">
        <v>0</v>
      </c>
      <c r="N316" t="n">
        <v>0</v>
      </c>
      <c r="O316" t="n">
        <v>0</v>
      </c>
      <c r="P316" t="n">
        <v>0</v>
      </c>
      <c r="Q316" t="n">
        <v>0</v>
      </c>
      <c r="R316" s="2" t="inlineStr"/>
    </row>
    <row r="317" ht="15" customHeight="1">
      <c r="A317" t="inlineStr">
        <is>
          <t>A 28911-2022</t>
        </is>
      </c>
      <c r="B317" s="1" t="n">
        <v>44749</v>
      </c>
      <c r="C317" s="1" t="n">
        <v>45347</v>
      </c>
      <c r="D317" t="inlineStr">
        <is>
          <t>DALARNAS LÄN</t>
        </is>
      </c>
      <c r="E317" t="inlineStr">
        <is>
          <t>LEKSAND</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28892-2022</t>
        </is>
      </c>
      <c r="B318" s="1" t="n">
        <v>44749</v>
      </c>
      <c r="C318" s="1" t="n">
        <v>45347</v>
      </c>
      <c r="D318" t="inlineStr">
        <is>
          <t>DALARNAS LÄN</t>
        </is>
      </c>
      <c r="E318" t="inlineStr">
        <is>
          <t>LEKSAND</t>
        </is>
      </c>
      <c r="F318" t="inlineStr">
        <is>
          <t>Bergvik skog väst AB</t>
        </is>
      </c>
      <c r="G318" t="n">
        <v>9.1</v>
      </c>
      <c r="H318" t="n">
        <v>0</v>
      </c>
      <c r="I318" t="n">
        <v>0</v>
      </c>
      <c r="J318" t="n">
        <v>0</v>
      </c>
      <c r="K318" t="n">
        <v>0</v>
      </c>
      <c r="L318" t="n">
        <v>0</v>
      </c>
      <c r="M318" t="n">
        <v>0</v>
      </c>
      <c r="N318" t="n">
        <v>0</v>
      </c>
      <c r="O318" t="n">
        <v>0</v>
      </c>
      <c r="P318" t="n">
        <v>0</v>
      </c>
      <c r="Q318" t="n">
        <v>0</v>
      </c>
      <c r="R318" s="2" t="inlineStr"/>
    </row>
    <row r="319" ht="15" customHeight="1">
      <c r="A319" t="inlineStr">
        <is>
          <t>A 28912-2022</t>
        </is>
      </c>
      <c r="B319" s="1" t="n">
        <v>44749</v>
      </c>
      <c r="C319" s="1" t="n">
        <v>45347</v>
      </c>
      <c r="D319" t="inlineStr">
        <is>
          <t>DALARNAS LÄN</t>
        </is>
      </c>
      <c r="E319" t="inlineStr">
        <is>
          <t>LEKSAND</t>
        </is>
      </c>
      <c r="G319" t="n">
        <v>2.5</v>
      </c>
      <c r="H319" t="n">
        <v>0</v>
      </c>
      <c r="I319" t="n">
        <v>0</v>
      </c>
      <c r="J319" t="n">
        <v>0</v>
      </c>
      <c r="K319" t="n">
        <v>0</v>
      </c>
      <c r="L319" t="n">
        <v>0</v>
      </c>
      <c r="M319" t="n">
        <v>0</v>
      </c>
      <c r="N319" t="n">
        <v>0</v>
      </c>
      <c r="O319" t="n">
        <v>0</v>
      </c>
      <c r="P319" t="n">
        <v>0</v>
      </c>
      <c r="Q319" t="n">
        <v>0</v>
      </c>
      <c r="R319" s="2" t="inlineStr"/>
    </row>
    <row r="320" ht="15" customHeight="1">
      <c r="A320" t="inlineStr">
        <is>
          <t>A 29205-2022</t>
        </is>
      </c>
      <c r="B320" s="1" t="n">
        <v>44750</v>
      </c>
      <c r="C320" s="1" t="n">
        <v>45347</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29157-2022</t>
        </is>
      </c>
      <c r="B321" s="1" t="n">
        <v>44750</v>
      </c>
      <c r="C321" s="1" t="n">
        <v>45347</v>
      </c>
      <c r="D321" t="inlineStr">
        <is>
          <t>DALARNAS LÄN</t>
        </is>
      </c>
      <c r="E321" t="inlineStr">
        <is>
          <t>LEKSAND</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30449-2022</t>
        </is>
      </c>
      <c r="B322" s="1" t="n">
        <v>44761</v>
      </c>
      <c r="C322" s="1" t="n">
        <v>45347</v>
      </c>
      <c r="D322" t="inlineStr">
        <is>
          <t>DALARNAS LÄN</t>
        </is>
      </c>
      <c r="E322" t="inlineStr">
        <is>
          <t>LEKSAND</t>
        </is>
      </c>
      <c r="G322" t="n">
        <v>5.7</v>
      </c>
      <c r="H322" t="n">
        <v>0</v>
      </c>
      <c r="I322" t="n">
        <v>0</v>
      </c>
      <c r="J322" t="n">
        <v>0</v>
      </c>
      <c r="K322" t="n">
        <v>0</v>
      </c>
      <c r="L322" t="n">
        <v>0</v>
      </c>
      <c r="M322" t="n">
        <v>0</v>
      </c>
      <c r="N322" t="n">
        <v>0</v>
      </c>
      <c r="O322" t="n">
        <v>0</v>
      </c>
      <c r="P322" t="n">
        <v>0</v>
      </c>
      <c r="Q322" t="n">
        <v>0</v>
      </c>
      <c r="R322" s="2" t="inlineStr"/>
    </row>
    <row r="323" ht="15" customHeight="1">
      <c r="A323" t="inlineStr">
        <is>
          <t>A 31746-2022</t>
        </is>
      </c>
      <c r="B323" s="1" t="n">
        <v>44776</v>
      </c>
      <c r="C323" s="1" t="n">
        <v>45347</v>
      </c>
      <c r="D323" t="inlineStr">
        <is>
          <t>DALARNAS LÄN</t>
        </is>
      </c>
      <c r="E323" t="inlineStr">
        <is>
          <t>LEKSAND</t>
        </is>
      </c>
      <c r="G323" t="n">
        <v>3.3</v>
      </c>
      <c r="H323" t="n">
        <v>0</v>
      </c>
      <c r="I323" t="n">
        <v>0</v>
      </c>
      <c r="J323" t="n">
        <v>0</v>
      </c>
      <c r="K323" t="n">
        <v>0</v>
      </c>
      <c r="L323" t="n">
        <v>0</v>
      </c>
      <c r="M323" t="n">
        <v>0</v>
      </c>
      <c r="N323" t="n">
        <v>0</v>
      </c>
      <c r="O323" t="n">
        <v>0</v>
      </c>
      <c r="P323" t="n">
        <v>0</v>
      </c>
      <c r="Q323" t="n">
        <v>0</v>
      </c>
      <c r="R323" s="2" t="inlineStr"/>
    </row>
    <row r="324" ht="15" customHeight="1">
      <c r="A324" t="inlineStr">
        <is>
          <t>A 31871-2022</t>
        </is>
      </c>
      <c r="B324" s="1" t="n">
        <v>44777</v>
      </c>
      <c r="C324" s="1" t="n">
        <v>45347</v>
      </c>
      <c r="D324" t="inlineStr">
        <is>
          <t>DALARNAS LÄN</t>
        </is>
      </c>
      <c r="E324" t="inlineStr">
        <is>
          <t>LEKSAND</t>
        </is>
      </c>
      <c r="G324" t="n">
        <v>4.1</v>
      </c>
      <c r="H324" t="n">
        <v>0</v>
      </c>
      <c r="I324" t="n">
        <v>0</v>
      </c>
      <c r="J324" t="n">
        <v>0</v>
      </c>
      <c r="K324" t="n">
        <v>0</v>
      </c>
      <c r="L324" t="n">
        <v>0</v>
      </c>
      <c r="M324" t="n">
        <v>0</v>
      </c>
      <c r="N324" t="n">
        <v>0</v>
      </c>
      <c r="O324" t="n">
        <v>0</v>
      </c>
      <c r="P324" t="n">
        <v>0</v>
      </c>
      <c r="Q324" t="n">
        <v>0</v>
      </c>
      <c r="R324" s="2" t="inlineStr"/>
    </row>
    <row r="325" ht="15" customHeight="1">
      <c r="A325" t="inlineStr">
        <is>
          <t>A 32225-2022</t>
        </is>
      </c>
      <c r="B325" s="1" t="n">
        <v>44781</v>
      </c>
      <c r="C325" s="1" t="n">
        <v>45347</v>
      </c>
      <c r="D325" t="inlineStr">
        <is>
          <t>DALARNAS LÄN</t>
        </is>
      </c>
      <c r="E325" t="inlineStr">
        <is>
          <t>LEKSAND</t>
        </is>
      </c>
      <c r="F325" t="inlineStr">
        <is>
          <t>Bergvik skog väst AB</t>
        </is>
      </c>
      <c r="G325" t="n">
        <v>3.2</v>
      </c>
      <c r="H325" t="n">
        <v>0</v>
      </c>
      <c r="I325" t="n">
        <v>0</v>
      </c>
      <c r="J325" t="n">
        <v>0</v>
      </c>
      <c r="K325" t="n">
        <v>0</v>
      </c>
      <c r="L325" t="n">
        <v>0</v>
      </c>
      <c r="M325" t="n">
        <v>0</v>
      </c>
      <c r="N325" t="n">
        <v>0</v>
      </c>
      <c r="O325" t="n">
        <v>0</v>
      </c>
      <c r="P325" t="n">
        <v>0</v>
      </c>
      <c r="Q325" t="n">
        <v>0</v>
      </c>
      <c r="R325" s="2" t="inlineStr"/>
    </row>
    <row r="326" ht="15" customHeight="1">
      <c r="A326" t="inlineStr">
        <is>
          <t>A 32476-2022</t>
        </is>
      </c>
      <c r="B326" s="1" t="n">
        <v>44782</v>
      </c>
      <c r="C326" s="1" t="n">
        <v>45347</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32791-2022</t>
        </is>
      </c>
      <c r="B327" s="1" t="n">
        <v>44784</v>
      </c>
      <c r="C327" s="1" t="n">
        <v>45347</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33198-2022</t>
        </is>
      </c>
      <c r="B328" s="1" t="n">
        <v>44785</v>
      </c>
      <c r="C328" s="1" t="n">
        <v>45347</v>
      </c>
      <c r="D328" t="inlineStr">
        <is>
          <t>DALARNAS LÄN</t>
        </is>
      </c>
      <c r="E328" t="inlineStr">
        <is>
          <t>LEKSAND</t>
        </is>
      </c>
      <c r="G328" t="n">
        <v>1.5</v>
      </c>
      <c r="H328" t="n">
        <v>0</v>
      </c>
      <c r="I328" t="n">
        <v>0</v>
      </c>
      <c r="J328" t="n">
        <v>0</v>
      </c>
      <c r="K328" t="n">
        <v>0</v>
      </c>
      <c r="L328" t="n">
        <v>0</v>
      </c>
      <c r="M328" t="n">
        <v>0</v>
      </c>
      <c r="N328" t="n">
        <v>0</v>
      </c>
      <c r="O328" t="n">
        <v>0</v>
      </c>
      <c r="P328" t="n">
        <v>0</v>
      </c>
      <c r="Q328" t="n">
        <v>0</v>
      </c>
      <c r="R328" s="2" t="inlineStr"/>
    </row>
    <row r="329" ht="15" customHeight="1">
      <c r="A329" t="inlineStr">
        <is>
          <t>A 34317-2022</t>
        </is>
      </c>
      <c r="B329" s="1" t="n">
        <v>44792</v>
      </c>
      <c r="C329" s="1" t="n">
        <v>45347</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34482-2022</t>
        </is>
      </c>
      <c r="B330" s="1" t="n">
        <v>44792</v>
      </c>
      <c r="C330" s="1" t="n">
        <v>45347</v>
      </c>
      <c r="D330" t="inlineStr">
        <is>
          <t>DALARNAS LÄN</t>
        </is>
      </c>
      <c r="E330" t="inlineStr">
        <is>
          <t>LEKSAND</t>
        </is>
      </c>
      <c r="G330" t="n">
        <v>2.6</v>
      </c>
      <c r="H330" t="n">
        <v>0</v>
      </c>
      <c r="I330" t="n">
        <v>0</v>
      </c>
      <c r="J330" t="n">
        <v>0</v>
      </c>
      <c r="K330" t="n">
        <v>0</v>
      </c>
      <c r="L330" t="n">
        <v>0</v>
      </c>
      <c r="M330" t="n">
        <v>0</v>
      </c>
      <c r="N330" t="n">
        <v>0</v>
      </c>
      <c r="O330" t="n">
        <v>0</v>
      </c>
      <c r="P330" t="n">
        <v>0</v>
      </c>
      <c r="Q330" t="n">
        <v>0</v>
      </c>
      <c r="R330" s="2" t="inlineStr"/>
    </row>
    <row r="331" ht="15" customHeight="1">
      <c r="A331" t="inlineStr">
        <is>
          <t>A 35080-2022</t>
        </is>
      </c>
      <c r="B331" s="1" t="n">
        <v>44797</v>
      </c>
      <c r="C331" s="1" t="n">
        <v>45347</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35087-2022</t>
        </is>
      </c>
      <c r="B332" s="1" t="n">
        <v>44797</v>
      </c>
      <c r="C332" s="1" t="n">
        <v>45347</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35801-2022</t>
        </is>
      </c>
      <c r="B333" s="1" t="n">
        <v>44802</v>
      </c>
      <c r="C333" s="1" t="n">
        <v>45347</v>
      </c>
      <c r="D333" t="inlineStr">
        <is>
          <t>DALARNAS LÄN</t>
        </is>
      </c>
      <c r="E333" t="inlineStr">
        <is>
          <t>LEKSAND</t>
        </is>
      </c>
      <c r="F333" t="inlineStr">
        <is>
          <t>Bergvik skog väst AB</t>
        </is>
      </c>
      <c r="G333" t="n">
        <v>6.4</v>
      </c>
      <c r="H333" t="n">
        <v>0</v>
      </c>
      <c r="I333" t="n">
        <v>0</v>
      </c>
      <c r="J333" t="n">
        <v>0</v>
      </c>
      <c r="K333" t="n">
        <v>0</v>
      </c>
      <c r="L333" t="n">
        <v>0</v>
      </c>
      <c r="M333" t="n">
        <v>0</v>
      </c>
      <c r="N333" t="n">
        <v>0</v>
      </c>
      <c r="O333" t="n">
        <v>0</v>
      </c>
      <c r="P333" t="n">
        <v>0</v>
      </c>
      <c r="Q333" t="n">
        <v>0</v>
      </c>
      <c r="R333" s="2" t="inlineStr"/>
    </row>
    <row r="334" ht="15" customHeight="1">
      <c r="A334" t="inlineStr">
        <is>
          <t>A 35952-2022</t>
        </is>
      </c>
      <c r="B334" s="1" t="n">
        <v>44802</v>
      </c>
      <c r="C334" s="1" t="n">
        <v>45347</v>
      </c>
      <c r="D334" t="inlineStr">
        <is>
          <t>DALARNAS LÄN</t>
        </is>
      </c>
      <c r="E334" t="inlineStr">
        <is>
          <t>LEKSAND</t>
        </is>
      </c>
      <c r="G334" t="n">
        <v>4.6</v>
      </c>
      <c r="H334" t="n">
        <v>0</v>
      </c>
      <c r="I334" t="n">
        <v>0</v>
      </c>
      <c r="J334" t="n">
        <v>0</v>
      </c>
      <c r="K334" t="n">
        <v>0</v>
      </c>
      <c r="L334" t="n">
        <v>0</v>
      </c>
      <c r="M334" t="n">
        <v>0</v>
      </c>
      <c r="N334" t="n">
        <v>0</v>
      </c>
      <c r="O334" t="n">
        <v>0</v>
      </c>
      <c r="P334" t="n">
        <v>0</v>
      </c>
      <c r="Q334" t="n">
        <v>0</v>
      </c>
      <c r="R334" s="2" t="inlineStr"/>
    </row>
    <row r="335" ht="15" customHeight="1">
      <c r="A335" t="inlineStr">
        <is>
          <t>A 37300-2022</t>
        </is>
      </c>
      <c r="B335" s="1" t="n">
        <v>44808</v>
      </c>
      <c r="C335" s="1" t="n">
        <v>45347</v>
      </c>
      <c r="D335" t="inlineStr">
        <is>
          <t>DALARNAS LÄN</t>
        </is>
      </c>
      <c r="E335" t="inlineStr">
        <is>
          <t>LEKSAND</t>
        </is>
      </c>
      <c r="G335" t="n">
        <v>6.3</v>
      </c>
      <c r="H335" t="n">
        <v>0</v>
      </c>
      <c r="I335" t="n">
        <v>0</v>
      </c>
      <c r="J335" t="n">
        <v>0</v>
      </c>
      <c r="K335" t="n">
        <v>0</v>
      </c>
      <c r="L335" t="n">
        <v>0</v>
      </c>
      <c r="M335" t="n">
        <v>0</v>
      </c>
      <c r="N335" t="n">
        <v>0</v>
      </c>
      <c r="O335" t="n">
        <v>0</v>
      </c>
      <c r="P335" t="n">
        <v>0</v>
      </c>
      <c r="Q335" t="n">
        <v>0</v>
      </c>
      <c r="R335" s="2" t="inlineStr"/>
    </row>
    <row r="336" ht="15" customHeight="1">
      <c r="A336" t="inlineStr">
        <is>
          <t>A 37928-2022</t>
        </is>
      </c>
      <c r="B336" s="1" t="n">
        <v>44811</v>
      </c>
      <c r="C336" s="1" t="n">
        <v>45347</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38236-2022</t>
        </is>
      </c>
      <c r="B337" s="1" t="n">
        <v>44812</v>
      </c>
      <c r="C337" s="1" t="n">
        <v>45347</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38258-2022</t>
        </is>
      </c>
      <c r="B338" s="1" t="n">
        <v>44812</v>
      </c>
      <c r="C338" s="1" t="n">
        <v>45347</v>
      </c>
      <c r="D338" t="inlineStr">
        <is>
          <t>DALARNAS LÄN</t>
        </is>
      </c>
      <c r="E338" t="inlineStr">
        <is>
          <t>LEKSAND</t>
        </is>
      </c>
      <c r="G338" t="n">
        <v>3.9</v>
      </c>
      <c r="H338" t="n">
        <v>0</v>
      </c>
      <c r="I338" t="n">
        <v>0</v>
      </c>
      <c r="J338" t="n">
        <v>0</v>
      </c>
      <c r="K338" t="n">
        <v>0</v>
      </c>
      <c r="L338" t="n">
        <v>0</v>
      </c>
      <c r="M338" t="n">
        <v>0</v>
      </c>
      <c r="N338" t="n">
        <v>0</v>
      </c>
      <c r="O338" t="n">
        <v>0</v>
      </c>
      <c r="P338" t="n">
        <v>0</v>
      </c>
      <c r="Q338" t="n">
        <v>0</v>
      </c>
      <c r="R338" s="2" t="inlineStr"/>
    </row>
    <row r="339" ht="15" customHeight="1">
      <c r="A339" t="inlineStr">
        <is>
          <t>A 38764-2022</t>
        </is>
      </c>
      <c r="B339" s="1" t="n">
        <v>44816</v>
      </c>
      <c r="C339" s="1" t="n">
        <v>45347</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39658-2022</t>
        </is>
      </c>
      <c r="B340" s="1" t="n">
        <v>44818</v>
      </c>
      <c r="C340" s="1" t="n">
        <v>45347</v>
      </c>
      <c r="D340" t="inlineStr">
        <is>
          <t>DALARNAS LÄN</t>
        </is>
      </c>
      <c r="E340" t="inlineStr">
        <is>
          <t>LEKSAND</t>
        </is>
      </c>
      <c r="G340" t="n">
        <v>5.4</v>
      </c>
      <c r="H340" t="n">
        <v>0</v>
      </c>
      <c r="I340" t="n">
        <v>0</v>
      </c>
      <c r="J340" t="n">
        <v>0</v>
      </c>
      <c r="K340" t="n">
        <v>0</v>
      </c>
      <c r="L340" t="n">
        <v>0</v>
      </c>
      <c r="M340" t="n">
        <v>0</v>
      </c>
      <c r="N340" t="n">
        <v>0</v>
      </c>
      <c r="O340" t="n">
        <v>0</v>
      </c>
      <c r="P340" t="n">
        <v>0</v>
      </c>
      <c r="Q340" t="n">
        <v>0</v>
      </c>
      <c r="R340" s="2" t="inlineStr"/>
    </row>
    <row r="341" ht="15" customHeight="1">
      <c r="A341" t="inlineStr">
        <is>
          <t>A 40165-2022</t>
        </is>
      </c>
      <c r="B341" s="1" t="n">
        <v>44820</v>
      </c>
      <c r="C341" s="1" t="n">
        <v>45347</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41351-2022</t>
        </is>
      </c>
      <c r="B342" s="1" t="n">
        <v>44824</v>
      </c>
      <c r="C342" s="1" t="n">
        <v>45347</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43275-2022</t>
        </is>
      </c>
      <c r="B343" s="1" t="n">
        <v>44824</v>
      </c>
      <c r="C343" s="1" t="n">
        <v>45347</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41873-2022</t>
        </is>
      </c>
      <c r="B344" s="1" t="n">
        <v>44829</v>
      </c>
      <c r="C344" s="1" t="n">
        <v>45347</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41869-2022</t>
        </is>
      </c>
      <c r="B345" s="1" t="n">
        <v>44829</v>
      </c>
      <c r="C345" s="1" t="n">
        <v>45347</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43300-2022</t>
        </is>
      </c>
      <c r="B346" s="1" t="n">
        <v>44834</v>
      </c>
      <c r="C346" s="1" t="n">
        <v>45347</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43304-2022</t>
        </is>
      </c>
      <c r="B347" s="1" t="n">
        <v>44834</v>
      </c>
      <c r="C347" s="1" t="n">
        <v>45347</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43604-2022</t>
        </is>
      </c>
      <c r="B348" s="1" t="n">
        <v>44837</v>
      </c>
      <c r="C348" s="1" t="n">
        <v>45347</v>
      </c>
      <c r="D348" t="inlineStr">
        <is>
          <t>DALARNAS LÄN</t>
        </is>
      </c>
      <c r="E348" t="inlineStr">
        <is>
          <t>LEKSAND</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43693-2022</t>
        </is>
      </c>
      <c r="B349" s="1" t="n">
        <v>44837</v>
      </c>
      <c r="C349" s="1" t="n">
        <v>45347</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43735-2022</t>
        </is>
      </c>
      <c r="B350" s="1" t="n">
        <v>44837</v>
      </c>
      <c r="C350" s="1" t="n">
        <v>45347</v>
      </c>
      <c r="D350" t="inlineStr">
        <is>
          <t>DALARNAS LÄN</t>
        </is>
      </c>
      <c r="E350" t="inlineStr">
        <is>
          <t>LEKSAND</t>
        </is>
      </c>
      <c r="G350" t="n">
        <v>2.9</v>
      </c>
      <c r="H350" t="n">
        <v>0</v>
      </c>
      <c r="I350" t="n">
        <v>0</v>
      </c>
      <c r="J350" t="n">
        <v>0</v>
      </c>
      <c r="K350" t="n">
        <v>0</v>
      </c>
      <c r="L350" t="n">
        <v>0</v>
      </c>
      <c r="M350" t="n">
        <v>0</v>
      </c>
      <c r="N350" t="n">
        <v>0</v>
      </c>
      <c r="O350" t="n">
        <v>0</v>
      </c>
      <c r="P350" t="n">
        <v>0</v>
      </c>
      <c r="Q350" t="n">
        <v>0</v>
      </c>
      <c r="R350" s="2" t="inlineStr"/>
    </row>
    <row r="351" ht="15" customHeight="1">
      <c r="A351" t="inlineStr">
        <is>
          <t>A 44124-2022</t>
        </is>
      </c>
      <c r="B351" s="1" t="n">
        <v>44839</v>
      </c>
      <c r="C351" s="1" t="n">
        <v>45347</v>
      </c>
      <c r="D351" t="inlineStr">
        <is>
          <t>DALARNAS LÄN</t>
        </is>
      </c>
      <c r="E351" t="inlineStr">
        <is>
          <t>LEKSAND</t>
        </is>
      </c>
      <c r="G351" t="n">
        <v>8</v>
      </c>
      <c r="H351" t="n">
        <v>0</v>
      </c>
      <c r="I351" t="n">
        <v>0</v>
      </c>
      <c r="J351" t="n">
        <v>0</v>
      </c>
      <c r="K351" t="n">
        <v>0</v>
      </c>
      <c r="L351" t="n">
        <v>0</v>
      </c>
      <c r="M351" t="n">
        <v>0</v>
      </c>
      <c r="N351" t="n">
        <v>0</v>
      </c>
      <c r="O351" t="n">
        <v>0</v>
      </c>
      <c r="P351" t="n">
        <v>0</v>
      </c>
      <c r="Q351" t="n">
        <v>0</v>
      </c>
      <c r="R351" s="2" t="inlineStr"/>
    </row>
    <row r="352" ht="15" customHeight="1">
      <c r="A352" t="inlineStr">
        <is>
          <t>A 44700-2022</t>
        </is>
      </c>
      <c r="B352" s="1" t="n">
        <v>44840</v>
      </c>
      <c r="C352" s="1" t="n">
        <v>45347</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45943-2022</t>
        </is>
      </c>
      <c r="B353" s="1" t="n">
        <v>44846</v>
      </c>
      <c r="C353" s="1" t="n">
        <v>45347</v>
      </c>
      <c r="D353" t="inlineStr">
        <is>
          <t>DALARNAS LÄN</t>
        </is>
      </c>
      <c r="E353" t="inlineStr">
        <is>
          <t>LEKSAND</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46141-2022</t>
        </is>
      </c>
      <c r="B354" s="1" t="n">
        <v>44846</v>
      </c>
      <c r="C354" s="1" t="n">
        <v>45347</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46672-2022</t>
        </is>
      </c>
      <c r="B355" s="1" t="n">
        <v>44851</v>
      </c>
      <c r="C355" s="1" t="n">
        <v>45347</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46916-2022</t>
        </is>
      </c>
      <c r="B356" s="1" t="n">
        <v>44851</v>
      </c>
      <c r="C356" s="1" t="n">
        <v>45347</v>
      </c>
      <c r="D356" t="inlineStr">
        <is>
          <t>DALARNAS LÄN</t>
        </is>
      </c>
      <c r="E356" t="inlineStr">
        <is>
          <t>LEKSAND</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47441-2022</t>
        </is>
      </c>
      <c r="B357" s="1" t="n">
        <v>44853</v>
      </c>
      <c r="C357" s="1" t="n">
        <v>45347</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49342-2022</t>
        </is>
      </c>
      <c r="B358" s="1" t="n">
        <v>44861</v>
      </c>
      <c r="C358" s="1" t="n">
        <v>45347</v>
      </c>
      <c r="D358" t="inlineStr">
        <is>
          <t>DALARNAS LÄN</t>
        </is>
      </c>
      <c r="E358" t="inlineStr">
        <is>
          <t>LEKSAND</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49345-2022</t>
        </is>
      </c>
      <c r="B359" s="1" t="n">
        <v>44861</v>
      </c>
      <c r="C359" s="1" t="n">
        <v>45347</v>
      </c>
      <c r="D359" t="inlineStr">
        <is>
          <t>DALARNAS LÄN</t>
        </is>
      </c>
      <c r="E359" t="inlineStr">
        <is>
          <t>LEKSAND</t>
        </is>
      </c>
      <c r="F359" t="inlineStr">
        <is>
          <t>Bergvik skog väst AB</t>
        </is>
      </c>
      <c r="G359" t="n">
        <v>4.8</v>
      </c>
      <c r="H359" t="n">
        <v>0</v>
      </c>
      <c r="I359" t="n">
        <v>0</v>
      </c>
      <c r="J359" t="n">
        <v>0</v>
      </c>
      <c r="K359" t="n">
        <v>0</v>
      </c>
      <c r="L359" t="n">
        <v>0</v>
      </c>
      <c r="M359" t="n">
        <v>0</v>
      </c>
      <c r="N359" t="n">
        <v>0</v>
      </c>
      <c r="O359" t="n">
        <v>0</v>
      </c>
      <c r="P359" t="n">
        <v>0</v>
      </c>
      <c r="Q359" t="n">
        <v>0</v>
      </c>
      <c r="R359" s="2" t="inlineStr"/>
    </row>
    <row r="360" ht="15" customHeight="1">
      <c r="A360" t="inlineStr">
        <is>
          <t>A 49581-2022</t>
        </is>
      </c>
      <c r="B360" s="1" t="n">
        <v>44862</v>
      </c>
      <c r="C360" s="1" t="n">
        <v>45347</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50219-2022</t>
        </is>
      </c>
      <c r="B361" s="1" t="n">
        <v>44865</v>
      </c>
      <c r="C361" s="1" t="n">
        <v>45347</v>
      </c>
      <c r="D361" t="inlineStr">
        <is>
          <t>DALARNAS LÄN</t>
        </is>
      </c>
      <c r="E361" t="inlineStr">
        <is>
          <t>LEKSAND</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50353-2022</t>
        </is>
      </c>
      <c r="B362" s="1" t="n">
        <v>44866</v>
      </c>
      <c r="C362" s="1" t="n">
        <v>45347</v>
      </c>
      <c r="D362" t="inlineStr">
        <is>
          <t>DALARNAS LÄN</t>
        </is>
      </c>
      <c r="E362" t="inlineStr">
        <is>
          <t>LEKSAND</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50352-2022</t>
        </is>
      </c>
      <c r="B363" s="1" t="n">
        <v>44866</v>
      </c>
      <c r="C363" s="1" t="n">
        <v>45347</v>
      </c>
      <c r="D363" t="inlineStr">
        <is>
          <t>DALARNAS LÄN</t>
        </is>
      </c>
      <c r="E363" t="inlineStr">
        <is>
          <t>LEKSAND</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50354-2022</t>
        </is>
      </c>
      <c r="B364" s="1" t="n">
        <v>44866</v>
      </c>
      <c r="C364" s="1" t="n">
        <v>45347</v>
      </c>
      <c r="D364" t="inlineStr">
        <is>
          <t>DALARNAS LÄN</t>
        </is>
      </c>
      <c r="E364" t="inlineStr">
        <is>
          <t>LEKSAND</t>
        </is>
      </c>
      <c r="F364" t="inlineStr">
        <is>
          <t>Bergvik skog väst AB</t>
        </is>
      </c>
      <c r="G364" t="n">
        <v>7.4</v>
      </c>
      <c r="H364" t="n">
        <v>0</v>
      </c>
      <c r="I364" t="n">
        <v>0</v>
      </c>
      <c r="J364" t="n">
        <v>0</v>
      </c>
      <c r="K364" t="n">
        <v>0</v>
      </c>
      <c r="L364" t="n">
        <v>0</v>
      </c>
      <c r="M364" t="n">
        <v>0</v>
      </c>
      <c r="N364" t="n">
        <v>0</v>
      </c>
      <c r="O364" t="n">
        <v>0</v>
      </c>
      <c r="P364" t="n">
        <v>0</v>
      </c>
      <c r="Q364" t="n">
        <v>0</v>
      </c>
      <c r="R364" s="2" t="inlineStr"/>
    </row>
    <row r="365" ht="15" customHeight="1">
      <c r="A365" t="inlineStr">
        <is>
          <t>A 51857-2022</t>
        </is>
      </c>
      <c r="B365" s="1" t="n">
        <v>44867</v>
      </c>
      <c r="C365" s="1" t="n">
        <v>45347</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51449-2022</t>
        </is>
      </c>
      <c r="B366" s="1" t="n">
        <v>44869</v>
      </c>
      <c r="C366" s="1" t="n">
        <v>45347</v>
      </c>
      <c r="D366" t="inlineStr">
        <is>
          <t>DALARNAS LÄN</t>
        </is>
      </c>
      <c r="E366" t="inlineStr">
        <is>
          <t>LEKSAND</t>
        </is>
      </c>
      <c r="F366" t="inlineStr">
        <is>
          <t>Bergvik skog väst AB</t>
        </is>
      </c>
      <c r="G366" t="n">
        <v>5</v>
      </c>
      <c r="H366" t="n">
        <v>0</v>
      </c>
      <c r="I366" t="n">
        <v>0</v>
      </c>
      <c r="J366" t="n">
        <v>0</v>
      </c>
      <c r="K366" t="n">
        <v>0</v>
      </c>
      <c r="L366" t="n">
        <v>0</v>
      </c>
      <c r="M366" t="n">
        <v>0</v>
      </c>
      <c r="N366" t="n">
        <v>0</v>
      </c>
      <c r="O366" t="n">
        <v>0</v>
      </c>
      <c r="P366" t="n">
        <v>0</v>
      </c>
      <c r="Q366" t="n">
        <v>0</v>
      </c>
      <c r="R366" s="2" t="inlineStr"/>
    </row>
    <row r="367" ht="15" customHeight="1">
      <c r="A367" t="inlineStr">
        <is>
          <t>A 51480-2022</t>
        </is>
      </c>
      <c r="B367" s="1" t="n">
        <v>44869</v>
      </c>
      <c r="C367" s="1" t="n">
        <v>45347</v>
      </c>
      <c r="D367" t="inlineStr">
        <is>
          <t>DALARNAS LÄN</t>
        </is>
      </c>
      <c r="E367" t="inlineStr">
        <is>
          <t>LEKSAND</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51502-2022</t>
        </is>
      </c>
      <c r="B368" s="1" t="n">
        <v>44869</v>
      </c>
      <c r="C368" s="1" t="n">
        <v>45347</v>
      </c>
      <c r="D368" t="inlineStr">
        <is>
          <t>DALARNAS LÄN</t>
        </is>
      </c>
      <c r="E368" t="inlineStr">
        <is>
          <t>LEKSAND</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51498-2022</t>
        </is>
      </c>
      <c r="B369" s="1" t="n">
        <v>44869</v>
      </c>
      <c r="C369" s="1" t="n">
        <v>45347</v>
      </c>
      <c r="D369" t="inlineStr">
        <is>
          <t>DALARNAS LÄN</t>
        </is>
      </c>
      <c r="E369" t="inlineStr">
        <is>
          <t>LEKSAND</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51842-2022</t>
        </is>
      </c>
      <c r="B370" s="1" t="n">
        <v>44872</v>
      </c>
      <c r="C370" s="1" t="n">
        <v>45347</v>
      </c>
      <c r="D370" t="inlineStr">
        <is>
          <t>DALARNAS LÄN</t>
        </is>
      </c>
      <c r="E370" t="inlineStr">
        <is>
          <t>LEKSAND</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52977-2022</t>
        </is>
      </c>
      <c r="B371" s="1" t="n">
        <v>44875</v>
      </c>
      <c r="C371" s="1" t="n">
        <v>45347</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53293-2022</t>
        </is>
      </c>
      <c r="B372" s="1" t="n">
        <v>44877</v>
      </c>
      <c r="C372" s="1" t="n">
        <v>45347</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53787-2022</t>
        </is>
      </c>
      <c r="B373" s="1" t="n">
        <v>44880</v>
      </c>
      <c r="C373" s="1" t="n">
        <v>45347</v>
      </c>
      <c r="D373" t="inlineStr">
        <is>
          <t>DALARNAS LÄN</t>
        </is>
      </c>
      <c r="E373" t="inlineStr">
        <is>
          <t>LEKSAND</t>
        </is>
      </c>
      <c r="G373" t="n">
        <v>7.6</v>
      </c>
      <c r="H373" t="n">
        <v>0</v>
      </c>
      <c r="I373" t="n">
        <v>0</v>
      </c>
      <c r="J373" t="n">
        <v>0</v>
      </c>
      <c r="K373" t="n">
        <v>0</v>
      </c>
      <c r="L373" t="n">
        <v>0</v>
      </c>
      <c r="M373" t="n">
        <v>0</v>
      </c>
      <c r="N373" t="n">
        <v>0</v>
      </c>
      <c r="O373" t="n">
        <v>0</v>
      </c>
      <c r="P373" t="n">
        <v>0</v>
      </c>
      <c r="Q373" t="n">
        <v>0</v>
      </c>
      <c r="R373" s="2" t="inlineStr"/>
    </row>
    <row r="374" ht="15" customHeight="1">
      <c r="A374" t="inlineStr">
        <is>
          <t>A 54070-2022</t>
        </is>
      </c>
      <c r="B374" s="1" t="n">
        <v>44881</v>
      </c>
      <c r="C374" s="1" t="n">
        <v>45347</v>
      </c>
      <c r="D374" t="inlineStr">
        <is>
          <t>DALARNAS LÄN</t>
        </is>
      </c>
      <c r="E374" t="inlineStr">
        <is>
          <t>LEKSAND</t>
        </is>
      </c>
      <c r="G374" t="n">
        <v>4.7</v>
      </c>
      <c r="H374" t="n">
        <v>0</v>
      </c>
      <c r="I374" t="n">
        <v>0</v>
      </c>
      <c r="J374" t="n">
        <v>0</v>
      </c>
      <c r="K374" t="n">
        <v>0</v>
      </c>
      <c r="L374" t="n">
        <v>0</v>
      </c>
      <c r="M374" t="n">
        <v>0</v>
      </c>
      <c r="N374" t="n">
        <v>0</v>
      </c>
      <c r="O374" t="n">
        <v>0</v>
      </c>
      <c r="P374" t="n">
        <v>0</v>
      </c>
      <c r="Q374" t="n">
        <v>0</v>
      </c>
      <c r="R374" s="2" t="inlineStr"/>
    </row>
    <row r="375" ht="15" customHeight="1">
      <c r="A375" t="inlineStr">
        <is>
          <t>A 56330-2022</t>
        </is>
      </c>
      <c r="B375" s="1" t="n">
        <v>44890</v>
      </c>
      <c r="C375" s="1" t="n">
        <v>45347</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56702-2022</t>
        </is>
      </c>
      <c r="B376" s="1" t="n">
        <v>44893</v>
      </c>
      <c r="C376" s="1" t="n">
        <v>45347</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57415-2022</t>
        </is>
      </c>
      <c r="B377" s="1" t="n">
        <v>44896</v>
      </c>
      <c r="C377" s="1" t="n">
        <v>45347</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57438-2022</t>
        </is>
      </c>
      <c r="B378" s="1" t="n">
        <v>44896</v>
      </c>
      <c r="C378" s="1" t="n">
        <v>45347</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58619-2022</t>
        </is>
      </c>
      <c r="B379" s="1" t="n">
        <v>44902</v>
      </c>
      <c r="C379" s="1" t="n">
        <v>45347</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60300-2022</t>
        </is>
      </c>
      <c r="B380" s="1" t="n">
        <v>44903</v>
      </c>
      <c r="C380" s="1" t="n">
        <v>45347</v>
      </c>
      <c r="D380" t="inlineStr">
        <is>
          <t>DALARNAS LÄN</t>
        </is>
      </c>
      <c r="E380" t="inlineStr">
        <is>
          <t>LEKSAND</t>
        </is>
      </c>
      <c r="G380" t="n">
        <v>2.7</v>
      </c>
      <c r="H380" t="n">
        <v>0</v>
      </c>
      <c r="I380" t="n">
        <v>0</v>
      </c>
      <c r="J380" t="n">
        <v>0</v>
      </c>
      <c r="K380" t="n">
        <v>0</v>
      </c>
      <c r="L380" t="n">
        <v>0</v>
      </c>
      <c r="M380" t="n">
        <v>0</v>
      </c>
      <c r="N380" t="n">
        <v>0</v>
      </c>
      <c r="O380" t="n">
        <v>0</v>
      </c>
      <c r="P380" t="n">
        <v>0</v>
      </c>
      <c r="Q380" t="n">
        <v>0</v>
      </c>
      <c r="R380" s="2" t="inlineStr"/>
    </row>
    <row r="381" ht="15" customHeight="1">
      <c r="A381" t="inlineStr">
        <is>
          <t>A 60095-2022</t>
        </is>
      </c>
      <c r="B381" s="1" t="n">
        <v>44909</v>
      </c>
      <c r="C381" s="1" t="n">
        <v>45347</v>
      </c>
      <c r="D381" t="inlineStr">
        <is>
          <t>DALARNAS LÄN</t>
        </is>
      </c>
      <c r="E381" t="inlineStr">
        <is>
          <t>LEKSAND</t>
        </is>
      </c>
      <c r="G381" t="n">
        <v>2.4</v>
      </c>
      <c r="H381" t="n">
        <v>0</v>
      </c>
      <c r="I381" t="n">
        <v>0</v>
      </c>
      <c r="J381" t="n">
        <v>0</v>
      </c>
      <c r="K381" t="n">
        <v>0</v>
      </c>
      <c r="L381" t="n">
        <v>0</v>
      </c>
      <c r="M381" t="n">
        <v>0</v>
      </c>
      <c r="N381" t="n">
        <v>0</v>
      </c>
      <c r="O381" t="n">
        <v>0</v>
      </c>
      <c r="P381" t="n">
        <v>0</v>
      </c>
      <c r="Q381" t="n">
        <v>0</v>
      </c>
      <c r="R381" s="2" t="inlineStr"/>
    </row>
    <row r="382" ht="15" customHeight="1">
      <c r="A382" t="inlineStr">
        <is>
          <t>A 60113-2022</t>
        </is>
      </c>
      <c r="B382" s="1" t="n">
        <v>44909</v>
      </c>
      <c r="C382" s="1" t="n">
        <v>45347</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61269-2022</t>
        </is>
      </c>
      <c r="B383" s="1" t="n">
        <v>44909</v>
      </c>
      <c r="C383" s="1" t="n">
        <v>45347</v>
      </c>
      <c r="D383" t="inlineStr">
        <is>
          <t>DALARNAS LÄN</t>
        </is>
      </c>
      <c r="E383" t="inlineStr">
        <is>
          <t>LEKSAND</t>
        </is>
      </c>
      <c r="G383" t="n">
        <v>4.2</v>
      </c>
      <c r="H383" t="n">
        <v>0</v>
      </c>
      <c r="I383" t="n">
        <v>0</v>
      </c>
      <c r="J383" t="n">
        <v>0</v>
      </c>
      <c r="K383" t="n">
        <v>0</v>
      </c>
      <c r="L383" t="n">
        <v>0</v>
      </c>
      <c r="M383" t="n">
        <v>0</v>
      </c>
      <c r="N383" t="n">
        <v>0</v>
      </c>
      <c r="O383" t="n">
        <v>0</v>
      </c>
      <c r="P383" t="n">
        <v>0</v>
      </c>
      <c r="Q383" t="n">
        <v>0</v>
      </c>
      <c r="R383" s="2" t="inlineStr"/>
    </row>
    <row r="384" ht="15" customHeight="1">
      <c r="A384" t="inlineStr">
        <is>
          <t>A 60550-2022</t>
        </is>
      </c>
      <c r="B384" s="1" t="n">
        <v>44911</v>
      </c>
      <c r="C384" s="1" t="n">
        <v>45347</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60715-2022</t>
        </is>
      </c>
      <c r="B385" s="1" t="n">
        <v>44912</v>
      </c>
      <c r="C385" s="1" t="n">
        <v>45347</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60913-2022</t>
        </is>
      </c>
      <c r="B386" s="1" t="n">
        <v>44914</v>
      </c>
      <c r="C386" s="1" t="n">
        <v>45347</v>
      </c>
      <c r="D386" t="inlineStr">
        <is>
          <t>DALARNAS LÄN</t>
        </is>
      </c>
      <c r="E386" t="inlineStr">
        <is>
          <t>LEKSAND</t>
        </is>
      </c>
      <c r="G386" t="n">
        <v>4.2</v>
      </c>
      <c r="H386" t="n">
        <v>0</v>
      </c>
      <c r="I386" t="n">
        <v>0</v>
      </c>
      <c r="J386" t="n">
        <v>0</v>
      </c>
      <c r="K386" t="n">
        <v>0</v>
      </c>
      <c r="L386" t="n">
        <v>0</v>
      </c>
      <c r="M386" t="n">
        <v>0</v>
      </c>
      <c r="N386" t="n">
        <v>0</v>
      </c>
      <c r="O386" t="n">
        <v>0</v>
      </c>
      <c r="P386" t="n">
        <v>0</v>
      </c>
      <c r="Q386" t="n">
        <v>0</v>
      </c>
      <c r="R386" s="2" t="inlineStr"/>
    </row>
    <row r="387" ht="15" customHeight="1">
      <c r="A387" t="inlineStr">
        <is>
          <t>A 61288-2022</t>
        </is>
      </c>
      <c r="B387" s="1" t="n">
        <v>44915</v>
      </c>
      <c r="C387" s="1" t="n">
        <v>45347</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61786-2022</t>
        </is>
      </c>
      <c r="B388" s="1" t="n">
        <v>44917</v>
      </c>
      <c r="C388" s="1" t="n">
        <v>45347</v>
      </c>
      <c r="D388" t="inlineStr">
        <is>
          <t>DALARNAS LÄN</t>
        </is>
      </c>
      <c r="E388" t="inlineStr">
        <is>
          <t>LEKSAND</t>
        </is>
      </c>
      <c r="G388" t="n">
        <v>4.3</v>
      </c>
      <c r="H388" t="n">
        <v>0</v>
      </c>
      <c r="I388" t="n">
        <v>0</v>
      </c>
      <c r="J388" t="n">
        <v>0</v>
      </c>
      <c r="K388" t="n">
        <v>0</v>
      </c>
      <c r="L388" t="n">
        <v>0</v>
      </c>
      <c r="M388" t="n">
        <v>0</v>
      </c>
      <c r="N388" t="n">
        <v>0</v>
      </c>
      <c r="O388" t="n">
        <v>0</v>
      </c>
      <c r="P388" t="n">
        <v>0</v>
      </c>
      <c r="Q388" t="n">
        <v>0</v>
      </c>
      <c r="R388" s="2" t="inlineStr"/>
    </row>
    <row r="389" ht="15" customHeight="1">
      <c r="A389" t="inlineStr">
        <is>
          <t>A 61787-2022</t>
        </is>
      </c>
      <c r="B389" s="1" t="n">
        <v>44917</v>
      </c>
      <c r="C389" s="1" t="n">
        <v>45347</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164-2023</t>
        </is>
      </c>
      <c r="B390" s="1" t="n">
        <v>44918</v>
      </c>
      <c r="C390" s="1" t="n">
        <v>45347</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151-2023</t>
        </is>
      </c>
      <c r="B391" s="1" t="n">
        <v>44918</v>
      </c>
      <c r="C391" s="1" t="n">
        <v>45347</v>
      </c>
      <c r="D391" t="inlineStr">
        <is>
          <t>DALARNAS LÄN</t>
        </is>
      </c>
      <c r="E391" t="inlineStr">
        <is>
          <t>LEKSAND</t>
        </is>
      </c>
      <c r="F391" t="inlineStr">
        <is>
          <t>Kommuner</t>
        </is>
      </c>
      <c r="G391" t="n">
        <v>0.6</v>
      </c>
      <c r="H391" t="n">
        <v>0</v>
      </c>
      <c r="I391" t="n">
        <v>0</v>
      </c>
      <c r="J391" t="n">
        <v>0</v>
      </c>
      <c r="K391" t="n">
        <v>0</v>
      </c>
      <c r="L391" t="n">
        <v>0</v>
      </c>
      <c r="M391" t="n">
        <v>0</v>
      </c>
      <c r="N391" t="n">
        <v>0</v>
      </c>
      <c r="O391" t="n">
        <v>0</v>
      </c>
      <c r="P391" t="n">
        <v>0</v>
      </c>
      <c r="Q391" t="n">
        <v>0</v>
      </c>
      <c r="R391" s="2" t="inlineStr"/>
    </row>
    <row r="392" ht="15" customHeight="1">
      <c r="A392" t="inlineStr">
        <is>
          <t>A 167-2023</t>
        </is>
      </c>
      <c r="B392" s="1" t="n">
        <v>44918</v>
      </c>
      <c r="C392" s="1" t="n">
        <v>45347</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325-2023</t>
        </is>
      </c>
      <c r="B393" s="1" t="n">
        <v>44929</v>
      </c>
      <c r="C393" s="1" t="n">
        <v>45347</v>
      </c>
      <c r="D393" t="inlineStr">
        <is>
          <t>DALARNAS LÄN</t>
        </is>
      </c>
      <c r="E393" t="inlineStr">
        <is>
          <t>LEKSAND</t>
        </is>
      </c>
      <c r="F393" t="inlineStr">
        <is>
          <t>Övriga Aktiebolag</t>
        </is>
      </c>
      <c r="G393" t="n">
        <v>7.1</v>
      </c>
      <c r="H393" t="n">
        <v>0</v>
      </c>
      <c r="I393" t="n">
        <v>0</v>
      </c>
      <c r="J393" t="n">
        <v>0</v>
      </c>
      <c r="K393" t="n">
        <v>0</v>
      </c>
      <c r="L393" t="n">
        <v>0</v>
      </c>
      <c r="M393" t="n">
        <v>0</v>
      </c>
      <c r="N393" t="n">
        <v>0</v>
      </c>
      <c r="O393" t="n">
        <v>0</v>
      </c>
      <c r="P393" t="n">
        <v>0</v>
      </c>
      <c r="Q393" t="n">
        <v>0</v>
      </c>
      <c r="R393" s="2" t="inlineStr"/>
    </row>
    <row r="394" ht="15" customHeight="1">
      <c r="A394" t="inlineStr">
        <is>
          <t>A 315-2023</t>
        </is>
      </c>
      <c r="B394" s="1" t="n">
        <v>44929</v>
      </c>
      <c r="C394" s="1" t="n">
        <v>45347</v>
      </c>
      <c r="D394" t="inlineStr">
        <is>
          <t>DALARNAS LÄN</t>
        </is>
      </c>
      <c r="E394" t="inlineStr">
        <is>
          <t>LEKSAND</t>
        </is>
      </c>
      <c r="F394" t="inlineStr">
        <is>
          <t>Övriga Aktiebolag</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320-2023</t>
        </is>
      </c>
      <c r="B395" s="1" t="n">
        <v>44929</v>
      </c>
      <c r="C395" s="1" t="n">
        <v>45347</v>
      </c>
      <c r="D395" t="inlineStr">
        <is>
          <t>DALARNAS LÄN</t>
        </is>
      </c>
      <c r="E395" t="inlineStr">
        <is>
          <t>LEKSAND</t>
        </is>
      </c>
      <c r="F395" t="inlineStr">
        <is>
          <t>Övriga Aktiebolag</t>
        </is>
      </c>
      <c r="G395" t="n">
        <v>5.4</v>
      </c>
      <c r="H395" t="n">
        <v>0</v>
      </c>
      <c r="I395" t="n">
        <v>0</v>
      </c>
      <c r="J395" t="n">
        <v>0</v>
      </c>
      <c r="K395" t="n">
        <v>0</v>
      </c>
      <c r="L395" t="n">
        <v>0</v>
      </c>
      <c r="M395" t="n">
        <v>0</v>
      </c>
      <c r="N395" t="n">
        <v>0</v>
      </c>
      <c r="O395" t="n">
        <v>0</v>
      </c>
      <c r="P395" t="n">
        <v>0</v>
      </c>
      <c r="Q395" t="n">
        <v>0</v>
      </c>
      <c r="R395" s="2" t="inlineStr"/>
    </row>
    <row r="396" ht="15" customHeight="1">
      <c r="A396" t="inlineStr">
        <is>
          <t>A 391-2023</t>
        </is>
      </c>
      <c r="B396" s="1" t="n">
        <v>44929</v>
      </c>
      <c r="C396" s="1" t="n">
        <v>45347</v>
      </c>
      <c r="D396" t="inlineStr">
        <is>
          <t>DALARNAS LÄN</t>
        </is>
      </c>
      <c r="E396" t="inlineStr">
        <is>
          <t>LEKSAND</t>
        </is>
      </c>
      <c r="F396" t="inlineStr">
        <is>
          <t>Övriga Aktiebolag</t>
        </is>
      </c>
      <c r="G396" t="n">
        <v>10</v>
      </c>
      <c r="H396" t="n">
        <v>0</v>
      </c>
      <c r="I396" t="n">
        <v>0</v>
      </c>
      <c r="J396" t="n">
        <v>0</v>
      </c>
      <c r="K396" t="n">
        <v>0</v>
      </c>
      <c r="L396" t="n">
        <v>0</v>
      </c>
      <c r="M396" t="n">
        <v>0</v>
      </c>
      <c r="N396" t="n">
        <v>0</v>
      </c>
      <c r="O396" t="n">
        <v>0</v>
      </c>
      <c r="P396" t="n">
        <v>0</v>
      </c>
      <c r="Q396" t="n">
        <v>0</v>
      </c>
      <c r="R396" s="2" t="inlineStr"/>
    </row>
    <row r="397" ht="15" customHeight="1">
      <c r="A397" t="inlineStr">
        <is>
          <t>A 784-2023</t>
        </is>
      </c>
      <c r="B397" s="1" t="n">
        <v>44931</v>
      </c>
      <c r="C397" s="1" t="n">
        <v>45347</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1510-2023</t>
        </is>
      </c>
      <c r="B398" s="1" t="n">
        <v>44937</v>
      </c>
      <c r="C398" s="1" t="n">
        <v>45347</v>
      </c>
      <c r="D398" t="inlineStr">
        <is>
          <t>DALARNAS LÄN</t>
        </is>
      </c>
      <c r="E398" t="inlineStr">
        <is>
          <t>LEKSAND</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3262-2023</t>
        </is>
      </c>
      <c r="B399" s="1" t="n">
        <v>44948</v>
      </c>
      <c r="C399" s="1" t="n">
        <v>45347</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3445-2023</t>
        </is>
      </c>
      <c r="B400" s="1" t="n">
        <v>44949</v>
      </c>
      <c r="C400" s="1" t="n">
        <v>45347</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3737-2023</t>
        </is>
      </c>
      <c r="B401" s="1" t="n">
        <v>44951</v>
      </c>
      <c r="C401" s="1" t="n">
        <v>45347</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4182-2023</t>
        </is>
      </c>
      <c r="B402" s="1" t="n">
        <v>44951</v>
      </c>
      <c r="C402" s="1" t="n">
        <v>45347</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4217-2023</t>
        </is>
      </c>
      <c r="B403" s="1" t="n">
        <v>44953</v>
      </c>
      <c r="C403" s="1" t="n">
        <v>45347</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6057-2023</t>
        </is>
      </c>
      <c r="B404" s="1" t="n">
        <v>44959</v>
      </c>
      <c r="C404" s="1" t="n">
        <v>45347</v>
      </c>
      <c r="D404" t="inlineStr">
        <is>
          <t>DALARNAS LÄN</t>
        </is>
      </c>
      <c r="E404" t="inlineStr">
        <is>
          <t>LEKSAND</t>
        </is>
      </c>
      <c r="G404" t="n">
        <v>1.4</v>
      </c>
      <c r="H404" t="n">
        <v>0</v>
      </c>
      <c r="I404" t="n">
        <v>0</v>
      </c>
      <c r="J404" t="n">
        <v>0</v>
      </c>
      <c r="K404" t="n">
        <v>0</v>
      </c>
      <c r="L404" t="n">
        <v>0</v>
      </c>
      <c r="M404" t="n">
        <v>0</v>
      </c>
      <c r="N404" t="n">
        <v>0</v>
      </c>
      <c r="O404" t="n">
        <v>0</v>
      </c>
      <c r="P404" t="n">
        <v>0</v>
      </c>
      <c r="Q404" t="n">
        <v>0</v>
      </c>
      <c r="R404" s="2" t="inlineStr"/>
    </row>
    <row r="405" ht="15" customHeight="1">
      <c r="A405" t="inlineStr">
        <is>
          <t>A 6039-2023</t>
        </is>
      </c>
      <c r="B405" s="1" t="n">
        <v>44959</v>
      </c>
      <c r="C405" s="1" t="n">
        <v>45347</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6079-2023</t>
        </is>
      </c>
      <c r="B406" s="1" t="n">
        <v>44959</v>
      </c>
      <c r="C406" s="1" t="n">
        <v>45347</v>
      </c>
      <c r="D406" t="inlineStr">
        <is>
          <t>DALARNAS LÄN</t>
        </is>
      </c>
      <c r="E406" t="inlineStr">
        <is>
          <t>LEKSAND</t>
        </is>
      </c>
      <c r="G406" t="n">
        <v>4.1</v>
      </c>
      <c r="H406" t="n">
        <v>0</v>
      </c>
      <c r="I406" t="n">
        <v>0</v>
      </c>
      <c r="J406" t="n">
        <v>0</v>
      </c>
      <c r="K406" t="n">
        <v>0</v>
      </c>
      <c r="L406" t="n">
        <v>0</v>
      </c>
      <c r="M406" t="n">
        <v>0</v>
      </c>
      <c r="N406" t="n">
        <v>0</v>
      </c>
      <c r="O406" t="n">
        <v>0</v>
      </c>
      <c r="P406" t="n">
        <v>0</v>
      </c>
      <c r="Q406" t="n">
        <v>0</v>
      </c>
      <c r="R406" s="2" t="inlineStr"/>
    </row>
    <row r="407" ht="15" customHeight="1">
      <c r="A407" t="inlineStr">
        <is>
          <t>A 6050-2023</t>
        </is>
      </c>
      <c r="B407" s="1" t="n">
        <v>44959</v>
      </c>
      <c r="C407" s="1" t="n">
        <v>45347</v>
      </c>
      <c r="D407" t="inlineStr">
        <is>
          <t>DALARNAS LÄN</t>
        </is>
      </c>
      <c r="E407" t="inlineStr">
        <is>
          <t>LEKSAND</t>
        </is>
      </c>
      <c r="G407" t="n">
        <v>6.2</v>
      </c>
      <c r="H407" t="n">
        <v>0</v>
      </c>
      <c r="I407" t="n">
        <v>0</v>
      </c>
      <c r="J407" t="n">
        <v>0</v>
      </c>
      <c r="K407" t="n">
        <v>0</v>
      </c>
      <c r="L407" t="n">
        <v>0</v>
      </c>
      <c r="M407" t="n">
        <v>0</v>
      </c>
      <c r="N407" t="n">
        <v>0</v>
      </c>
      <c r="O407" t="n">
        <v>0</v>
      </c>
      <c r="P407" t="n">
        <v>0</v>
      </c>
      <c r="Q407" t="n">
        <v>0</v>
      </c>
      <c r="R407" s="2" t="inlineStr"/>
    </row>
    <row r="408" ht="15" customHeight="1">
      <c r="A408" t="inlineStr">
        <is>
          <t>A 5738-2023</t>
        </is>
      </c>
      <c r="B408" s="1" t="n">
        <v>44962</v>
      </c>
      <c r="C408" s="1" t="n">
        <v>45347</v>
      </c>
      <c r="D408" t="inlineStr">
        <is>
          <t>DALARNAS LÄN</t>
        </is>
      </c>
      <c r="E408" t="inlineStr">
        <is>
          <t>LEKSAND</t>
        </is>
      </c>
      <c r="G408" t="n">
        <v>0.2</v>
      </c>
      <c r="H408" t="n">
        <v>0</v>
      </c>
      <c r="I408" t="n">
        <v>0</v>
      </c>
      <c r="J408" t="n">
        <v>0</v>
      </c>
      <c r="K408" t="n">
        <v>0</v>
      </c>
      <c r="L408" t="n">
        <v>0</v>
      </c>
      <c r="M408" t="n">
        <v>0</v>
      </c>
      <c r="N408" t="n">
        <v>0</v>
      </c>
      <c r="O408" t="n">
        <v>0</v>
      </c>
      <c r="P408" t="n">
        <v>0</v>
      </c>
      <c r="Q408" t="n">
        <v>0</v>
      </c>
      <c r="R408" s="2" t="inlineStr"/>
    </row>
    <row r="409" ht="15" customHeight="1">
      <c r="A409" t="inlineStr">
        <is>
          <t>A 6074-2023</t>
        </is>
      </c>
      <c r="B409" s="1" t="n">
        <v>44964</v>
      </c>
      <c r="C409" s="1" t="n">
        <v>45347</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7441-2023</t>
        </is>
      </c>
      <c r="B410" s="1" t="n">
        <v>44966</v>
      </c>
      <c r="C410" s="1" t="n">
        <v>45347</v>
      </c>
      <c r="D410" t="inlineStr">
        <is>
          <t>DALARNAS LÄN</t>
        </is>
      </c>
      <c r="E410" t="inlineStr">
        <is>
          <t>LEKSAND</t>
        </is>
      </c>
      <c r="G410" t="n">
        <v>18</v>
      </c>
      <c r="H410" t="n">
        <v>0</v>
      </c>
      <c r="I410" t="n">
        <v>0</v>
      </c>
      <c r="J410" t="n">
        <v>0</v>
      </c>
      <c r="K410" t="n">
        <v>0</v>
      </c>
      <c r="L410" t="n">
        <v>0</v>
      </c>
      <c r="M410" t="n">
        <v>0</v>
      </c>
      <c r="N410" t="n">
        <v>0</v>
      </c>
      <c r="O410" t="n">
        <v>0</v>
      </c>
      <c r="P410" t="n">
        <v>0</v>
      </c>
      <c r="Q410" t="n">
        <v>0</v>
      </c>
      <c r="R410" s="2" t="inlineStr"/>
    </row>
    <row r="411" ht="15" customHeight="1">
      <c r="A411" t="inlineStr">
        <is>
          <t>A 7467-2023</t>
        </is>
      </c>
      <c r="B411" s="1" t="n">
        <v>44966</v>
      </c>
      <c r="C411" s="1" t="n">
        <v>45347</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6846-2023</t>
        </is>
      </c>
      <c r="B412" s="1" t="n">
        <v>44967</v>
      </c>
      <c r="C412" s="1" t="n">
        <v>45347</v>
      </c>
      <c r="D412" t="inlineStr">
        <is>
          <t>DALARNAS LÄN</t>
        </is>
      </c>
      <c r="E412" t="inlineStr">
        <is>
          <t>LEKSAND</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8170-2023</t>
        </is>
      </c>
      <c r="B413" s="1" t="n">
        <v>44971</v>
      </c>
      <c r="C413" s="1" t="n">
        <v>45347</v>
      </c>
      <c r="D413" t="inlineStr">
        <is>
          <t>DALARNAS LÄN</t>
        </is>
      </c>
      <c r="E413" t="inlineStr">
        <is>
          <t>LEKSAND</t>
        </is>
      </c>
      <c r="G413" t="n">
        <v>2.6</v>
      </c>
      <c r="H413" t="n">
        <v>0</v>
      </c>
      <c r="I413" t="n">
        <v>0</v>
      </c>
      <c r="J413" t="n">
        <v>0</v>
      </c>
      <c r="K413" t="n">
        <v>0</v>
      </c>
      <c r="L413" t="n">
        <v>0</v>
      </c>
      <c r="M413" t="n">
        <v>0</v>
      </c>
      <c r="N413" t="n">
        <v>0</v>
      </c>
      <c r="O413" t="n">
        <v>0</v>
      </c>
      <c r="P413" t="n">
        <v>0</v>
      </c>
      <c r="Q413" t="n">
        <v>0</v>
      </c>
      <c r="R413" s="2" t="inlineStr"/>
    </row>
    <row r="414" ht="15" customHeight="1">
      <c r="A414" t="inlineStr">
        <is>
          <t>A 7450-2023</t>
        </is>
      </c>
      <c r="B414" s="1" t="n">
        <v>44971</v>
      </c>
      <c r="C414" s="1" t="n">
        <v>45347</v>
      </c>
      <c r="D414" t="inlineStr">
        <is>
          <t>DALARNAS LÄN</t>
        </is>
      </c>
      <c r="E414" t="inlineStr">
        <is>
          <t>LEKSAND</t>
        </is>
      </c>
      <c r="G414" t="n">
        <v>3</v>
      </c>
      <c r="H414" t="n">
        <v>0</v>
      </c>
      <c r="I414" t="n">
        <v>0</v>
      </c>
      <c r="J414" t="n">
        <v>0</v>
      </c>
      <c r="K414" t="n">
        <v>0</v>
      </c>
      <c r="L414" t="n">
        <v>0</v>
      </c>
      <c r="M414" t="n">
        <v>0</v>
      </c>
      <c r="N414" t="n">
        <v>0</v>
      </c>
      <c r="O414" t="n">
        <v>0</v>
      </c>
      <c r="P414" t="n">
        <v>0</v>
      </c>
      <c r="Q414" t="n">
        <v>0</v>
      </c>
      <c r="R414" s="2" t="inlineStr"/>
    </row>
    <row r="415" ht="15" customHeight="1">
      <c r="A415" t="inlineStr">
        <is>
          <t>A 7928-2023</t>
        </is>
      </c>
      <c r="B415" s="1" t="n">
        <v>44973</v>
      </c>
      <c r="C415" s="1" t="n">
        <v>45347</v>
      </c>
      <c r="D415" t="inlineStr">
        <is>
          <t>DALARNAS LÄN</t>
        </is>
      </c>
      <c r="E415" t="inlineStr">
        <is>
          <t>LEKSAND</t>
        </is>
      </c>
      <c r="G415" t="n">
        <v>1.9</v>
      </c>
      <c r="H415" t="n">
        <v>0</v>
      </c>
      <c r="I415" t="n">
        <v>0</v>
      </c>
      <c r="J415" t="n">
        <v>0</v>
      </c>
      <c r="K415" t="n">
        <v>0</v>
      </c>
      <c r="L415" t="n">
        <v>0</v>
      </c>
      <c r="M415" t="n">
        <v>0</v>
      </c>
      <c r="N415" t="n">
        <v>0</v>
      </c>
      <c r="O415" t="n">
        <v>0</v>
      </c>
      <c r="P415" t="n">
        <v>0</v>
      </c>
      <c r="Q415" t="n">
        <v>0</v>
      </c>
      <c r="R415" s="2" t="inlineStr"/>
    </row>
    <row r="416" ht="15" customHeight="1">
      <c r="A416" t="inlineStr">
        <is>
          <t>A 8211-2023</t>
        </is>
      </c>
      <c r="B416" s="1" t="n">
        <v>44974</v>
      </c>
      <c r="C416" s="1" t="n">
        <v>45347</v>
      </c>
      <c r="D416" t="inlineStr">
        <is>
          <t>DALARNAS LÄN</t>
        </is>
      </c>
      <c r="E416" t="inlineStr">
        <is>
          <t>LEKSAND</t>
        </is>
      </c>
      <c r="G416" t="n">
        <v>5.2</v>
      </c>
      <c r="H416" t="n">
        <v>0</v>
      </c>
      <c r="I416" t="n">
        <v>0</v>
      </c>
      <c r="J416" t="n">
        <v>0</v>
      </c>
      <c r="K416" t="n">
        <v>0</v>
      </c>
      <c r="L416" t="n">
        <v>0</v>
      </c>
      <c r="M416" t="n">
        <v>0</v>
      </c>
      <c r="N416" t="n">
        <v>0</v>
      </c>
      <c r="O416" t="n">
        <v>0</v>
      </c>
      <c r="P416" t="n">
        <v>0</v>
      </c>
      <c r="Q416" t="n">
        <v>0</v>
      </c>
      <c r="R416" s="2" t="inlineStr"/>
    </row>
    <row r="417" ht="15" customHeight="1">
      <c r="A417" t="inlineStr">
        <is>
          <t>A 8936-2023</t>
        </is>
      </c>
      <c r="B417" s="1" t="n">
        <v>44974</v>
      </c>
      <c r="C417" s="1" t="n">
        <v>45347</v>
      </c>
      <c r="D417" t="inlineStr">
        <is>
          <t>DALARNAS LÄN</t>
        </is>
      </c>
      <c r="E417" t="inlineStr">
        <is>
          <t>LEKSAND</t>
        </is>
      </c>
      <c r="G417" t="n">
        <v>7</v>
      </c>
      <c r="H417" t="n">
        <v>0</v>
      </c>
      <c r="I417" t="n">
        <v>0</v>
      </c>
      <c r="J417" t="n">
        <v>0</v>
      </c>
      <c r="K417" t="n">
        <v>0</v>
      </c>
      <c r="L417" t="n">
        <v>0</v>
      </c>
      <c r="M417" t="n">
        <v>0</v>
      </c>
      <c r="N417" t="n">
        <v>0</v>
      </c>
      <c r="O417" t="n">
        <v>0</v>
      </c>
      <c r="P417" t="n">
        <v>0</v>
      </c>
      <c r="Q417" t="n">
        <v>0</v>
      </c>
      <c r="R417" s="2" t="inlineStr"/>
    </row>
    <row r="418" ht="15" customHeight="1">
      <c r="A418" t="inlineStr">
        <is>
          <t>A 9143-2023</t>
        </is>
      </c>
      <c r="B418" s="1" t="n">
        <v>44974</v>
      </c>
      <c r="C418" s="1" t="n">
        <v>45347</v>
      </c>
      <c r="D418" t="inlineStr">
        <is>
          <t>DALARNAS LÄN</t>
        </is>
      </c>
      <c r="E418" t="inlineStr">
        <is>
          <t>LEKSAND</t>
        </is>
      </c>
      <c r="G418" t="n">
        <v>4.3</v>
      </c>
      <c r="H418" t="n">
        <v>0</v>
      </c>
      <c r="I418" t="n">
        <v>0</v>
      </c>
      <c r="J418" t="n">
        <v>0</v>
      </c>
      <c r="K418" t="n">
        <v>0</v>
      </c>
      <c r="L418" t="n">
        <v>0</v>
      </c>
      <c r="M418" t="n">
        <v>0</v>
      </c>
      <c r="N418" t="n">
        <v>0</v>
      </c>
      <c r="O418" t="n">
        <v>0</v>
      </c>
      <c r="P418" t="n">
        <v>0</v>
      </c>
      <c r="Q418" t="n">
        <v>0</v>
      </c>
      <c r="R418" s="2" t="inlineStr"/>
    </row>
    <row r="419" ht="15" customHeight="1">
      <c r="A419" t="inlineStr">
        <is>
          <t>A 8940-2023</t>
        </is>
      </c>
      <c r="B419" s="1" t="n">
        <v>44974</v>
      </c>
      <c r="C419" s="1" t="n">
        <v>45347</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9138-2023</t>
        </is>
      </c>
      <c r="B420" s="1" t="n">
        <v>44974</v>
      </c>
      <c r="C420" s="1" t="n">
        <v>45347</v>
      </c>
      <c r="D420" t="inlineStr">
        <is>
          <t>DALARNAS LÄN</t>
        </is>
      </c>
      <c r="E420" t="inlineStr">
        <is>
          <t>LEKSAND</t>
        </is>
      </c>
      <c r="G420" t="n">
        <v>4.6</v>
      </c>
      <c r="H420" t="n">
        <v>0</v>
      </c>
      <c r="I420" t="n">
        <v>0</v>
      </c>
      <c r="J420" t="n">
        <v>0</v>
      </c>
      <c r="K420" t="n">
        <v>0</v>
      </c>
      <c r="L420" t="n">
        <v>0</v>
      </c>
      <c r="M420" t="n">
        <v>0</v>
      </c>
      <c r="N420" t="n">
        <v>0</v>
      </c>
      <c r="O420" t="n">
        <v>0</v>
      </c>
      <c r="P420" t="n">
        <v>0</v>
      </c>
      <c r="Q420" t="n">
        <v>0</v>
      </c>
      <c r="R420" s="2" t="inlineStr"/>
    </row>
    <row r="421" ht="15" customHeight="1">
      <c r="A421" t="inlineStr">
        <is>
          <t>A 9141-2023</t>
        </is>
      </c>
      <c r="B421" s="1" t="n">
        <v>44974</v>
      </c>
      <c r="C421" s="1" t="n">
        <v>45347</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9459-2023</t>
        </is>
      </c>
      <c r="B422" s="1" t="n">
        <v>44977</v>
      </c>
      <c r="C422" s="1" t="n">
        <v>45347</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8773-2023</t>
        </is>
      </c>
      <c r="B423" s="1" t="n">
        <v>44978</v>
      </c>
      <c r="C423" s="1" t="n">
        <v>45347</v>
      </c>
      <c r="D423" t="inlineStr">
        <is>
          <t>DALARNAS LÄN</t>
        </is>
      </c>
      <c r="E423" t="inlineStr">
        <is>
          <t>LEKSAND</t>
        </is>
      </c>
      <c r="G423" t="n">
        <v>2.2</v>
      </c>
      <c r="H423" t="n">
        <v>0</v>
      </c>
      <c r="I423" t="n">
        <v>0</v>
      </c>
      <c r="J423" t="n">
        <v>0</v>
      </c>
      <c r="K423" t="n">
        <v>0</v>
      </c>
      <c r="L423" t="n">
        <v>0</v>
      </c>
      <c r="M423" t="n">
        <v>0</v>
      </c>
      <c r="N423" t="n">
        <v>0</v>
      </c>
      <c r="O423" t="n">
        <v>0</v>
      </c>
      <c r="P423" t="n">
        <v>0</v>
      </c>
      <c r="Q423" t="n">
        <v>0</v>
      </c>
      <c r="R423" s="2" t="inlineStr"/>
    </row>
    <row r="424" ht="15" customHeight="1">
      <c r="A424" t="inlineStr">
        <is>
          <t>A 8695-2023</t>
        </is>
      </c>
      <c r="B424" s="1" t="n">
        <v>44978</v>
      </c>
      <c r="C424" s="1" t="n">
        <v>45347</v>
      </c>
      <c r="D424" t="inlineStr">
        <is>
          <t>DALARNAS LÄN</t>
        </is>
      </c>
      <c r="E424" t="inlineStr">
        <is>
          <t>LEKSAND</t>
        </is>
      </c>
      <c r="G424" t="n">
        <v>0.9</v>
      </c>
      <c r="H424" t="n">
        <v>0</v>
      </c>
      <c r="I424" t="n">
        <v>0</v>
      </c>
      <c r="J424" t="n">
        <v>0</v>
      </c>
      <c r="K424" t="n">
        <v>0</v>
      </c>
      <c r="L424" t="n">
        <v>0</v>
      </c>
      <c r="M424" t="n">
        <v>0</v>
      </c>
      <c r="N424" t="n">
        <v>0</v>
      </c>
      <c r="O424" t="n">
        <v>0</v>
      </c>
      <c r="P424" t="n">
        <v>0</v>
      </c>
      <c r="Q424" t="n">
        <v>0</v>
      </c>
      <c r="R424" s="2" t="inlineStr"/>
    </row>
    <row r="425" ht="15" customHeight="1">
      <c r="A425" t="inlineStr">
        <is>
          <t>A 8743-2023</t>
        </is>
      </c>
      <c r="B425" s="1" t="n">
        <v>44978</v>
      </c>
      <c r="C425" s="1" t="n">
        <v>45347</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8755-2023</t>
        </is>
      </c>
      <c r="B426" s="1" t="n">
        <v>44978</v>
      </c>
      <c r="C426" s="1" t="n">
        <v>45347</v>
      </c>
      <c r="D426" t="inlineStr">
        <is>
          <t>DALARNAS LÄN</t>
        </is>
      </c>
      <c r="E426" t="inlineStr">
        <is>
          <t>LEKSAND</t>
        </is>
      </c>
      <c r="G426" t="n">
        <v>2.3</v>
      </c>
      <c r="H426" t="n">
        <v>0</v>
      </c>
      <c r="I426" t="n">
        <v>0</v>
      </c>
      <c r="J426" t="n">
        <v>0</v>
      </c>
      <c r="K426" t="n">
        <v>0</v>
      </c>
      <c r="L426" t="n">
        <v>0</v>
      </c>
      <c r="M426" t="n">
        <v>0</v>
      </c>
      <c r="N426" t="n">
        <v>0</v>
      </c>
      <c r="O426" t="n">
        <v>0</v>
      </c>
      <c r="P426" t="n">
        <v>0</v>
      </c>
      <c r="Q426" t="n">
        <v>0</v>
      </c>
      <c r="R426" s="2" t="inlineStr"/>
    </row>
    <row r="427" ht="15" customHeight="1">
      <c r="A427" t="inlineStr">
        <is>
          <t>A 9324-2023</t>
        </is>
      </c>
      <c r="B427" s="1" t="n">
        <v>44980</v>
      </c>
      <c r="C427" s="1" t="n">
        <v>45347</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9336-2023</t>
        </is>
      </c>
      <c r="B428" s="1" t="n">
        <v>44980</v>
      </c>
      <c r="C428" s="1" t="n">
        <v>45347</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9938-2023</t>
        </is>
      </c>
      <c r="B429" s="1" t="n">
        <v>44985</v>
      </c>
      <c r="C429" s="1" t="n">
        <v>45347</v>
      </c>
      <c r="D429" t="inlineStr">
        <is>
          <t>DALARNAS LÄN</t>
        </is>
      </c>
      <c r="E429" t="inlineStr">
        <is>
          <t>LEKSAND</t>
        </is>
      </c>
      <c r="G429" t="n">
        <v>3.1</v>
      </c>
      <c r="H429" t="n">
        <v>0</v>
      </c>
      <c r="I429" t="n">
        <v>0</v>
      </c>
      <c r="J429" t="n">
        <v>0</v>
      </c>
      <c r="K429" t="n">
        <v>0</v>
      </c>
      <c r="L429" t="n">
        <v>0</v>
      </c>
      <c r="M429" t="n">
        <v>0</v>
      </c>
      <c r="N429" t="n">
        <v>0</v>
      </c>
      <c r="O429" t="n">
        <v>0</v>
      </c>
      <c r="P429" t="n">
        <v>0</v>
      </c>
      <c r="Q429" t="n">
        <v>0</v>
      </c>
      <c r="R429" s="2" t="inlineStr"/>
    </row>
    <row r="430" ht="15" customHeight="1">
      <c r="A430" t="inlineStr">
        <is>
          <t>A 9947-2023</t>
        </is>
      </c>
      <c r="B430" s="1" t="n">
        <v>44985</v>
      </c>
      <c r="C430" s="1" t="n">
        <v>45347</v>
      </c>
      <c r="D430" t="inlineStr">
        <is>
          <t>DALARNAS LÄN</t>
        </is>
      </c>
      <c r="E430" t="inlineStr">
        <is>
          <t>LEKSAND</t>
        </is>
      </c>
      <c r="G430" t="n">
        <v>2.3</v>
      </c>
      <c r="H430" t="n">
        <v>0</v>
      </c>
      <c r="I430" t="n">
        <v>0</v>
      </c>
      <c r="J430" t="n">
        <v>0</v>
      </c>
      <c r="K430" t="n">
        <v>0</v>
      </c>
      <c r="L430" t="n">
        <v>0</v>
      </c>
      <c r="M430" t="n">
        <v>0</v>
      </c>
      <c r="N430" t="n">
        <v>0</v>
      </c>
      <c r="O430" t="n">
        <v>0</v>
      </c>
      <c r="P430" t="n">
        <v>0</v>
      </c>
      <c r="Q430" t="n">
        <v>0</v>
      </c>
      <c r="R430" s="2" t="inlineStr"/>
    </row>
    <row r="431" ht="15" customHeight="1">
      <c r="A431" t="inlineStr">
        <is>
          <t>A 11010-2023</t>
        </is>
      </c>
      <c r="B431" s="1" t="n">
        <v>44986</v>
      </c>
      <c r="C431" s="1" t="n">
        <v>45347</v>
      </c>
      <c r="D431" t="inlineStr">
        <is>
          <t>DALARNAS LÄN</t>
        </is>
      </c>
      <c r="E431" t="inlineStr">
        <is>
          <t>LEKSAND</t>
        </is>
      </c>
      <c r="G431" t="n">
        <v>3.7</v>
      </c>
      <c r="H431" t="n">
        <v>0</v>
      </c>
      <c r="I431" t="n">
        <v>0</v>
      </c>
      <c r="J431" t="n">
        <v>0</v>
      </c>
      <c r="K431" t="n">
        <v>0</v>
      </c>
      <c r="L431" t="n">
        <v>0</v>
      </c>
      <c r="M431" t="n">
        <v>0</v>
      </c>
      <c r="N431" t="n">
        <v>0</v>
      </c>
      <c r="O431" t="n">
        <v>0</v>
      </c>
      <c r="P431" t="n">
        <v>0</v>
      </c>
      <c r="Q431" t="n">
        <v>0</v>
      </c>
      <c r="R431" s="2" t="inlineStr"/>
    </row>
    <row r="432" ht="15" customHeight="1">
      <c r="A432" t="inlineStr">
        <is>
          <t>A 11004-2023</t>
        </is>
      </c>
      <c r="B432" s="1" t="n">
        <v>44986</v>
      </c>
      <c r="C432" s="1" t="n">
        <v>45347</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10367-2023</t>
        </is>
      </c>
      <c r="B433" s="1" t="n">
        <v>44987</v>
      </c>
      <c r="C433" s="1" t="n">
        <v>45347</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10373-2023</t>
        </is>
      </c>
      <c r="B434" s="1" t="n">
        <v>44987</v>
      </c>
      <c r="C434" s="1" t="n">
        <v>45347</v>
      </c>
      <c r="D434" t="inlineStr">
        <is>
          <t>DALARNAS LÄN</t>
        </is>
      </c>
      <c r="E434" t="inlineStr">
        <is>
          <t>LEKSAND</t>
        </is>
      </c>
      <c r="G434" t="n">
        <v>0.3</v>
      </c>
      <c r="H434" t="n">
        <v>0</v>
      </c>
      <c r="I434" t="n">
        <v>0</v>
      </c>
      <c r="J434" t="n">
        <v>0</v>
      </c>
      <c r="K434" t="n">
        <v>0</v>
      </c>
      <c r="L434" t="n">
        <v>0</v>
      </c>
      <c r="M434" t="n">
        <v>0</v>
      </c>
      <c r="N434" t="n">
        <v>0</v>
      </c>
      <c r="O434" t="n">
        <v>0</v>
      </c>
      <c r="P434" t="n">
        <v>0</v>
      </c>
      <c r="Q434" t="n">
        <v>0</v>
      </c>
      <c r="R434" s="2" t="inlineStr"/>
    </row>
    <row r="435" ht="15" customHeight="1">
      <c r="A435" t="inlineStr">
        <is>
          <t>A 10368-2023</t>
        </is>
      </c>
      <c r="B435" s="1" t="n">
        <v>44987</v>
      </c>
      <c r="C435" s="1" t="n">
        <v>45347</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11398-2023</t>
        </is>
      </c>
      <c r="B436" s="1" t="n">
        <v>44988</v>
      </c>
      <c r="C436" s="1" t="n">
        <v>45347</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11423-2023</t>
        </is>
      </c>
      <c r="B437" s="1" t="n">
        <v>44988</v>
      </c>
      <c r="C437" s="1" t="n">
        <v>45347</v>
      </c>
      <c r="D437" t="inlineStr">
        <is>
          <t>DALARNAS LÄN</t>
        </is>
      </c>
      <c r="E437" t="inlineStr">
        <is>
          <t>LEKSAND</t>
        </is>
      </c>
      <c r="G437" t="n">
        <v>1.5</v>
      </c>
      <c r="H437" t="n">
        <v>0</v>
      </c>
      <c r="I437" t="n">
        <v>0</v>
      </c>
      <c r="J437" t="n">
        <v>0</v>
      </c>
      <c r="K437" t="n">
        <v>0</v>
      </c>
      <c r="L437" t="n">
        <v>0</v>
      </c>
      <c r="M437" t="n">
        <v>0</v>
      </c>
      <c r="N437" t="n">
        <v>0</v>
      </c>
      <c r="O437" t="n">
        <v>0</v>
      </c>
      <c r="P437" t="n">
        <v>0</v>
      </c>
      <c r="Q437" t="n">
        <v>0</v>
      </c>
      <c r="R437" s="2" t="inlineStr"/>
    </row>
    <row r="438" ht="15" customHeight="1">
      <c r="A438" t="inlineStr">
        <is>
          <t>A 11420-2023</t>
        </is>
      </c>
      <c r="B438" s="1" t="n">
        <v>44988</v>
      </c>
      <c r="C438" s="1" t="n">
        <v>45347</v>
      </c>
      <c r="D438" t="inlineStr">
        <is>
          <t>DALARNAS LÄN</t>
        </is>
      </c>
      <c r="E438" t="inlineStr">
        <is>
          <t>LEKSAND</t>
        </is>
      </c>
      <c r="G438" t="n">
        <v>6.5</v>
      </c>
      <c r="H438" t="n">
        <v>0</v>
      </c>
      <c r="I438" t="n">
        <v>0</v>
      </c>
      <c r="J438" t="n">
        <v>0</v>
      </c>
      <c r="K438" t="n">
        <v>0</v>
      </c>
      <c r="L438" t="n">
        <v>0</v>
      </c>
      <c r="M438" t="n">
        <v>0</v>
      </c>
      <c r="N438" t="n">
        <v>0</v>
      </c>
      <c r="O438" t="n">
        <v>0</v>
      </c>
      <c r="P438" t="n">
        <v>0</v>
      </c>
      <c r="Q438" t="n">
        <v>0</v>
      </c>
      <c r="R438" s="2" t="inlineStr"/>
    </row>
    <row r="439" ht="15" customHeight="1">
      <c r="A439" t="inlineStr">
        <is>
          <t>A 10828-2023</t>
        </is>
      </c>
      <c r="B439" s="1" t="n">
        <v>44990</v>
      </c>
      <c r="C439" s="1" t="n">
        <v>45347</v>
      </c>
      <c r="D439" t="inlineStr">
        <is>
          <t>DALARNAS LÄN</t>
        </is>
      </c>
      <c r="E439" t="inlineStr">
        <is>
          <t>LEKSAND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10833-2023</t>
        </is>
      </c>
      <c r="B440" s="1" t="n">
        <v>44990</v>
      </c>
      <c r="C440" s="1" t="n">
        <v>45347</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10967-2023</t>
        </is>
      </c>
      <c r="B441" s="1" t="n">
        <v>44991</v>
      </c>
      <c r="C441" s="1" t="n">
        <v>45347</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10987-2023</t>
        </is>
      </c>
      <c r="B442" s="1" t="n">
        <v>44991</v>
      </c>
      <c r="C442" s="1" t="n">
        <v>45347</v>
      </c>
      <c r="D442" t="inlineStr">
        <is>
          <t>DALARNAS LÄN</t>
        </is>
      </c>
      <c r="E442" t="inlineStr">
        <is>
          <t>LEKSAND</t>
        </is>
      </c>
      <c r="G442" t="n">
        <v>2.7</v>
      </c>
      <c r="H442" t="n">
        <v>0</v>
      </c>
      <c r="I442" t="n">
        <v>0</v>
      </c>
      <c r="J442" t="n">
        <v>0</v>
      </c>
      <c r="K442" t="n">
        <v>0</v>
      </c>
      <c r="L442" t="n">
        <v>0</v>
      </c>
      <c r="M442" t="n">
        <v>0</v>
      </c>
      <c r="N442" t="n">
        <v>0</v>
      </c>
      <c r="O442" t="n">
        <v>0</v>
      </c>
      <c r="P442" t="n">
        <v>0</v>
      </c>
      <c r="Q442" t="n">
        <v>0</v>
      </c>
      <c r="R442" s="2" t="inlineStr"/>
    </row>
    <row r="443" ht="15" customHeight="1">
      <c r="A443" t="inlineStr">
        <is>
          <t>A 10869-2023</t>
        </is>
      </c>
      <c r="B443" s="1" t="n">
        <v>44991</v>
      </c>
      <c r="C443" s="1" t="n">
        <v>45347</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10974-2023</t>
        </is>
      </c>
      <c r="B444" s="1" t="n">
        <v>44991</v>
      </c>
      <c r="C444" s="1" t="n">
        <v>45347</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10896-2023</t>
        </is>
      </c>
      <c r="B445" s="1" t="n">
        <v>44991</v>
      </c>
      <c r="C445" s="1" t="n">
        <v>45347</v>
      </c>
      <c r="D445" t="inlineStr">
        <is>
          <t>DALARNAS LÄN</t>
        </is>
      </c>
      <c r="E445" t="inlineStr">
        <is>
          <t>LEKSAND</t>
        </is>
      </c>
      <c r="G445" t="n">
        <v>4.1</v>
      </c>
      <c r="H445" t="n">
        <v>0</v>
      </c>
      <c r="I445" t="n">
        <v>0</v>
      </c>
      <c r="J445" t="n">
        <v>0</v>
      </c>
      <c r="K445" t="n">
        <v>0</v>
      </c>
      <c r="L445" t="n">
        <v>0</v>
      </c>
      <c r="M445" t="n">
        <v>0</v>
      </c>
      <c r="N445" t="n">
        <v>0</v>
      </c>
      <c r="O445" t="n">
        <v>0</v>
      </c>
      <c r="P445" t="n">
        <v>0</v>
      </c>
      <c r="Q445" t="n">
        <v>0</v>
      </c>
      <c r="R445" s="2" t="inlineStr"/>
    </row>
    <row r="446" ht="15" customHeight="1">
      <c r="A446" t="inlineStr">
        <is>
          <t>A 11233-2023</t>
        </is>
      </c>
      <c r="B446" s="1" t="n">
        <v>44992</v>
      </c>
      <c r="C446" s="1" t="n">
        <v>45347</v>
      </c>
      <c r="D446" t="inlineStr">
        <is>
          <t>DALARNAS LÄN</t>
        </is>
      </c>
      <c r="E446" t="inlineStr">
        <is>
          <t>LEKSAND</t>
        </is>
      </c>
      <c r="G446" t="n">
        <v>4.2</v>
      </c>
      <c r="H446" t="n">
        <v>0</v>
      </c>
      <c r="I446" t="n">
        <v>0</v>
      </c>
      <c r="J446" t="n">
        <v>0</v>
      </c>
      <c r="K446" t="n">
        <v>0</v>
      </c>
      <c r="L446" t="n">
        <v>0</v>
      </c>
      <c r="M446" t="n">
        <v>0</v>
      </c>
      <c r="N446" t="n">
        <v>0</v>
      </c>
      <c r="O446" t="n">
        <v>0</v>
      </c>
      <c r="P446" t="n">
        <v>0</v>
      </c>
      <c r="Q446" t="n">
        <v>0</v>
      </c>
      <c r="R446" s="2" t="inlineStr"/>
    </row>
    <row r="447" ht="15" customHeight="1">
      <c r="A447" t="inlineStr">
        <is>
          <t>A 11238-2023</t>
        </is>
      </c>
      <c r="B447" s="1" t="n">
        <v>44992</v>
      </c>
      <c r="C447" s="1" t="n">
        <v>45347</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11092-2023</t>
        </is>
      </c>
      <c r="B448" s="1" t="n">
        <v>44992</v>
      </c>
      <c r="C448" s="1" t="n">
        <v>45347</v>
      </c>
      <c r="D448" t="inlineStr">
        <is>
          <t>DALARNAS LÄN</t>
        </is>
      </c>
      <c r="E448" t="inlineStr">
        <is>
          <t>LEKSAND</t>
        </is>
      </c>
      <c r="G448" t="n">
        <v>0.5</v>
      </c>
      <c r="H448" t="n">
        <v>0</v>
      </c>
      <c r="I448" t="n">
        <v>0</v>
      </c>
      <c r="J448" t="n">
        <v>0</v>
      </c>
      <c r="K448" t="n">
        <v>0</v>
      </c>
      <c r="L448" t="n">
        <v>0</v>
      </c>
      <c r="M448" t="n">
        <v>0</v>
      </c>
      <c r="N448" t="n">
        <v>0</v>
      </c>
      <c r="O448" t="n">
        <v>0</v>
      </c>
      <c r="P448" t="n">
        <v>0</v>
      </c>
      <c r="Q448" t="n">
        <v>0</v>
      </c>
      <c r="R448" s="2" t="inlineStr"/>
    </row>
    <row r="449" ht="15" customHeight="1">
      <c r="A449" t="inlineStr">
        <is>
          <t>A 11248-2023</t>
        </is>
      </c>
      <c r="B449" s="1" t="n">
        <v>44992</v>
      </c>
      <c r="C449" s="1" t="n">
        <v>45347</v>
      </c>
      <c r="D449" t="inlineStr">
        <is>
          <t>DALARNAS LÄN</t>
        </is>
      </c>
      <c r="E449" t="inlineStr">
        <is>
          <t>LEKSAND</t>
        </is>
      </c>
      <c r="G449" t="n">
        <v>3.5</v>
      </c>
      <c r="H449" t="n">
        <v>0</v>
      </c>
      <c r="I449" t="n">
        <v>0</v>
      </c>
      <c r="J449" t="n">
        <v>0</v>
      </c>
      <c r="K449" t="n">
        <v>0</v>
      </c>
      <c r="L449" t="n">
        <v>0</v>
      </c>
      <c r="M449" t="n">
        <v>0</v>
      </c>
      <c r="N449" t="n">
        <v>0</v>
      </c>
      <c r="O449" t="n">
        <v>0</v>
      </c>
      <c r="P449" t="n">
        <v>0</v>
      </c>
      <c r="Q449" t="n">
        <v>0</v>
      </c>
      <c r="R449" s="2" t="inlineStr"/>
    </row>
    <row r="450" ht="15" customHeight="1">
      <c r="A450" t="inlineStr">
        <is>
          <t>A 11128-2023</t>
        </is>
      </c>
      <c r="B450" s="1" t="n">
        <v>44992</v>
      </c>
      <c r="C450" s="1" t="n">
        <v>45347</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11080-2023</t>
        </is>
      </c>
      <c r="B451" s="1" t="n">
        <v>44992</v>
      </c>
      <c r="C451" s="1" t="n">
        <v>45347</v>
      </c>
      <c r="D451" t="inlineStr">
        <is>
          <t>DALARNAS LÄN</t>
        </is>
      </c>
      <c r="E451" t="inlineStr">
        <is>
          <t>LEKSAND</t>
        </is>
      </c>
      <c r="G451" t="n">
        <v>6.9</v>
      </c>
      <c r="H451" t="n">
        <v>0</v>
      </c>
      <c r="I451" t="n">
        <v>0</v>
      </c>
      <c r="J451" t="n">
        <v>0</v>
      </c>
      <c r="K451" t="n">
        <v>0</v>
      </c>
      <c r="L451" t="n">
        <v>0</v>
      </c>
      <c r="M451" t="n">
        <v>0</v>
      </c>
      <c r="N451" t="n">
        <v>0</v>
      </c>
      <c r="O451" t="n">
        <v>0</v>
      </c>
      <c r="P451" t="n">
        <v>0</v>
      </c>
      <c r="Q451" t="n">
        <v>0</v>
      </c>
      <c r="R451" s="2" t="inlineStr"/>
    </row>
    <row r="452" ht="15" customHeight="1">
      <c r="A452" t="inlineStr">
        <is>
          <t>A 11110-2023</t>
        </is>
      </c>
      <c r="B452" s="1" t="n">
        <v>44992</v>
      </c>
      <c r="C452" s="1" t="n">
        <v>45347</v>
      </c>
      <c r="D452" t="inlineStr">
        <is>
          <t>DALARNAS LÄN</t>
        </is>
      </c>
      <c r="E452" t="inlineStr">
        <is>
          <t>LEKSAND</t>
        </is>
      </c>
      <c r="G452" t="n">
        <v>11.2</v>
      </c>
      <c r="H452" t="n">
        <v>0</v>
      </c>
      <c r="I452" t="n">
        <v>0</v>
      </c>
      <c r="J452" t="n">
        <v>0</v>
      </c>
      <c r="K452" t="n">
        <v>0</v>
      </c>
      <c r="L452" t="n">
        <v>0</v>
      </c>
      <c r="M452" t="n">
        <v>0</v>
      </c>
      <c r="N452" t="n">
        <v>0</v>
      </c>
      <c r="O452" t="n">
        <v>0</v>
      </c>
      <c r="P452" t="n">
        <v>0</v>
      </c>
      <c r="Q452" t="n">
        <v>0</v>
      </c>
      <c r="R452" s="2" t="inlineStr"/>
    </row>
    <row r="453" ht="15" customHeight="1">
      <c r="A453" t="inlineStr">
        <is>
          <t>A 11218-2023</t>
        </is>
      </c>
      <c r="B453" s="1" t="n">
        <v>44992</v>
      </c>
      <c r="C453" s="1" t="n">
        <v>45347</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11225-2023</t>
        </is>
      </c>
      <c r="B454" s="1" t="n">
        <v>44992</v>
      </c>
      <c r="C454" s="1" t="n">
        <v>45347</v>
      </c>
      <c r="D454" t="inlineStr">
        <is>
          <t>DALARNAS LÄN</t>
        </is>
      </c>
      <c r="E454" t="inlineStr">
        <is>
          <t>LEKSAND</t>
        </is>
      </c>
      <c r="G454" t="n">
        <v>6.1</v>
      </c>
      <c r="H454" t="n">
        <v>0</v>
      </c>
      <c r="I454" t="n">
        <v>0</v>
      </c>
      <c r="J454" t="n">
        <v>0</v>
      </c>
      <c r="K454" t="n">
        <v>0</v>
      </c>
      <c r="L454" t="n">
        <v>0</v>
      </c>
      <c r="M454" t="n">
        <v>0</v>
      </c>
      <c r="N454" t="n">
        <v>0</v>
      </c>
      <c r="O454" t="n">
        <v>0</v>
      </c>
      <c r="P454" t="n">
        <v>0</v>
      </c>
      <c r="Q454" t="n">
        <v>0</v>
      </c>
      <c r="R454" s="2" t="inlineStr"/>
    </row>
    <row r="455" ht="15" customHeight="1">
      <c r="A455" t="inlineStr">
        <is>
          <t>A 11347-2023</t>
        </is>
      </c>
      <c r="B455" s="1" t="n">
        <v>44993</v>
      </c>
      <c r="C455" s="1" t="n">
        <v>45347</v>
      </c>
      <c r="D455" t="inlineStr">
        <is>
          <t>DALARNAS LÄN</t>
        </is>
      </c>
      <c r="E455" t="inlineStr">
        <is>
          <t>LEKSAND</t>
        </is>
      </c>
      <c r="G455" t="n">
        <v>6.7</v>
      </c>
      <c r="H455" t="n">
        <v>0</v>
      </c>
      <c r="I455" t="n">
        <v>0</v>
      </c>
      <c r="J455" t="n">
        <v>0</v>
      </c>
      <c r="K455" t="n">
        <v>0</v>
      </c>
      <c r="L455" t="n">
        <v>0</v>
      </c>
      <c r="M455" t="n">
        <v>0</v>
      </c>
      <c r="N455" t="n">
        <v>0</v>
      </c>
      <c r="O455" t="n">
        <v>0</v>
      </c>
      <c r="P455" t="n">
        <v>0</v>
      </c>
      <c r="Q455" t="n">
        <v>0</v>
      </c>
      <c r="R455" s="2" t="inlineStr"/>
    </row>
    <row r="456" ht="15" customHeight="1">
      <c r="A456" t="inlineStr">
        <is>
          <t>A 11392-2023</t>
        </is>
      </c>
      <c r="B456" s="1" t="n">
        <v>44993</v>
      </c>
      <c r="C456" s="1" t="n">
        <v>45347</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45347</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11418-2023</t>
        </is>
      </c>
      <c r="B458" s="1" t="n">
        <v>44993</v>
      </c>
      <c r="C458" s="1" t="n">
        <v>45347</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11747-2023</t>
        </is>
      </c>
      <c r="B459" s="1" t="n">
        <v>44993</v>
      </c>
      <c r="C459" s="1" t="n">
        <v>45347</v>
      </c>
      <c r="D459" t="inlineStr">
        <is>
          <t>DALARNAS LÄN</t>
        </is>
      </c>
      <c r="E459" t="inlineStr">
        <is>
          <t>LEKSAND</t>
        </is>
      </c>
      <c r="G459" t="n">
        <v>5.2</v>
      </c>
      <c r="H459" t="n">
        <v>0</v>
      </c>
      <c r="I459" t="n">
        <v>0</v>
      </c>
      <c r="J459" t="n">
        <v>0</v>
      </c>
      <c r="K459" t="n">
        <v>0</v>
      </c>
      <c r="L459" t="n">
        <v>0</v>
      </c>
      <c r="M459" t="n">
        <v>0</v>
      </c>
      <c r="N459" t="n">
        <v>0</v>
      </c>
      <c r="O459" t="n">
        <v>0</v>
      </c>
      <c r="P459" t="n">
        <v>0</v>
      </c>
      <c r="Q459" t="n">
        <v>0</v>
      </c>
      <c r="R459" s="2" t="inlineStr"/>
    </row>
    <row r="460" ht="15" customHeight="1">
      <c r="A460" t="inlineStr">
        <is>
          <t>A 11913-2023</t>
        </is>
      </c>
      <c r="B460" s="1" t="n">
        <v>44993</v>
      </c>
      <c r="C460" s="1" t="n">
        <v>45347</v>
      </c>
      <c r="D460" t="inlineStr">
        <is>
          <t>DALARNAS LÄN</t>
        </is>
      </c>
      <c r="E460" t="inlineStr">
        <is>
          <t>LEKSAND</t>
        </is>
      </c>
      <c r="G460" t="n">
        <v>7</v>
      </c>
      <c r="H460" t="n">
        <v>0</v>
      </c>
      <c r="I460" t="n">
        <v>0</v>
      </c>
      <c r="J460" t="n">
        <v>0</v>
      </c>
      <c r="K460" t="n">
        <v>0</v>
      </c>
      <c r="L460" t="n">
        <v>0</v>
      </c>
      <c r="M460" t="n">
        <v>0</v>
      </c>
      <c r="N460" t="n">
        <v>0</v>
      </c>
      <c r="O460" t="n">
        <v>0</v>
      </c>
      <c r="P460" t="n">
        <v>0</v>
      </c>
      <c r="Q460" t="n">
        <v>0</v>
      </c>
      <c r="R460" s="2" t="inlineStr"/>
    </row>
    <row r="461" ht="15" customHeight="1">
      <c r="A461" t="inlineStr">
        <is>
          <t>A 11582-2023</t>
        </is>
      </c>
      <c r="B461" s="1" t="n">
        <v>44994</v>
      </c>
      <c r="C461" s="1" t="n">
        <v>45347</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11592-2023</t>
        </is>
      </c>
      <c r="B462" s="1" t="n">
        <v>44994</v>
      </c>
      <c r="C462" s="1" t="n">
        <v>45347</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11678-2023</t>
        </is>
      </c>
      <c r="B463" s="1" t="n">
        <v>44994</v>
      </c>
      <c r="C463" s="1" t="n">
        <v>45347</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12144-2023</t>
        </is>
      </c>
      <c r="B464" s="1" t="n">
        <v>44998</v>
      </c>
      <c r="C464" s="1" t="n">
        <v>45347</v>
      </c>
      <c r="D464" t="inlineStr">
        <is>
          <t>DALARNAS LÄN</t>
        </is>
      </c>
      <c r="E464" t="inlineStr">
        <is>
          <t>LEKSAND</t>
        </is>
      </c>
      <c r="G464" t="n">
        <v>1.1</v>
      </c>
      <c r="H464" t="n">
        <v>0</v>
      </c>
      <c r="I464" t="n">
        <v>0</v>
      </c>
      <c r="J464" t="n">
        <v>0</v>
      </c>
      <c r="K464" t="n">
        <v>0</v>
      </c>
      <c r="L464" t="n">
        <v>0</v>
      </c>
      <c r="M464" t="n">
        <v>0</v>
      </c>
      <c r="N464" t="n">
        <v>0</v>
      </c>
      <c r="O464" t="n">
        <v>0</v>
      </c>
      <c r="P464" t="n">
        <v>0</v>
      </c>
      <c r="Q464" t="n">
        <v>0</v>
      </c>
      <c r="R464" s="2" t="inlineStr"/>
    </row>
    <row r="465" ht="15" customHeight="1">
      <c r="A465" t="inlineStr">
        <is>
          <t>A 12117-2023</t>
        </is>
      </c>
      <c r="B465" s="1" t="n">
        <v>44998</v>
      </c>
      <c r="C465" s="1" t="n">
        <v>45347</v>
      </c>
      <c r="D465" t="inlineStr">
        <is>
          <t>DALARNAS LÄN</t>
        </is>
      </c>
      <c r="E465" t="inlineStr">
        <is>
          <t>LEKSAND</t>
        </is>
      </c>
      <c r="G465" t="n">
        <v>2.5</v>
      </c>
      <c r="H465" t="n">
        <v>0</v>
      </c>
      <c r="I465" t="n">
        <v>0</v>
      </c>
      <c r="J465" t="n">
        <v>0</v>
      </c>
      <c r="K465" t="n">
        <v>0</v>
      </c>
      <c r="L465" t="n">
        <v>0</v>
      </c>
      <c r="M465" t="n">
        <v>0</v>
      </c>
      <c r="N465" t="n">
        <v>0</v>
      </c>
      <c r="O465" t="n">
        <v>0</v>
      </c>
      <c r="P465" t="n">
        <v>0</v>
      </c>
      <c r="Q465" t="n">
        <v>0</v>
      </c>
      <c r="R465" s="2" t="inlineStr"/>
    </row>
    <row r="466" ht="15" customHeight="1">
      <c r="A466" t="inlineStr">
        <is>
          <t>A 12120-2023</t>
        </is>
      </c>
      <c r="B466" s="1" t="n">
        <v>44998</v>
      </c>
      <c r="C466" s="1" t="n">
        <v>45347</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12356-2023</t>
        </is>
      </c>
      <c r="B467" s="1" t="n">
        <v>44998</v>
      </c>
      <c r="C467" s="1" t="n">
        <v>45347</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12363-2023</t>
        </is>
      </c>
      <c r="B468" s="1" t="n">
        <v>44998</v>
      </c>
      <c r="C468" s="1" t="n">
        <v>45347</v>
      </c>
      <c r="D468" t="inlineStr">
        <is>
          <t>DALARNAS LÄN</t>
        </is>
      </c>
      <c r="E468" t="inlineStr">
        <is>
          <t>LEKSAND</t>
        </is>
      </c>
      <c r="G468" t="n">
        <v>10</v>
      </c>
      <c r="H468" t="n">
        <v>0</v>
      </c>
      <c r="I468" t="n">
        <v>0</v>
      </c>
      <c r="J468" t="n">
        <v>0</v>
      </c>
      <c r="K468" t="n">
        <v>0</v>
      </c>
      <c r="L468" t="n">
        <v>0</v>
      </c>
      <c r="M468" t="n">
        <v>0</v>
      </c>
      <c r="N468" t="n">
        <v>0</v>
      </c>
      <c r="O468" t="n">
        <v>0</v>
      </c>
      <c r="P468" t="n">
        <v>0</v>
      </c>
      <c r="Q468" t="n">
        <v>0</v>
      </c>
      <c r="R468" s="2" t="inlineStr"/>
    </row>
    <row r="469" ht="15" customHeight="1">
      <c r="A469" t="inlineStr">
        <is>
          <t>A 12414-2023</t>
        </is>
      </c>
      <c r="B469" s="1" t="n">
        <v>44999</v>
      </c>
      <c r="C469" s="1" t="n">
        <v>45347</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12857-2023</t>
        </is>
      </c>
      <c r="B470" s="1" t="n">
        <v>45001</v>
      </c>
      <c r="C470" s="1" t="n">
        <v>45347</v>
      </c>
      <c r="D470" t="inlineStr">
        <is>
          <t>DALARNAS LÄN</t>
        </is>
      </c>
      <c r="E470" t="inlineStr">
        <is>
          <t>LEKSAND</t>
        </is>
      </c>
      <c r="G470" t="n">
        <v>0.2</v>
      </c>
      <c r="H470" t="n">
        <v>0</v>
      </c>
      <c r="I470" t="n">
        <v>0</v>
      </c>
      <c r="J470" t="n">
        <v>0</v>
      </c>
      <c r="K470" t="n">
        <v>0</v>
      </c>
      <c r="L470" t="n">
        <v>0</v>
      </c>
      <c r="M470" t="n">
        <v>0</v>
      </c>
      <c r="N470" t="n">
        <v>0</v>
      </c>
      <c r="O470" t="n">
        <v>0</v>
      </c>
      <c r="P470" t="n">
        <v>0</v>
      </c>
      <c r="Q470" t="n">
        <v>0</v>
      </c>
      <c r="R470" s="2" t="inlineStr"/>
    </row>
    <row r="471" ht="15" customHeight="1">
      <c r="A471" t="inlineStr">
        <is>
          <t>A 12851-2023</t>
        </is>
      </c>
      <c r="B471" s="1" t="n">
        <v>45001</v>
      </c>
      <c r="C471" s="1" t="n">
        <v>45347</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13024-2023</t>
        </is>
      </c>
      <c r="B472" s="1" t="n">
        <v>45001</v>
      </c>
      <c r="C472" s="1" t="n">
        <v>45347</v>
      </c>
      <c r="D472" t="inlineStr">
        <is>
          <t>DALARNAS LÄN</t>
        </is>
      </c>
      <c r="E472" t="inlineStr">
        <is>
          <t>LEKSAND</t>
        </is>
      </c>
      <c r="G472" t="n">
        <v>0.8</v>
      </c>
      <c r="H472" t="n">
        <v>0</v>
      </c>
      <c r="I472" t="n">
        <v>0</v>
      </c>
      <c r="J472" t="n">
        <v>0</v>
      </c>
      <c r="K472" t="n">
        <v>0</v>
      </c>
      <c r="L472" t="n">
        <v>0</v>
      </c>
      <c r="M472" t="n">
        <v>0</v>
      </c>
      <c r="N472" t="n">
        <v>0</v>
      </c>
      <c r="O472" t="n">
        <v>0</v>
      </c>
      <c r="P472" t="n">
        <v>0</v>
      </c>
      <c r="Q472" t="n">
        <v>0</v>
      </c>
      <c r="R472" s="2" t="inlineStr"/>
    </row>
    <row r="473" ht="15" customHeight="1">
      <c r="A473" t="inlineStr">
        <is>
          <t>A 13063-2023</t>
        </is>
      </c>
      <c r="B473" s="1" t="n">
        <v>45001</v>
      </c>
      <c r="C473" s="1" t="n">
        <v>45347</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13027-2023</t>
        </is>
      </c>
      <c r="B474" s="1" t="n">
        <v>45001</v>
      </c>
      <c r="C474" s="1" t="n">
        <v>45347</v>
      </c>
      <c r="D474" t="inlineStr">
        <is>
          <t>DALARNAS LÄN</t>
        </is>
      </c>
      <c r="E474" t="inlineStr">
        <is>
          <t>LEKSAND</t>
        </is>
      </c>
      <c r="G474" t="n">
        <v>2.8</v>
      </c>
      <c r="H474" t="n">
        <v>0</v>
      </c>
      <c r="I474" t="n">
        <v>0</v>
      </c>
      <c r="J474" t="n">
        <v>0</v>
      </c>
      <c r="K474" t="n">
        <v>0</v>
      </c>
      <c r="L474" t="n">
        <v>0</v>
      </c>
      <c r="M474" t="n">
        <v>0</v>
      </c>
      <c r="N474" t="n">
        <v>0</v>
      </c>
      <c r="O474" t="n">
        <v>0</v>
      </c>
      <c r="P474" t="n">
        <v>0</v>
      </c>
      <c r="Q474" t="n">
        <v>0</v>
      </c>
      <c r="R474" s="2" t="inlineStr"/>
    </row>
    <row r="475" ht="15" customHeight="1">
      <c r="A475" t="inlineStr">
        <is>
          <t>A 13079-2023</t>
        </is>
      </c>
      <c r="B475" s="1" t="n">
        <v>45001</v>
      </c>
      <c r="C475" s="1" t="n">
        <v>45347</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13165-2023</t>
        </is>
      </c>
      <c r="B476" s="1" t="n">
        <v>45002</v>
      </c>
      <c r="C476" s="1" t="n">
        <v>45347</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13288-2023</t>
        </is>
      </c>
      <c r="B477" s="1" t="n">
        <v>45004</v>
      </c>
      <c r="C477" s="1" t="n">
        <v>45347</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13397-2023</t>
        </is>
      </c>
      <c r="B478" s="1" t="n">
        <v>45005</v>
      </c>
      <c r="C478" s="1" t="n">
        <v>45347</v>
      </c>
      <c r="D478" t="inlineStr">
        <is>
          <t>DALARNAS LÄN</t>
        </is>
      </c>
      <c r="E478" t="inlineStr">
        <is>
          <t>LEKSAND</t>
        </is>
      </c>
      <c r="G478" t="n">
        <v>2.6</v>
      </c>
      <c r="H478" t="n">
        <v>0</v>
      </c>
      <c r="I478" t="n">
        <v>0</v>
      </c>
      <c r="J478" t="n">
        <v>0</v>
      </c>
      <c r="K478" t="n">
        <v>0</v>
      </c>
      <c r="L478" t="n">
        <v>0</v>
      </c>
      <c r="M478" t="n">
        <v>0</v>
      </c>
      <c r="N478" t="n">
        <v>0</v>
      </c>
      <c r="O478" t="n">
        <v>0</v>
      </c>
      <c r="P478" t="n">
        <v>0</v>
      </c>
      <c r="Q478" t="n">
        <v>0</v>
      </c>
      <c r="R478" s="2" t="inlineStr"/>
    </row>
    <row r="479" ht="15" customHeight="1">
      <c r="A479" t="inlineStr">
        <is>
          <t>A 13401-2023</t>
        </is>
      </c>
      <c r="B479" s="1" t="n">
        <v>45005</v>
      </c>
      <c r="C479" s="1" t="n">
        <v>45347</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13376-2023</t>
        </is>
      </c>
      <c r="B480" s="1" t="n">
        <v>45005</v>
      </c>
      <c r="C480" s="1" t="n">
        <v>45347</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13760-2023</t>
        </is>
      </c>
      <c r="B481" s="1" t="n">
        <v>45007</v>
      </c>
      <c r="C481" s="1" t="n">
        <v>45347</v>
      </c>
      <c r="D481" t="inlineStr">
        <is>
          <t>DALARNAS LÄN</t>
        </is>
      </c>
      <c r="E481" t="inlineStr">
        <is>
          <t>LEKSAND</t>
        </is>
      </c>
      <c r="G481" t="n">
        <v>7.9</v>
      </c>
      <c r="H481" t="n">
        <v>0</v>
      </c>
      <c r="I481" t="n">
        <v>0</v>
      </c>
      <c r="J481" t="n">
        <v>0</v>
      </c>
      <c r="K481" t="n">
        <v>0</v>
      </c>
      <c r="L481" t="n">
        <v>0</v>
      </c>
      <c r="M481" t="n">
        <v>0</v>
      </c>
      <c r="N481" t="n">
        <v>0</v>
      </c>
      <c r="O481" t="n">
        <v>0</v>
      </c>
      <c r="P481" t="n">
        <v>0</v>
      </c>
      <c r="Q481" t="n">
        <v>0</v>
      </c>
      <c r="R481" s="2" t="inlineStr"/>
    </row>
    <row r="482" ht="15" customHeight="1">
      <c r="A482" t="inlineStr">
        <is>
          <t>A 14339-2023</t>
        </is>
      </c>
      <c r="B482" s="1" t="n">
        <v>45012</v>
      </c>
      <c r="C482" s="1" t="n">
        <v>45347</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14558-2023</t>
        </is>
      </c>
      <c r="B483" s="1" t="n">
        <v>45013</v>
      </c>
      <c r="C483" s="1" t="n">
        <v>45347</v>
      </c>
      <c r="D483" t="inlineStr">
        <is>
          <t>DALARNAS LÄN</t>
        </is>
      </c>
      <c r="E483" t="inlineStr">
        <is>
          <t>LEKSAND</t>
        </is>
      </c>
      <c r="G483" t="n">
        <v>3.9</v>
      </c>
      <c r="H483" t="n">
        <v>0</v>
      </c>
      <c r="I483" t="n">
        <v>0</v>
      </c>
      <c r="J483" t="n">
        <v>0</v>
      </c>
      <c r="K483" t="n">
        <v>0</v>
      </c>
      <c r="L483" t="n">
        <v>0</v>
      </c>
      <c r="M483" t="n">
        <v>0</v>
      </c>
      <c r="N483" t="n">
        <v>0</v>
      </c>
      <c r="O483" t="n">
        <v>0</v>
      </c>
      <c r="P483" t="n">
        <v>0</v>
      </c>
      <c r="Q483" t="n">
        <v>0</v>
      </c>
      <c r="R483" s="2" t="inlineStr"/>
    </row>
    <row r="484" ht="15" customHeight="1">
      <c r="A484" t="inlineStr">
        <is>
          <t>A 14809-2023</t>
        </is>
      </c>
      <c r="B484" s="1" t="n">
        <v>45014</v>
      </c>
      <c r="C484" s="1" t="n">
        <v>45347</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14943-2023</t>
        </is>
      </c>
      <c r="B485" s="1" t="n">
        <v>45015</v>
      </c>
      <c r="C485" s="1" t="n">
        <v>45347</v>
      </c>
      <c r="D485" t="inlineStr">
        <is>
          <t>DALARNAS LÄN</t>
        </is>
      </c>
      <c r="E485" t="inlineStr">
        <is>
          <t>LEKSAND</t>
        </is>
      </c>
      <c r="G485" t="n">
        <v>1.7</v>
      </c>
      <c r="H485" t="n">
        <v>0</v>
      </c>
      <c r="I485" t="n">
        <v>0</v>
      </c>
      <c r="J485" t="n">
        <v>0</v>
      </c>
      <c r="K485" t="n">
        <v>0</v>
      </c>
      <c r="L485" t="n">
        <v>0</v>
      </c>
      <c r="M485" t="n">
        <v>0</v>
      </c>
      <c r="N485" t="n">
        <v>0</v>
      </c>
      <c r="O485" t="n">
        <v>0</v>
      </c>
      <c r="P485" t="n">
        <v>0</v>
      </c>
      <c r="Q485" t="n">
        <v>0</v>
      </c>
      <c r="R485" s="2" t="inlineStr"/>
    </row>
    <row r="486" ht="15" customHeight="1">
      <c r="A486" t="inlineStr">
        <is>
          <t>A 14967-2023</t>
        </is>
      </c>
      <c r="B486" s="1" t="n">
        <v>45015</v>
      </c>
      <c r="C486" s="1" t="n">
        <v>45347</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15020-2023</t>
        </is>
      </c>
      <c r="B487" s="1" t="n">
        <v>45015</v>
      </c>
      <c r="C487" s="1" t="n">
        <v>45347</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15025-2023</t>
        </is>
      </c>
      <c r="B488" s="1" t="n">
        <v>45015</v>
      </c>
      <c r="C488" s="1" t="n">
        <v>45347</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15120-2023</t>
        </is>
      </c>
      <c r="B489" s="1" t="n">
        <v>45016</v>
      </c>
      <c r="C489" s="1" t="n">
        <v>45347</v>
      </c>
      <c r="D489" t="inlineStr">
        <is>
          <t>DALARNAS LÄN</t>
        </is>
      </c>
      <c r="E489" t="inlineStr">
        <is>
          <t>LEKSAND</t>
        </is>
      </c>
      <c r="G489" t="n">
        <v>2.7</v>
      </c>
      <c r="H489" t="n">
        <v>0</v>
      </c>
      <c r="I489" t="n">
        <v>0</v>
      </c>
      <c r="J489" t="n">
        <v>0</v>
      </c>
      <c r="K489" t="n">
        <v>0</v>
      </c>
      <c r="L489" t="n">
        <v>0</v>
      </c>
      <c r="M489" t="n">
        <v>0</v>
      </c>
      <c r="N489" t="n">
        <v>0</v>
      </c>
      <c r="O489" t="n">
        <v>0</v>
      </c>
      <c r="P489" t="n">
        <v>0</v>
      </c>
      <c r="Q489" t="n">
        <v>0</v>
      </c>
      <c r="R489" s="2" t="inlineStr"/>
    </row>
    <row r="490" ht="15" customHeight="1">
      <c r="A490" t="inlineStr">
        <is>
          <t>A 15261-2023</t>
        </is>
      </c>
      <c r="B490" s="1" t="n">
        <v>45019</v>
      </c>
      <c r="C490" s="1" t="n">
        <v>45347</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15271-2023</t>
        </is>
      </c>
      <c r="B491" s="1" t="n">
        <v>45019</v>
      </c>
      <c r="C491" s="1" t="n">
        <v>45347</v>
      </c>
      <c r="D491" t="inlineStr">
        <is>
          <t>DALARNAS LÄN</t>
        </is>
      </c>
      <c r="E491" t="inlineStr">
        <is>
          <t>LEKSAND</t>
        </is>
      </c>
      <c r="G491" t="n">
        <v>5.5</v>
      </c>
      <c r="H491" t="n">
        <v>0</v>
      </c>
      <c r="I491" t="n">
        <v>0</v>
      </c>
      <c r="J491" t="n">
        <v>0</v>
      </c>
      <c r="K491" t="n">
        <v>0</v>
      </c>
      <c r="L491" t="n">
        <v>0</v>
      </c>
      <c r="M491" t="n">
        <v>0</v>
      </c>
      <c r="N491" t="n">
        <v>0</v>
      </c>
      <c r="O491" t="n">
        <v>0</v>
      </c>
      <c r="P491" t="n">
        <v>0</v>
      </c>
      <c r="Q491" t="n">
        <v>0</v>
      </c>
      <c r="R491" s="2" t="inlineStr"/>
    </row>
    <row r="492" ht="15" customHeight="1">
      <c r="A492" t="inlineStr">
        <is>
          <t>A 15435-2023</t>
        </is>
      </c>
      <c r="B492" s="1" t="n">
        <v>45020</v>
      </c>
      <c r="C492" s="1" t="n">
        <v>45347</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15436-2023</t>
        </is>
      </c>
      <c r="B493" s="1" t="n">
        <v>45020</v>
      </c>
      <c r="C493" s="1" t="n">
        <v>45347</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15433-2023</t>
        </is>
      </c>
      <c r="B494" s="1" t="n">
        <v>45020</v>
      </c>
      <c r="C494" s="1" t="n">
        <v>45347</v>
      </c>
      <c r="D494" t="inlineStr">
        <is>
          <t>DALARNAS LÄN</t>
        </is>
      </c>
      <c r="E494" t="inlineStr">
        <is>
          <t>LEKSAND</t>
        </is>
      </c>
      <c r="G494" t="n">
        <v>3</v>
      </c>
      <c r="H494" t="n">
        <v>0</v>
      </c>
      <c r="I494" t="n">
        <v>0</v>
      </c>
      <c r="J494" t="n">
        <v>0</v>
      </c>
      <c r="K494" t="n">
        <v>0</v>
      </c>
      <c r="L494" t="n">
        <v>0</v>
      </c>
      <c r="M494" t="n">
        <v>0</v>
      </c>
      <c r="N494" t="n">
        <v>0</v>
      </c>
      <c r="O494" t="n">
        <v>0</v>
      </c>
      <c r="P494" t="n">
        <v>0</v>
      </c>
      <c r="Q494" t="n">
        <v>0</v>
      </c>
      <c r="R494" s="2" t="inlineStr"/>
    </row>
    <row r="495" ht="15" customHeight="1">
      <c r="A495" t="inlineStr">
        <is>
          <t>A 15882-2023</t>
        </is>
      </c>
      <c r="B495" s="1" t="n">
        <v>45022</v>
      </c>
      <c r="C495" s="1" t="n">
        <v>45347</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15908-2023</t>
        </is>
      </c>
      <c r="B496" s="1" t="n">
        <v>45022</v>
      </c>
      <c r="C496" s="1" t="n">
        <v>45347</v>
      </c>
      <c r="D496" t="inlineStr">
        <is>
          <t>DALARNAS LÄN</t>
        </is>
      </c>
      <c r="E496" t="inlineStr">
        <is>
          <t>LEKSAND</t>
        </is>
      </c>
      <c r="G496" t="n">
        <v>2.4</v>
      </c>
      <c r="H496" t="n">
        <v>0</v>
      </c>
      <c r="I496" t="n">
        <v>0</v>
      </c>
      <c r="J496" t="n">
        <v>0</v>
      </c>
      <c r="K496" t="n">
        <v>0</v>
      </c>
      <c r="L496" t="n">
        <v>0</v>
      </c>
      <c r="M496" t="n">
        <v>0</v>
      </c>
      <c r="N496" t="n">
        <v>0</v>
      </c>
      <c r="O496" t="n">
        <v>0</v>
      </c>
      <c r="P496" t="n">
        <v>0</v>
      </c>
      <c r="Q496" t="n">
        <v>0</v>
      </c>
      <c r="R496" s="2" t="inlineStr"/>
    </row>
    <row r="497" ht="15" customHeight="1">
      <c r="A497" t="inlineStr">
        <is>
          <t>A 16051-2023</t>
        </is>
      </c>
      <c r="B497" s="1" t="n">
        <v>45027</v>
      </c>
      <c r="C497" s="1" t="n">
        <v>45347</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16139-2023</t>
        </is>
      </c>
      <c r="B498" s="1" t="n">
        <v>45027</v>
      </c>
      <c r="C498" s="1" t="n">
        <v>45347</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16143-2023</t>
        </is>
      </c>
      <c r="B499" s="1" t="n">
        <v>45027</v>
      </c>
      <c r="C499" s="1" t="n">
        <v>45347</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16137-2023</t>
        </is>
      </c>
      <c r="B500" s="1" t="n">
        <v>45027</v>
      </c>
      <c r="C500" s="1" t="n">
        <v>45347</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v>
      </c>
      <c r="C501" s="1" t="n">
        <v>45347</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16333-2023</t>
        </is>
      </c>
      <c r="B502" s="1" t="n">
        <v>45028</v>
      </c>
      <c r="C502" s="1" t="n">
        <v>45347</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16332-2023</t>
        </is>
      </c>
      <c r="B503" s="1" t="n">
        <v>45028</v>
      </c>
      <c r="C503" s="1" t="n">
        <v>45347</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16592-2023</t>
        </is>
      </c>
      <c r="B504" s="1" t="n">
        <v>45030</v>
      </c>
      <c r="C504" s="1" t="n">
        <v>45347</v>
      </c>
      <c r="D504" t="inlineStr">
        <is>
          <t>DALARNAS LÄN</t>
        </is>
      </c>
      <c r="E504" t="inlineStr">
        <is>
          <t>LEKSAND</t>
        </is>
      </c>
      <c r="G504" t="n">
        <v>11.5</v>
      </c>
      <c r="H504" t="n">
        <v>0</v>
      </c>
      <c r="I504" t="n">
        <v>0</v>
      </c>
      <c r="J504" t="n">
        <v>0</v>
      </c>
      <c r="K504" t="n">
        <v>0</v>
      </c>
      <c r="L504" t="n">
        <v>0</v>
      </c>
      <c r="M504" t="n">
        <v>0</v>
      </c>
      <c r="N504" t="n">
        <v>0</v>
      </c>
      <c r="O504" t="n">
        <v>0</v>
      </c>
      <c r="P504" t="n">
        <v>0</v>
      </c>
      <c r="Q504" t="n">
        <v>0</v>
      </c>
      <c r="R504" s="2" t="inlineStr"/>
    </row>
    <row r="505" ht="15" customHeight="1">
      <c r="A505" t="inlineStr">
        <is>
          <t>A 16818-2023</t>
        </is>
      </c>
      <c r="B505" s="1" t="n">
        <v>45033</v>
      </c>
      <c r="C505" s="1" t="n">
        <v>45347</v>
      </c>
      <c r="D505" t="inlineStr">
        <is>
          <t>DALARNAS LÄN</t>
        </is>
      </c>
      <c r="E505" t="inlineStr">
        <is>
          <t>LEKSAND</t>
        </is>
      </c>
      <c r="F505" t="inlineStr">
        <is>
          <t>Övriga statliga verk och myndigheter</t>
        </is>
      </c>
      <c r="G505" t="n">
        <v>1.3</v>
      </c>
      <c r="H505" t="n">
        <v>0</v>
      </c>
      <c r="I505" t="n">
        <v>0</v>
      </c>
      <c r="J505" t="n">
        <v>0</v>
      </c>
      <c r="K505" t="n">
        <v>0</v>
      </c>
      <c r="L505" t="n">
        <v>0</v>
      </c>
      <c r="M505" t="n">
        <v>0</v>
      </c>
      <c r="N505" t="n">
        <v>0</v>
      </c>
      <c r="O505" t="n">
        <v>0</v>
      </c>
      <c r="P505" t="n">
        <v>0</v>
      </c>
      <c r="Q505" t="n">
        <v>0</v>
      </c>
      <c r="R505" s="2" t="inlineStr"/>
    </row>
    <row r="506" ht="15" customHeight="1">
      <c r="A506" t="inlineStr">
        <is>
          <t>A 16882-2023</t>
        </is>
      </c>
      <c r="B506" s="1" t="n">
        <v>45033</v>
      </c>
      <c r="C506" s="1" t="n">
        <v>45347</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16926-2023</t>
        </is>
      </c>
      <c r="B507" s="1" t="n">
        <v>45033</v>
      </c>
      <c r="C507" s="1" t="n">
        <v>45347</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17078-2023</t>
        </is>
      </c>
      <c r="B508" s="1" t="n">
        <v>45034</v>
      </c>
      <c r="C508" s="1" t="n">
        <v>45347</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17070-2023</t>
        </is>
      </c>
      <c r="B509" s="1" t="n">
        <v>45034</v>
      </c>
      <c r="C509" s="1" t="n">
        <v>45347</v>
      </c>
      <c r="D509" t="inlineStr">
        <is>
          <t>DALARNAS LÄN</t>
        </is>
      </c>
      <c r="E509" t="inlineStr">
        <is>
          <t>LEKSAND</t>
        </is>
      </c>
      <c r="G509" t="n">
        <v>5.9</v>
      </c>
      <c r="H509" t="n">
        <v>0</v>
      </c>
      <c r="I509" t="n">
        <v>0</v>
      </c>
      <c r="J509" t="n">
        <v>0</v>
      </c>
      <c r="K509" t="n">
        <v>0</v>
      </c>
      <c r="L509" t="n">
        <v>0</v>
      </c>
      <c r="M509" t="n">
        <v>0</v>
      </c>
      <c r="N509" t="n">
        <v>0</v>
      </c>
      <c r="O509" t="n">
        <v>0</v>
      </c>
      <c r="P509" t="n">
        <v>0</v>
      </c>
      <c r="Q509" t="n">
        <v>0</v>
      </c>
      <c r="R509" s="2" t="inlineStr"/>
    </row>
    <row r="510" ht="15" customHeight="1">
      <c r="A510" t="inlineStr">
        <is>
          <t>A 17076-2023</t>
        </is>
      </c>
      <c r="B510" s="1" t="n">
        <v>45034</v>
      </c>
      <c r="C510" s="1" t="n">
        <v>45347</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17072-2023</t>
        </is>
      </c>
      <c r="B511" s="1" t="n">
        <v>45034</v>
      </c>
      <c r="C511" s="1" t="n">
        <v>45347</v>
      </c>
      <c r="D511" t="inlineStr">
        <is>
          <t>DALARNAS LÄN</t>
        </is>
      </c>
      <c r="E511" t="inlineStr">
        <is>
          <t>LEKSAND</t>
        </is>
      </c>
      <c r="G511" t="n">
        <v>5.3</v>
      </c>
      <c r="H511" t="n">
        <v>0</v>
      </c>
      <c r="I511" t="n">
        <v>0</v>
      </c>
      <c r="J511" t="n">
        <v>0</v>
      </c>
      <c r="K511" t="n">
        <v>0</v>
      </c>
      <c r="L511" t="n">
        <v>0</v>
      </c>
      <c r="M511" t="n">
        <v>0</v>
      </c>
      <c r="N511" t="n">
        <v>0</v>
      </c>
      <c r="O511" t="n">
        <v>0</v>
      </c>
      <c r="P511" t="n">
        <v>0</v>
      </c>
      <c r="Q511" t="n">
        <v>0</v>
      </c>
      <c r="R511" s="2" t="inlineStr"/>
    </row>
    <row r="512" ht="15" customHeight="1">
      <c r="A512" t="inlineStr">
        <is>
          <t>A 17084-2023</t>
        </is>
      </c>
      <c r="B512" s="1" t="n">
        <v>45034</v>
      </c>
      <c r="C512" s="1" t="n">
        <v>45347</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17089-2023</t>
        </is>
      </c>
      <c r="B513" s="1" t="n">
        <v>45034</v>
      </c>
      <c r="C513" s="1" t="n">
        <v>45347</v>
      </c>
      <c r="D513" t="inlineStr">
        <is>
          <t>DALARNAS LÄN</t>
        </is>
      </c>
      <c r="E513" t="inlineStr">
        <is>
          <t>LEKSAND</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17233-2023</t>
        </is>
      </c>
      <c r="B514" s="1" t="n">
        <v>45035</v>
      </c>
      <c r="C514" s="1" t="n">
        <v>45347</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17231-2023</t>
        </is>
      </c>
      <c r="B515" s="1" t="n">
        <v>45035</v>
      </c>
      <c r="C515" s="1" t="n">
        <v>45347</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17331-2023</t>
        </is>
      </c>
      <c r="B516" s="1" t="n">
        <v>45035</v>
      </c>
      <c r="C516" s="1" t="n">
        <v>45347</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17413-2023</t>
        </is>
      </c>
      <c r="B517" s="1" t="n">
        <v>45035</v>
      </c>
      <c r="C517" s="1" t="n">
        <v>45347</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17533-2023</t>
        </is>
      </c>
      <c r="B518" s="1" t="n">
        <v>45036</v>
      </c>
      <c r="C518" s="1" t="n">
        <v>45347</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17759-2023</t>
        </is>
      </c>
      <c r="B519" s="1" t="n">
        <v>45037</v>
      </c>
      <c r="C519" s="1" t="n">
        <v>45347</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17947-2023</t>
        </is>
      </c>
      <c r="B520" s="1" t="n">
        <v>45040</v>
      </c>
      <c r="C520" s="1" t="n">
        <v>45347</v>
      </c>
      <c r="D520" t="inlineStr">
        <is>
          <t>DALARNAS LÄN</t>
        </is>
      </c>
      <c r="E520" t="inlineStr">
        <is>
          <t>LEKSAND</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18351-2023</t>
        </is>
      </c>
      <c r="B521" s="1" t="n">
        <v>45041</v>
      </c>
      <c r="C521" s="1" t="n">
        <v>45347</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18383-2023</t>
        </is>
      </c>
      <c r="B522" s="1" t="n">
        <v>45042</v>
      </c>
      <c r="C522" s="1" t="n">
        <v>45347</v>
      </c>
      <c r="D522" t="inlineStr">
        <is>
          <t>DALARNAS LÄN</t>
        </is>
      </c>
      <c r="E522" t="inlineStr">
        <is>
          <t>LEKSAND</t>
        </is>
      </c>
      <c r="G522" t="n">
        <v>2.8</v>
      </c>
      <c r="H522" t="n">
        <v>0</v>
      </c>
      <c r="I522" t="n">
        <v>0</v>
      </c>
      <c r="J522" t="n">
        <v>0</v>
      </c>
      <c r="K522" t="n">
        <v>0</v>
      </c>
      <c r="L522" t="n">
        <v>0</v>
      </c>
      <c r="M522" t="n">
        <v>0</v>
      </c>
      <c r="N522" t="n">
        <v>0</v>
      </c>
      <c r="O522" t="n">
        <v>0</v>
      </c>
      <c r="P522" t="n">
        <v>0</v>
      </c>
      <c r="Q522" t="n">
        <v>0</v>
      </c>
      <c r="R522" s="2" t="inlineStr"/>
    </row>
    <row r="523" ht="15" customHeight="1">
      <c r="A523" t="inlineStr">
        <is>
          <t>A 18407-2023</t>
        </is>
      </c>
      <c r="B523" s="1" t="n">
        <v>45042</v>
      </c>
      <c r="C523" s="1" t="n">
        <v>45347</v>
      </c>
      <c r="D523" t="inlineStr">
        <is>
          <t>DALARNAS LÄN</t>
        </is>
      </c>
      <c r="E523" t="inlineStr">
        <is>
          <t>LEKSAND</t>
        </is>
      </c>
      <c r="G523" t="n">
        <v>4.2</v>
      </c>
      <c r="H523" t="n">
        <v>0</v>
      </c>
      <c r="I523" t="n">
        <v>0</v>
      </c>
      <c r="J523" t="n">
        <v>0</v>
      </c>
      <c r="K523" t="n">
        <v>0</v>
      </c>
      <c r="L523" t="n">
        <v>0</v>
      </c>
      <c r="M523" t="n">
        <v>0</v>
      </c>
      <c r="N523" t="n">
        <v>0</v>
      </c>
      <c r="O523" t="n">
        <v>0</v>
      </c>
      <c r="P523" t="n">
        <v>0</v>
      </c>
      <c r="Q523" t="n">
        <v>0</v>
      </c>
      <c r="R523" s="2" t="inlineStr"/>
    </row>
    <row r="524" ht="15" customHeight="1">
      <c r="A524" t="inlineStr">
        <is>
          <t>A 18677-2023</t>
        </is>
      </c>
      <c r="B524" s="1" t="n">
        <v>45043</v>
      </c>
      <c r="C524" s="1" t="n">
        <v>45347</v>
      </c>
      <c r="D524" t="inlineStr">
        <is>
          <t>DALARNAS LÄN</t>
        </is>
      </c>
      <c r="E524" t="inlineStr">
        <is>
          <t>LEKSAND</t>
        </is>
      </c>
      <c r="G524" t="n">
        <v>2.2</v>
      </c>
      <c r="H524" t="n">
        <v>0</v>
      </c>
      <c r="I524" t="n">
        <v>0</v>
      </c>
      <c r="J524" t="n">
        <v>0</v>
      </c>
      <c r="K524" t="n">
        <v>0</v>
      </c>
      <c r="L524" t="n">
        <v>0</v>
      </c>
      <c r="M524" t="n">
        <v>0</v>
      </c>
      <c r="N524" t="n">
        <v>0</v>
      </c>
      <c r="O524" t="n">
        <v>0</v>
      </c>
      <c r="P524" t="n">
        <v>0</v>
      </c>
      <c r="Q524" t="n">
        <v>0</v>
      </c>
      <c r="R524" s="2" t="inlineStr"/>
    </row>
    <row r="525" ht="15" customHeight="1">
      <c r="A525" t="inlineStr">
        <is>
          <t>A 18632-2023</t>
        </is>
      </c>
      <c r="B525" s="1" t="n">
        <v>45043</v>
      </c>
      <c r="C525" s="1" t="n">
        <v>45347</v>
      </c>
      <c r="D525" t="inlineStr">
        <is>
          <t>DALARNAS LÄN</t>
        </is>
      </c>
      <c r="E525" t="inlineStr">
        <is>
          <t>LEKSAND</t>
        </is>
      </c>
      <c r="G525" t="n">
        <v>6.8</v>
      </c>
      <c r="H525" t="n">
        <v>0</v>
      </c>
      <c r="I525" t="n">
        <v>0</v>
      </c>
      <c r="J525" t="n">
        <v>0</v>
      </c>
      <c r="K525" t="n">
        <v>0</v>
      </c>
      <c r="L525" t="n">
        <v>0</v>
      </c>
      <c r="M525" t="n">
        <v>0</v>
      </c>
      <c r="N525" t="n">
        <v>0</v>
      </c>
      <c r="O525" t="n">
        <v>0</v>
      </c>
      <c r="P525" t="n">
        <v>0</v>
      </c>
      <c r="Q525" t="n">
        <v>0</v>
      </c>
      <c r="R525" s="2" t="inlineStr"/>
    </row>
    <row r="526" ht="15" customHeight="1">
      <c r="A526" t="inlineStr">
        <is>
          <t>A 18666-2023</t>
        </is>
      </c>
      <c r="B526" s="1" t="n">
        <v>45043</v>
      </c>
      <c r="C526" s="1" t="n">
        <v>45347</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18909-2023</t>
        </is>
      </c>
      <c r="B527" s="1" t="n">
        <v>45044</v>
      </c>
      <c r="C527" s="1" t="n">
        <v>45347</v>
      </c>
      <c r="D527" t="inlineStr">
        <is>
          <t>DALARNAS LÄN</t>
        </is>
      </c>
      <c r="E527" t="inlineStr">
        <is>
          <t>LEKSAND</t>
        </is>
      </c>
      <c r="G527" t="n">
        <v>10.7</v>
      </c>
      <c r="H527" t="n">
        <v>0</v>
      </c>
      <c r="I527" t="n">
        <v>0</v>
      </c>
      <c r="J527" t="n">
        <v>0</v>
      </c>
      <c r="K527" t="n">
        <v>0</v>
      </c>
      <c r="L527" t="n">
        <v>0</v>
      </c>
      <c r="M527" t="n">
        <v>0</v>
      </c>
      <c r="N527" t="n">
        <v>0</v>
      </c>
      <c r="O527" t="n">
        <v>0</v>
      </c>
      <c r="P527" t="n">
        <v>0</v>
      </c>
      <c r="Q527" t="n">
        <v>0</v>
      </c>
      <c r="R527" s="2" t="inlineStr"/>
    </row>
    <row r="528" ht="15" customHeight="1">
      <c r="A528" t="inlineStr">
        <is>
          <t>A 18837-2023</t>
        </is>
      </c>
      <c r="B528" s="1" t="n">
        <v>45044</v>
      </c>
      <c r="C528" s="1" t="n">
        <v>45347</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19103-2023</t>
        </is>
      </c>
      <c r="B529" s="1" t="n">
        <v>45048</v>
      </c>
      <c r="C529" s="1" t="n">
        <v>45347</v>
      </c>
      <c r="D529" t="inlineStr">
        <is>
          <t>DALARNAS LÄN</t>
        </is>
      </c>
      <c r="E529" t="inlineStr">
        <is>
          <t>LEKSAND</t>
        </is>
      </c>
      <c r="G529" t="n">
        <v>7.1</v>
      </c>
      <c r="H529" t="n">
        <v>0</v>
      </c>
      <c r="I529" t="n">
        <v>0</v>
      </c>
      <c r="J529" t="n">
        <v>0</v>
      </c>
      <c r="K529" t="n">
        <v>0</v>
      </c>
      <c r="L529" t="n">
        <v>0</v>
      </c>
      <c r="M529" t="n">
        <v>0</v>
      </c>
      <c r="N529" t="n">
        <v>0</v>
      </c>
      <c r="O529" t="n">
        <v>0</v>
      </c>
      <c r="P529" t="n">
        <v>0</v>
      </c>
      <c r="Q529" t="n">
        <v>0</v>
      </c>
      <c r="R529" s="2" t="inlineStr"/>
    </row>
    <row r="530" ht="15" customHeight="1">
      <c r="A530" t="inlineStr">
        <is>
          <t>A 19316-2023</t>
        </is>
      </c>
      <c r="B530" s="1" t="n">
        <v>45049</v>
      </c>
      <c r="C530" s="1" t="n">
        <v>45347</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19331-2023</t>
        </is>
      </c>
      <c r="B531" s="1" t="n">
        <v>45049</v>
      </c>
      <c r="C531" s="1" t="n">
        <v>45347</v>
      </c>
      <c r="D531" t="inlineStr">
        <is>
          <t>DALARNAS LÄN</t>
        </is>
      </c>
      <c r="E531" t="inlineStr">
        <is>
          <t>LEKSAND</t>
        </is>
      </c>
      <c r="G531" t="n">
        <v>2.3</v>
      </c>
      <c r="H531" t="n">
        <v>0</v>
      </c>
      <c r="I531" t="n">
        <v>0</v>
      </c>
      <c r="J531" t="n">
        <v>0</v>
      </c>
      <c r="K531" t="n">
        <v>0</v>
      </c>
      <c r="L531" t="n">
        <v>0</v>
      </c>
      <c r="M531" t="n">
        <v>0</v>
      </c>
      <c r="N531" t="n">
        <v>0</v>
      </c>
      <c r="O531" t="n">
        <v>0</v>
      </c>
      <c r="P531" t="n">
        <v>0</v>
      </c>
      <c r="Q531" t="n">
        <v>0</v>
      </c>
      <c r="R531" s="2" t="inlineStr"/>
    </row>
    <row r="532" ht="15" customHeight="1">
      <c r="A532" t="inlineStr">
        <is>
          <t>A 19550-2023</t>
        </is>
      </c>
      <c r="B532" s="1" t="n">
        <v>45049</v>
      </c>
      <c r="C532" s="1" t="n">
        <v>45347</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19590-2023</t>
        </is>
      </c>
      <c r="B533" s="1" t="n">
        <v>45049</v>
      </c>
      <c r="C533" s="1" t="n">
        <v>45347</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19559-2023</t>
        </is>
      </c>
      <c r="B534" s="1" t="n">
        <v>45050</v>
      </c>
      <c r="C534" s="1" t="n">
        <v>45347</v>
      </c>
      <c r="D534" t="inlineStr">
        <is>
          <t>DALARNAS LÄN</t>
        </is>
      </c>
      <c r="E534" t="inlineStr">
        <is>
          <t>LEKSAND</t>
        </is>
      </c>
      <c r="G534" t="n">
        <v>0.1</v>
      </c>
      <c r="H534" t="n">
        <v>0</v>
      </c>
      <c r="I534" t="n">
        <v>0</v>
      </c>
      <c r="J534" t="n">
        <v>0</v>
      </c>
      <c r="K534" t="n">
        <v>0</v>
      </c>
      <c r="L534" t="n">
        <v>0</v>
      </c>
      <c r="M534" t="n">
        <v>0</v>
      </c>
      <c r="N534" t="n">
        <v>0</v>
      </c>
      <c r="O534" t="n">
        <v>0</v>
      </c>
      <c r="P534" t="n">
        <v>0</v>
      </c>
      <c r="Q534" t="n">
        <v>0</v>
      </c>
      <c r="R534" s="2" t="inlineStr"/>
    </row>
    <row r="535" ht="15" customHeight="1">
      <c r="A535" t="inlineStr">
        <is>
          <t>A 19689-2023</t>
        </is>
      </c>
      <c r="B535" s="1" t="n">
        <v>45051</v>
      </c>
      <c r="C535" s="1" t="n">
        <v>45347</v>
      </c>
      <c r="D535" t="inlineStr">
        <is>
          <t>DALARNAS LÄN</t>
        </is>
      </c>
      <c r="E535" t="inlineStr">
        <is>
          <t>LEKSAND</t>
        </is>
      </c>
      <c r="G535" t="n">
        <v>15.9</v>
      </c>
      <c r="H535" t="n">
        <v>0</v>
      </c>
      <c r="I535" t="n">
        <v>0</v>
      </c>
      <c r="J535" t="n">
        <v>0</v>
      </c>
      <c r="K535" t="n">
        <v>0</v>
      </c>
      <c r="L535" t="n">
        <v>0</v>
      </c>
      <c r="M535" t="n">
        <v>0</v>
      </c>
      <c r="N535" t="n">
        <v>0</v>
      </c>
      <c r="O535" t="n">
        <v>0</v>
      </c>
      <c r="P535" t="n">
        <v>0</v>
      </c>
      <c r="Q535" t="n">
        <v>0</v>
      </c>
      <c r="R535" s="2" t="inlineStr"/>
    </row>
    <row r="536" ht="15" customHeight="1">
      <c r="A536" t="inlineStr">
        <is>
          <t>A 20150-2023</t>
        </is>
      </c>
      <c r="B536" s="1" t="n">
        <v>45051</v>
      </c>
      <c r="C536" s="1" t="n">
        <v>45347</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20514-2023</t>
        </is>
      </c>
      <c r="B537" s="1" t="n">
        <v>45054</v>
      </c>
      <c r="C537" s="1" t="n">
        <v>45347</v>
      </c>
      <c r="D537" t="inlineStr">
        <is>
          <t>DALARNAS LÄN</t>
        </is>
      </c>
      <c r="E537" t="inlineStr">
        <is>
          <t>LEKSAND</t>
        </is>
      </c>
      <c r="G537" t="n">
        <v>3.2</v>
      </c>
      <c r="H537" t="n">
        <v>0</v>
      </c>
      <c r="I537" t="n">
        <v>0</v>
      </c>
      <c r="J537" t="n">
        <v>0</v>
      </c>
      <c r="K537" t="n">
        <v>0</v>
      </c>
      <c r="L537" t="n">
        <v>0</v>
      </c>
      <c r="M537" t="n">
        <v>0</v>
      </c>
      <c r="N537" t="n">
        <v>0</v>
      </c>
      <c r="O537" t="n">
        <v>0</v>
      </c>
      <c r="P537" t="n">
        <v>0</v>
      </c>
      <c r="Q537" t="n">
        <v>0</v>
      </c>
      <c r="R537" s="2" t="inlineStr"/>
    </row>
    <row r="538" ht="15" customHeight="1">
      <c r="A538" t="inlineStr">
        <is>
          <t>A 20222-2023</t>
        </is>
      </c>
      <c r="B538" s="1" t="n">
        <v>45055</v>
      </c>
      <c r="C538" s="1" t="n">
        <v>45347</v>
      </c>
      <c r="D538" t="inlineStr">
        <is>
          <t>DALARNAS LÄN</t>
        </is>
      </c>
      <c r="E538" t="inlineStr">
        <is>
          <t>LEKSAND</t>
        </is>
      </c>
      <c r="F538" t="inlineStr">
        <is>
          <t>Bergvik skog väst AB</t>
        </is>
      </c>
      <c r="G538" t="n">
        <v>13</v>
      </c>
      <c r="H538" t="n">
        <v>0</v>
      </c>
      <c r="I538" t="n">
        <v>0</v>
      </c>
      <c r="J538" t="n">
        <v>0</v>
      </c>
      <c r="K538" t="n">
        <v>0</v>
      </c>
      <c r="L538" t="n">
        <v>0</v>
      </c>
      <c r="M538" t="n">
        <v>0</v>
      </c>
      <c r="N538" t="n">
        <v>0</v>
      </c>
      <c r="O538" t="n">
        <v>0</v>
      </c>
      <c r="P538" t="n">
        <v>0</v>
      </c>
      <c r="Q538" t="n">
        <v>0</v>
      </c>
      <c r="R538" s="2" t="inlineStr"/>
    </row>
    <row r="539" ht="15" customHeight="1">
      <c r="A539" t="inlineStr">
        <is>
          <t>A 20114-2023</t>
        </is>
      </c>
      <c r="B539" s="1" t="n">
        <v>45055</v>
      </c>
      <c r="C539" s="1" t="n">
        <v>45347</v>
      </c>
      <c r="D539" t="inlineStr">
        <is>
          <t>DALARNAS LÄN</t>
        </is>
      </c>
      <c r="E539" t="inlineStr">
        <is>
          <t>LEKSAND</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20936-2023</t>
        </is>
      </c>
      <c r="B540" s="1" t="n">
        <v>45061</v>
      </c>
      <c r="C540" s="1" t="n">
        <v>45347</v>
      </c>
      <c r="D540" t="inlineStr">
        <is>
          <t>DALARNAS LÄN</t>
        </is>
      </c>
      <c r="E540" t="inlineStr">
        <is>
          <t>LEKSAND</t>
        </is>
      </c>
      <c r="G540" t="n">
        <v>0.3</v>
      </c>
      <c r="H540" t="n">
        <v>0</v>
      </c>
      <c r="I540" t="n">
        <v>0</v>
      </c>
      <c r="J540" t="n">
        <v>0</v>
      </c>
      <c r="K540" t="n">
        <v>0</v>
      </c>
      <c r="L540" t="n">
        <v>0</v>
      </c>
      <c r="M540" t="n">
        <v>0</v>
      </c>
      <c r="N540" t="n">
        <v>0</v>
      </c>
      <c r="O540" t="n">
        <v>0</v>
      </c>
      <c r="P540" t="n">
        <v>0</v>
      </c>
      <c r="Q540" t="n">
        <v>0</v>
      </c>
      <c r="R540" s="2" t="inlineStr"/>
    </row>
    <row r="541" ht="15" customHeight="1">
      <c r="A541" t="inlineStr">
        <is>
          <t>A 20946-2023</t>
        </is>
      </c>
      <c r="B541" s="1" t="n">
        <v>45061</v>
      </c>
      <c r="C541" s="1" t="n">
        <v>45347</v>
      </c>
      <c r="D541" t="inlineStr">
        <is>
          <t>DALARNAS LÄN</t>
        </is>
      </c>
      <c r="E541" t="inlineStr">
        <is>
          <t>LEKSAND</t>
        </is>
      </c>
      <c r="G541" t="n">
        <v>2.7</v>
      </c>
      <c r="H541" t="n">
        <v>0</v>
      </c>
      <c r="I541" t="n">
        <v>0</v>
      </c>
      <c r="J541" t="n">
        <v>0</v>
      </c>
      <c r="K541" t="n">
        <v>0</v>
      </c>
      <c r="L541" t="n">
        <v>0</v>
      </c>
      <c r="M541" t="n">
        <v>0</v>
      </c>
      <c r="N541" t="n">
        <v>0</v>
      </c>
      <c r="O541" t="n">
        <v>0</v>
      </c>
      <c r="P541" t="n">
        <v>0</v>
      </c>
      <c r="Q541" t="n">
        <v>0</v>
      </c>
      <c r="R541" s="2" t="inlineStr"/>
    </row>
    <row r="542" ht="15" customHeight="1">
      <c r="A542" t="inlineStr">
        <is>
          <t>A 21402-2023</t>
        </is>
      </c>
      <c r="B542" s="1" t="n">
        <v>45061</v>
      </c>
      <c r="C542" s="1" t="n">
        <v>45347</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21299-2023</t>
        </is>
      </c>
      <c r="B543" s="1" t="n">
        <v>45062</v>
      </c>
      <c r="C543" s="1" t="n">
        <v>45347</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21817-2023</t>
        </is>
      </c>
      <c r="B544" s="1" t="n">
        <v>45068</v>
      </c>
      <c r="C544" s="1" t="n">
        <v>45347</v>
      </c>
      <c r="D544" t="inlineStr">
        <is>
          <t>DALARNAS LÄN</t>
        </is>
      </c>
      <c r="E544" t="inlineStr">
        <is>
          <t>LEKSAND</t>
        </is>
      </c>
      <c r="G544" t="n">
        <v>3.5</v>
      </c>
      <c r="H544" t="n">
        <v>0</v>
      </c>
      <c r="I544" t="n">
        <v>0</v>
      </c>
      <c r="J544" t="n">
        <v>0</v>
      </c>
      <c r="K544" t="n">
        <v>0</v>
      </c>
      <c r="L544" t="n">
        <v>0</v>
      </c>
      <c r="M544" t="n">
        <v>0</v>
      </c>
      <c r="N544" t="n">
        <v>0</v>
      </c>
      <c r="O544" t="n">
        <v>0</v>
      </c>
      <c r="P544" t="n">
        <v>0</v>
      </c>
      <c r="Q544" t="n">
        <v>0</v>
      </c>
      <c r="R544" s="2" t="inlineStr"/>
    </row>
    <row r="545" ht="15" customHeight="1">
      <c r="A545" t="inlineStr">
        <is>
          <t>A 21910-2023</t>
        </is>
      </c>
      <c r="B545" s="1" t="n">
        <v>45068</v>
      </c>
      <c r="C545" s="1" t="n">
        <v>45347</v>
      </c>
      <c r="D545" t="inlineStr">
        <is>
          <t>DALARNAS LÄN</t>
        </is>
      </c>
      <c r="E545" t="inlineStr">
        <is>
          <t>LEKSAND</t>
        </is>
      </c>
      <c r="F545" t="inlineStr">
        <is>
          <t>Bergvik skog väst AB</t>
        </is>
      </c>
      <c r="G545" t="n">
        <v>9.4</v>
      </c>
      <c r="H545" t="n">
        <v>0</v>
      </c>
      <c r="I545" t="n">
        <v>0</v>
      </c>
      <c r="J545" t="n">
        <v>0</v>
      </c>
      <c r="K545" t="n">
        <v>0</v>
      </c>
      <c r="L545" t="n">
        <v>0</v>
      </c>
      <c r="M545" t="n">
        <v>0</v>
      </c>
      <c r="N545" t="n">
        <v>0</v>
      </c>
      <c r="O545" t="n">
        <v>0</v>
      </c>
      <c r="P545" t="n">
        <v>0</v>
      </c>
      <c r="Q545" t="n">
        <v>0</v>
      </c>
      <c r="R545" s="2" t="inlineStr"/>
    </row>
    <row r="546" ht="15" customHeight="1">
      <c r="A546" t="inlineStr">
        <is>
          <t>A 21849-2023</t>
        </is>
      </c>
      <c r="B546" s="1" t="n">
        <v>45068</v>
      </c>
      <c r="C546" s="1" t="n">
        <v>45347</v>
      </c>
      <c r="D546" t="inlineStr">
        <is>
          <t>DALARNAS LÄN</t>
        </is>
      </c>
      <c r="E546" t="inlineStr">
        <is>
          <t>LEKSAND</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21954-2023</t>
        </is>
      </c>
      <c r="B547" s="1" t="n">
        <v>45068</v>
      </c>
      <c r="C547" s="1" t="n">
        <v>45347</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22196-2023</t>
        </is>
      </c>
      <c r="B548" s="1" t="n">
        <v>45069</v>
      </c>
      <c r="C548" s="1" t="n">
        <v>45347</v>
      </c>
      <c r="D548" t="inlineStr">
        <is>
          <t>DALARNAS LÄN</t>
        </is>
      </c>
      <c r="E548" t="inlineStr">
        <is>
          <t>LEKSAND</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22197-2023</t>
        </is>
      </c>
      <c r="B549" s="1" t="n">
        <v>45069</v>
      </c>
      <c r="C549" s="1" t="n">
        <v>45347</v>
      </c>
      <c r="D549" t="inlineStr">
        <is>
          <t>DALARNAS LÄN</t>
        </is>
      </c>
      <c r="E549" t="inlineStr">
        <is>
          <t>LEKSAND</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22570-2023</t>
        </is>
      </c>
      <c r="B550" s="1" t="n">
        <v>45071</v>
      </c>
      <c r="C550" s="1" t="n">
        <v>45347</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22684-2023</t>
        </is>
      </c>
      <c r="B551" s="1" t="n">
        <v>45071</v>
      </c>
      <c r="C551" s="1" t="n">
        <v>45347</v>
      </c>
      <c r="D551" t="inlineStr">
        <is>
          <t>DALARNAS LÄN</t>
        </is>
      </c>
      <c r="E551" t="inlineStr">
        <is>
          <t>LEKSAND</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23226-2023</t>
        </is>
      </c>
      <c r="B552" s="1" t="n">
        <v>45075</v>
      </c>
      <c r="C552" s="1" t="n">
        <v>45347</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23323-2023</t>
        </is>
      </c>
      <c r="B553" s="1" t="n">
        <v>45076</v>
      </c>
      <c r="C553" s="1" t="n">
        <v>45347</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23348-2023</t>
        </is>
      </c>
      <c r="B554" s="1" t="n">
        <v>45076</v>
      </c>
      <c r="C554" s="1" t="n">
        <v>45347</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23509-2023</t>
        </is>
      </c>
      <c r="B555" s="1" t="n">
        <v>45076</v>
      </c>
      <c r="C555" s="1" t="n">
        <v>45347</v>
      </c>
      <c r="D555" t="inlineStr">
        <is>
          <t>DALARNAS LÄN</t>
        </is>
      </c>
      <c r="E555" t="inlineStr">
        <is>
          <t>LEKSAND</t>
        </is>
      </c>
      <c r="G555" t="n">
        <v>2.1</v>
      </c>
      <c r="H555" t="n">
        <v>0</v>
      </c>
      <c r="I555" t="n">
        <v>0</v>
      </c>
      <c r="J555" t="n">
        <v>0</v>
      </c>
      <c r="K555" t="n">
        <v>0</v>
      </c>
      <c r="L555" t="n">
        <v>0</v>
      </c>
      <c r="M555" t="n">
        <v>0</v>
      </c>
      <c r="N555" t="n">
        <v>0</v>
      </c>
      <c r="O555" t="n">
        <v>0</v>
      </c>
      <c r="P555" t="n">
        <v>0</v>
      </c>
      <c r="Q555" t="n">
        <v>0</v>
      </c>
      <c r="R555" s="2" t="inlineStr"/>
    </row>
    <row r="556" ht="15" customHeight="1">
      <c r="A556" t="inlineStr">
        <is>
          <t>A 23882-2023</t>
        </is>
      </c>
      <c r="B556" s="1" t="n">
        <v>45078</v>
      </c>
      <c r="C556" s="1" t="n">
        <v>45347</v>
      </c>
      <c r="D556" t="inlineStr">
        <is>
          <t>DALARNAS LÄN</t>
        </is>
      </c>
      <c r="E556" t="inlineStr">
        <is>
          <t>LEKSAND</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23910-2023</t>
        </is>
      </c>
      <c r="B557" s="1" t="n">
        <v>45078</v>
      </c>
      <c r="C557" s="1" t="n">
        <v>45347</v>
      </c>
      <c r="D557" t="inlineStr">
        <is>
          <t>DALARNAS LÄN</t>
        </is>
      </c>
      <c r="E557" t="inlineStr">
        <is>
          <t>LEKSAND</t>
        </is>
      </c>
      <c r="G557" t="n">
        <v>3.8</v>
      </c>
      <c r="H557" t="n">
        <v>0</v>
      </c>
      <c r="I557" t="n">
        <v>0</v>
      </c>
      <c r="J557" t="n">
        <v>0</v>
      </c>
      <c r="K557" t="n">
        <v>0</v>
      </c>
      <c r="L557" t="n">
        <v>0</v>
      </c>
      <c r="M557" t="n">
        <v>0</v>
      </c>
      <c r="N557" t="n">
        <v>0</v>
      </c>
      <c r="O557" t="n">
        <v>0</v>
      </c>
      <c r="P557" t="n">
        <v>0</v>
      </c>
      <c r="Q557" t="n">
        <v>0</v>
      </c>
      <c r="R557" s="2" t="inlineStr"/>
    </row>
    <row r="558" ht="15" customHeight="1">
      <c r="A558" t="inlineStr">
        <is>
          <t>A 24728-2023</t>
        </is>
      </c>
      <c r="B558" s="1" t="n">
        <v>45084</v>
      </c>
      <c r="C558" s="1" t="n">
        <v>45347</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24823-2023</t>
        </is>
      </c>
      <c r="B559" s="1" t="n">
        <v>45084</v>
      </c>
      <c r="C559" s="1" t="n">
        <v>45347</v>
      </c>
      <c r="D559" t="inlineStr">
        <is>
          <t>DALARNAS LÄN</t>
        </is>
      </c>
      <c r="E559" t="inlineStr">
        <is>
          <t>LEKSAND</t>
        </is>
      </c>
      <c r="G559" t="n">
        <v>2.9</v>
      </c>
      <c r="H559" t="n">
        <v>0</v>
      </c>
      <c r="I559" t="n">
        <v>0</v>
      </c>
      <c r="J559" t="n">
        <v>0</v>
      </c>
      <c r="K559" t="n">
        <v>0</v>
      </c>
      <c r="L559" t="n">
        <v>0</v>
      </c>
      <c r="M559" t="n">
        <v>0</v>
      </c>
      <c r="N559" t="n">
        <v>0</v>
      </c>
      <c r="O559" t="n">
        <v>0</v>
      </c>
      <c r="P559" t="n">
        <v>0</v>
      </c>
      <c r="Q559" t="n">
        <v>0</v>
      </c>
      <c r="R559" s="2" t="inlineStr"/>
    </row>
    <row r="560" ht="15" customHeight="1">
      <c r="A560" t="inlineStr">
        <is>
          <t>A 24814-2023</t>
        </is>
      </c>
      <c r="B560" s="1" t="n">
        <v>45084</v>
      </c>
      <c r="C560" s="1" t="n">
        <v>45347</v>
      </c>
      <c r="D560" t="inlineStr">
        <is>
          <t>DALARNAS LÄN</t>
        </is>
      </c>
      <c r="E560" t="inlineStr">
        <is>
          <t>LEKSAND</t>
        </is>
      </c>
      <c r="G560" t="n">
        <v>5.6</v>
      </c>
      <c r="H560" t="n">
        <v>0</v>
      </c>
      <c r="I560" t="n">
        <v>0</v>
      </c>
      <c r="J560" t="n">
        <v>0</v>
      </c>
      <c r="K560" t="n">
        <v>0</v>
      </c>
      <c r="L560" t="n">
        <v>0</v>
      </c>
      <c r="M560" t="n">
        <v>0</v>
      </c>
      <c r="N560" t="n">
        <v>0</v>
      </c>
      <c r="O560" t="n">
        <v>0</v>
      </c>
      <c r="P560" t="n">
        <v>0</v>
      </c>
      <c r="Q560" t="n">
        <v>0</v>
      </c>
      <c r="R560" s="2" t="inlineStr"/>
    </row>
    <row r="561" ht="15" customHeight="1">
      <c r="A561" t="inlineStr">
        <is>
          <t>A 25025-2023</t>
        </is>
      </c>
      <c r="B561" s="1" t="n">
        <v>45086</v>
      </c>
      <c r="C561" s="1" t="n">
        <v>45347</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25067-2023</t>
        </is>
      </c>
      <c r="B562" s="1" t="n">
        <v>45086</v>
      </c>
      <c r="C562" s="1" t="n">
        <v>45347</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25038-2023</t>
        </is>
      </c>
      <c r="B563" s="1" t="n">
        <v>45085</v>
      </c>
      <c r="C563" s="1" t="n">
        <v>45347</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25627-2023</t>
        </is>
      </c>
      <c r="B564" s="1" t="n">
        <v>45089</v>
      </c>
      <c r="C564" s="1" t="n">
        <v>45347</v>
      </c>
      <c r="D564" t="inlineStr">
        <is>
          <t>DALARNAS LÄN</t>
        </is>
      </c>
      <c r="E564" t="inlineStr">
        <is>
          <t>LEKSAND</t>
        </is>
      </c>
      <c r="F564" t="inlineStr">
        <is>
          <t>Bergvik skog väst AB</t>
        </is>
      </c>
      <c r="G564" t="n">
        <v>8.4</v>
      </c>
      <c r="H564" t="n">
        <v>0</v>
      </c>
      <c r="I564" t="n">
        <v>0</v>
      </c>
      <c r="J564" t="n">
        <v>0</v>
      </c>
      <c r="K564" t="n">
        <v>0</v>
      </c>
      <c r="L564" t="n">
        <v>0</v>
      </c>
      <c r="M564" t="n">
        <v>0</v>
      </c>
      <c r="N564" t="n">
        <v>0</v>
      </c>
      <c r="O564" t="n">
        <v>0</v>
      </c>
      <c r="P564" t="n">
        <v>0</v>
      </c>
      <c r="Q564" t="n">
        <v>0</v>
      </c>
      <c r="R564" s="2" t="inlineStr"/>
    </row>
    <row r="565" ht="15" customHeight="1">
      <c r="A565" t="inlineStr">
        <is>
          <t>A 25637-2023</t>
        </is>
      </c>
      <c r="B565" s="1" t="n">
        <v>45089</v>
      </c>
      <c r="C565" s="1" t="n">
        <v>45347</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25652-2023</t>
        </is>
      </c>
      <c r="B566" s="1" t="n">
        <v>45089</v>
      </c>
      <c r="C566" s="1" t="n">
        <v>45347</v>
      </c>
      <c r="D566" t="inlineStr">
        <is>
          <t>DALARNAS LÄN</t>
        </is>
      </c>
      <c r="E566" t="inlineStr">
        <is>
          <t>LEKSAND</t>
        </is>
      </c>
      <c r="F566" t="inlineStr">
        <is>
          <t>Bergvik skog väst AB</t>
        </is>
      </c>
      <c r="G566" t="n">
        <v>3.3</v>
      </c>
      <c r="H566" t="n">
        <v>0</v>
      </c>
      <c r="I566" t="n">
        <v>0</v>
      </c>
      <c r="J566" t="n">
        <v>0</v>
      </c>
      <c r="K566" t="n">
        <v>0</v>
      </c>
      <c r="L566" t="n">
        <v>0</v>
      </c>
      <c r="M566" t="n">
        <v>0</v>
      </c>
      <c r="N566" t="n">
        <v>0</v>
      </c>
      <c r="O566" t="n">
        <v>0</v>
      </c>
      <c r="P566" t="n">
        <v>0</v>
      </c>
      <c r="Q566" t="n">
        <v>0</v>
      </c>
      <c r="R566" s="2" t="inlineStr"/>
    </row>
    <row r="567" ht="15" customHeight="1">
      <c r="A567" t="inlineStr">
        <is>
          <t>A 25715-2023</t>
        </is>
      </c>
      <c r="B567" s="1" t="n">
        <v>45090</v>
      </c>
      <c r="C567" s="1" t="n">
        <v>45347</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25907-2023</t>
        </is>
      </c>
      <c r="B568" s="1" t="n">
        <v>45090</v>
      </c>
      <c r="C568" s="1" t="n">
        <v>45347</v>
      </c>
      <c r="D568" t="inlineStr">
        <is>
          <t>DALARNAS LÄN</t>
        </is>
      </c>
      <c r="E568" t="inlineStr">
        <is>
          <t>LEKSAND</t>
        </is>
      </c>
      <c r="G568" t="n">
        <v>0.9</v>
      </c>
      <c r="H568" t="n">
        <v>0</v>
      </c>
      <c r="I568" t="n">
        <v>0</v>
      </c>
      <c r="J568" t="n">
        <v>0</v>
      </c>
      <c r="K568" t="n">
        <v>0</v>
      </c>
      <c r="L568" t="n">
        <v>0</v>
      </c>
      <c r="M568" t="n">
        <v>0</v>
      </c>
      <c r="N568" t="n">
        <v>0</v>
      </c>
      <c r="O568" t="n">
        <v>0</v>
      </c>
      <c r="P568" t="n">
        <v>0</v>
      </c>
      <c r="Q568" t="n">
        <v>0</v>
      </c>
      <c r="R568" s="2" t="inlineStr"/>
    </row>
    <row r="569" ht="15" customHeight="1">
      <c r="A569" t="inlineStr">
        <is>
          <t>A 26742-2023</t>
        </is>
      </c>
      <c r="B569" s="1" t="n">
        <v>45090</v>
      </c>
      <c r="C569" s="1" t="n">
        <v>45347</v>
      </c>
      <c r="D569" t="inlineStr">
        <is>
          <t>DALARNAS LÄN</t>
        </is>
      </c>
      <c r="E569" t="inlineStr">
        <is>
          <t>LEKSAND</t>
        </is>
      </c>
      <c r="G569" t="n">
        <v>1.8</v>
      </c>
      <c r="H569" t="n">
        <v>0</v>
      </c>
      <c r="I569" t="n">
        <v>0</v>
      </c>
      <c r="J569" t="n">
        <v>0</v>
      </c>
      <c r="K569" t="n">
        <v>0</v>
      </c>
      <c r="L569" t="n">
        <v>0</v>
      </c>
      <c r="M569" t="n">
        <v>0</v>
      </c>
      <c r="N569" t="n">
        <v>0</v>
      </c>
      <c r="O569" t="n">
        <v>0</v>
      </c>
      <c r="P569" t="n">
        <v>0</v>
      </c>
      <c r="Q569" t="n">
        <v>0</v>
      </c>
      <c r="R569" s="2" t="inlineStr"/>
    </row>
    <row r="570" ht="15" customHeight="1">
      <c r="A570" t="inlineStr">
        <is>
          <t>A 26038-2023</t>
        </is>
      </c>
      <c r="B570" s="1" t="n">
        <v>45091</v>
      </c>
      <c r="C570" s="1" t="n">
        <v>45347</v>
      </c>
      <c r="D570" t="inlineStr">
        <is>
          <t>DALARNAS LÄN</t>
        </is>
      </c>
      <c r="E570" t="inlineStr">
        <is>
          <t>LEKSAND</t>
        </is>
      </c>
      <c r="G570" t="n">
        <v>6.8</v>
      </c>
      <c r="H570" t="n">
        <v>0</v>
      </c>
      <c r="I570" t="n">
        <v>0</v>
      </c>
      <c r="J570" t="n">
        <v>0</v>
      </c>
      <c r="K570" t="n">
        <v>0</v>
      </c>
      <c r="L570" t="n">
        <v>0</v>
      </c>
      <c r="M570" t="n">
        <v>0</v>
      </c>
      <c r="N570" t="n">
        <v>0</v>
      </c>
      <c r="O570" t="n">
        <v>0</v>
      </c>
      <c r="P570" t="n">
        <v>0</v>
      </c>
      <c r="Q570" t="n">
        <v>0</v>
      </c>
      <c r="R570" s="2" t="inlineStr"/>
    </row>
    <row r="571" ht="15" customHeight="1">
      <c r="A571" t="inlineStr">
        <is>
          <t>A 26044-2023</t>
        </is>
      </c>
      <c r="B571" s="1" t="n">
        <v>45091</v>
      </c>
      <c r="C571" s="1" t="n">
        <v>45347</v>
      </c>
      <c r="D571" t="inlineStr">
        <is>
          <t>DALARNAS LÄN</t>
        </is>
      </c>
      <c r="E571" t="inlineStr">
        <is>
          <t>LEKSAND</t>
        </is>
      </c>
      <c r="G571" t="n">
        <v>5.3</v>
      </c>
      <c r="H571" t="n">
        <v>0</v>
      </c>
      <c r="I571" t="n">
        <v>0</v>
      </c>
      <c r="J571" t="n">
        <v>0</v>
      </c>
      <c r="K571" t="n">
        <v>0</v>
      </c>
      <c r="L571" t="n">
        <v>0</v>
      </c>
      <c r="M571" t="n">
        <v>0</v>
      </c>
      <c r="N571" t="n">
        <v>0</v>
      </c>
      <c r="O571" t="n">
        <v>0</v>
      </c>
      <c r="P571" t="n">
        <v>0</v>
      </c>
      <c r="Q571" t="n">
        <v>0</v>
      </c>
      <c r="R571" s="2" t="inlineStr"/>
    </row>
    <row r="572" ht="15" customHeight="1">
      <c r="A572" t="inlineStr">
        <is>
          <t>A 26107-2023</t>
        </is>
      </c>
      <c r="B572" s="1" t="n">
        <v>45091</v>
      </c>
      <c r="C572" s="1" t="n">
        <v>45347</v>
      </c>
      <c r="D572" t="inlineStr">
        <is>
          <t>DALARNAS LÄN</t>
        </is>
      </c>
      <c r="E572" t="inlineStr">
        <is>
          <t>LEKSAND</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26847-2023</t>
        </is>
      </c>
      <c r="B573" s="1" t="n">
        <v>45093</v>
      </c>
      <c r="C573" s="1" t="n">
        <v>45347</v>
      </c>
      <c r="D573" t="inlineStr">
        <is>
          <t>DALARNAS LÄN</t>
        </is>
      </c>
      <c r="E573" t="inlineStr">
        <is>
          <t>LEKSAND</t>
        </is>
      </c>
      <c r="G573" t="n">
        <v>3.9</v>
      </c>
      <c r="H573" t="n">
        <v>0</v>
      </c>
      <c r="I573" t="n">
        <v>0</v>
      </c>
      <c r="J573" t="n">
        <v>0</v>
      </c>
      <c r="K573" t="n">
        <v>0</v>
      </c>
      <c r="L573" t="n">
        <v>0</v>
      </c>
      <c r="M573" t="n">
        <v>0</v>
      </c>
      <c r="N573" t="n">
        <v>0</v>
      </c>
      <c r="O573" t="n">
        <v>0</v>
      </c>
      <c r="P573" t="n">
        <v>0</v>
      </c>
      <c r="Q573" t="n">
        <v>0</v>
      </c>
      <c r="R573" s="2" t="inlineStr"/>
    </row>
    <row r="574" ht="15" customHeight="1">
      <c r="A574" t="inlineStr">
        <is>
          <t>A 26957-2023</t>
        </is>
      </c>
      <c r="B574" s="1" t="n">
        <v>45093</v>
      </c>
      <c r="C574" s="1" t="n">
        <v>45347</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26924-2023</t>
        </is>
      </c>
      <c r="B575" s="1" t="n">
        <v>45093</v>
      </c>
      <c r="C575" s="1" t="n">
        <v>45347</v>
      </c>
      <c r="D575" t="inlineStr">
        <is>
          <t>DALARNAS LÄN</t>
        </is>
      </c>
      <c r="E575" t="inlineStr">
        <is>
          <t>LEKSAND</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26959-2023</t>
        </is>
      </c>
      <c r="B576" s="1" t="n">
        <v>45093</v>
      </c>
      <c r="C576" s="1" t="n">
        <v>45347</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26931-2023</t>
        </is>
      </c>
      <c r="B577" s="1" t="n">
        <v>45093</v>
      </c>
      <c r="C577" s="1" t="n">
        <v>45347</v>
      </c>
      <c r="D577" t="inlineStr">
        <is>
          <t>DALARNAS LÄN</t>
        </is>
      </c>
      <c r="E577" t="inlineStr">
        <is>
          <t>LEKSAND</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26946-2023</t>
        </is>
      </c>
      <c r="B578" s="1" t="n">
        <v>45093</v>
      </c>
      <c r="C578" s="1" t="n">
        <v>45347</v>
      </c>
      <c r="D578" t="inlineStr">
        <is>
          <t>DALARNAS LÄN</t>
        </is>
      </c>
      <c r="E578" t="inlineStr">
        <is>
          <t>LEKSAND</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27047-2023</t>
        </is>
      </c>
      <c r="B579" s="1" t="n">
        <v>45095</v>
      </c>
      <c r="C579" s="1" t="n">
        <v>45347</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27055-2023</t>
        </is>
      </c>
      <c r="B580" s="1" t="n">
        <v>45095</v>
      </c>
      <c r="C580" s="1" t="n">
        <v>45347</v>
      </c>
      <c r="D580" t="inlineStr">
        <is>
          <t>DALARNAS LÄN</t>
        </is>
      </c>
      <c r="E580" t="inlineStr">
        <is>
          <t>LEKSAND</t>
        </is>
      </c>
      <c r="G580" t="n">
        <v>1.4</v>
      </c>
      <c r="H580" t="n">
        <v>0</v>
      </c>
      <c r="I580" t="n">
        <v>0</v>
      </c>
      <c r="J580" t="n">
        <v>0</v>
      </c>
      <c r="K580" t="n">
        <v>0</v>
      </c>
      <c r="L580" t="n">
        <v>0</v>
      </c>
      <c r="M580" t="n">
        <v>0</v>
      </c>
      <c r="N580" t="n">
        <v>0</v>
      </c>
      <c r="O580" t="n">
        <v>0</v>
      </c>
      <c r="P580" t="n">
        <v>0</v>
      </c>
      <c r="Q580" t="n">
        <v>0</v>
      </c>
      <c r="R580" s="2" t="inlineStr"/>
    </row>
    <row r="581" ht="15" customHeight="1">
      <c r="A581" t="inlineStr">
        <is>
          <t>A 27048-2023</t>
        </is>
      </c>
      <c r="B581" s="1" t="n">
        <v>45095</v>
      </c>
      <c r="C581" s="1" t="n">
        <v>45347</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27046-2023</t>
        </is>
      </c>
      <c r="B582" s="1" t="n">
        <v>45095</v>
      </c>
      <c r="C582" s="1" t="n">
        <v>45347</v>
      </c>
      <c r="D582" t="inlineStr">
        <is>
          <t>DALARNAS LÄN</t>
        </is>
      </c>
      <c r="E582" t="inlineStr">
        <is>
          <t>LEKSAND</t>
        </is>
      </c>
      <c r="G582" t="n">
        <v>4</v>
      </c>
      <c r="H582" t="n">
        <v>0</v>
      </c>
      <c r="I582" t="n">
        <v>0</v>
      </c>
      <c r="J582" t="n">
        <v>0</v>
      </c>
      <c r="K582" t="n">
        <v>0</v>
      </c>
      <c r="L582" t="n">
        <v>0</v>
      </c>
      <c r="M582" t="n">
        <v>0</v>
      </c>
      <c r="N582" t="n">
        <v>0</v>
      </c>
      <c r="O582" t="n">
        <v>0</v>
      </c>
      <c r="P582" t="n">
        <v>0</v>
      </c>
      <c r="Q582" t="n">
        <v>0</v>
      </c>
      <c r="R582" s="2" t="inlineStr"/>
    </row>
    <row r="583" ht="15" customHeight="1">
      <c r="A583" t="inlineStr">
        <is>
          <t>A 27054-2023</t>
        </is>
      </c>
      <c r="B583" s="1" t="n">
        <v>45095</v>
      </c>
      <c r="C583" s="1" t="n">
        <v>45347</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27244-2023</t>
        </is>
      </c>
      <c r="B584" s="1" t="n">
        <v>45096</v>
      </c>
      <c r="C584" s="1" t="n">
        <v>45347</v>
      </c>
      <c r="D584" t="inlineStr">
        <is>
          <t>DALARNAS LÄN</t>
        </is>
      </c>
      <c r="E584" t="inlineStr">
        <is>
          <t>LEKSAND</t>
        </is>
      </c>
      <c r="G584" t="n">
        <v>5</v>
      </c>
      <c r="H584" t="n">
        <v>0</v>
      </c>
      <c r="I584" t="n">
        <v>0</v>
      </c>
      <c r="J584" t="n">
        <v>0</v>
      </c>
      <c r="K584" t="n">
        <v>0</v>
      </c>
      <c r="L584" t="n">
        <v>0</v>
      </c>
      <c r="M584" t="n">
        <v>0</v>
      </c>
      <c r="N584" t="n">
        <v>0</v>
      </c>
      <c r="O584" t="n">
        <v>0</v>
      </c>
      <c r="P584" t="n">
        <v>0</v>
      </c>
      <c r="Q584" t="n">
        <v>0</v>
      </c>
      <c r="R584" s="2" t="inlineStr"/>
    </row>
    <row r="585" ht="15" customHeight="1">
      <c r="A585" t="inlineStr">
        <is>
          <t>A 27348-2023</t>
        </is>
      </c>
      <c r="B585" s="1" t="n">
        <v>45096</v>
      </c>
      <c r="C585" s="1" t="n">
        <v>45347</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27511-2023</t>
        </is>
      </c>
      <c r="B586" s="1" t="n">
        <v>45097</v>
      </c>
      <c r="C586" s="1" t="n">
        <v>45347</v>
      </c>
      <c r="D586" t="inlineStr">
        <is>
          <t>DALARNAS LÄN</t>
        </is>
      </c>
      <c r="E586" t="inlineStr">
        <is>
          <t>LEKSAND</t>
        </is>
      </c>
      <c r="G586" t="n">
        <v>0.8</v>
      </c>
      <c r="H586" t="n">
        <v>0</v>
      </c>
      <c r="I586" t="n">
        <v>0</v>
      </c>
      <c r="J586" t="n">
        <v>0</v>
      </c>
      <c r="K586" t="n">
        <v>0</v>
      </c>
      <c r="L586" t="n">
        <v>0</v>
      </c>
      <c r="M586" t="n">
        <v>0</v>
      </c>
      <c r="N586" t="n">
        <v>0</v>
      </c>
      <c r="O586" t="n">
        <v>0</v>
      </c>
      <c r="P586" t="n">
        <v>0</v>
      </c>
      <c r="Q586" t="n">
        <v>0</v>
      </c>
      <c r="R586" s="2" t="inlineStr"/>
    </row>
    <row r="587" ht="15" customHeight="1">
      <c r="A587" t="inlineStr">
        <is>
          <t>A 27520-2023</t>
        </is>
      </c>
      <c r="B587" s="1" t="n">
        <v>45097</v>
      </c>
      <c r="C587" s="1" t="n">
        <v>45347</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27543-2023</t>
        </is>
      </c>
      <c r="B588" s="1" t="n">
        <v>45097</v>
      </c>
      <c r="C588" s="1" t="n">
        <v>45347</v>
      </c>
      <c r="D588" t="inlineStr">
        <is>
          <t>DALARNAS LÄN</t>
        </is>
      </c>
      <c r="E588" t="inlineStr">
        <is>
          <t>LEKSAND</t>
        </is>
      </c>
      <c r="G588" t="n">
        <v>3.4</v>
      </c>
      <c r="H588" t="n">
        <v>0</v>
      </c>
      <c r="I588" t="n">
        <v>0</v>
      </c>
      <c r="J588" t="n">
        <v>0</v>
      </c>
      <c r="K588" t="n">
        <v>0</v>
      </c>
      <c r="L588" t="n">
        <v>0</v>
      </c>
      <c r="M588" t="n">
        <v>0</v>
      </c>
      <c r="N588" t="n">
        <v>0</v>
      </c>
      <c r="O588" t="n">
        <v>0</v>
      </c>
      <c r="P588" t="n">
        <v>0</v>
      </c>
      <c r="Q588" t="n">
        <v>0</v>
      </c>
      <c r="R588" s="2" t="inlineStr"/>
    </row>
    <row r="589" ht="15" customHeight="1">
      <c r="A589" t="inlineStr">
        <is>
          <t>A 27791-2023</t>
        </is>
      </c>
      <c r="B589" s="1" t="n">
        <v>45098</v>
      </c>
      <c r="C589" s="1" t="n">
        <v>45347</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28103-2023</t>
        </is>
      </c>
      <c r="B590" s="1" t="n">
        <v>45099</v>
      </c>
      <c r="C590" s="1" t="n">
        <v>45347</v>
      </c>
      <c r="D590" t="inlineStr">
        <is>
          <t>DALARNAS LÄN</t>
        </is>
      </c>
      <c r="E590" t="inlineStr">
        <is>
          <t>LEKSAND</t>
        </is>
      </c>
      <c r="F590" t="inlineStr">
        <is>
          <t>Bergvik skog väst AB</t>
        </is>
      </c>
      <c r="G590" t="n">
        <v>15.3</v>
      </c>
      <c r="H590" t="n">
        <v>0</v>
      </c>
      <c r="I590" t="n">
        <v>0</v>
      </c>
      <c r="J590" t="n">
        <v>0</v>
      </c>
      <c r="K590" t="n">
        <v>0</v>
      </c>
      <c r="L590" t="n">
        <v>0</v>
      </c>
      <c r="M590" t="n">
        <v>0</v>
      </c>
      <c r="N590" t="n">
        <v>0</v>
      </c>
      <c r="O590" t="n">
        <v>0</v>
      </c>
      <c r="P590" t="n">
        <v>0</v>
      </c>
      <c r="Q590" t="n">
        <v>0</v>
      </c>
      <c r="R590" s="2" t="inlineStr"/>
    </row>
    <row r="591" ht="15" customHeight="1">
      <c r="A591" t="inlineStr">
        <is>
          <t>A 28108-2023</t>
        </is>
      </c>
      <c r="B591" s="1" t="n">
        <v>45099</v>
      </c>
      <c r="C591" s="1" t="n">
        <v>45347</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45347</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28592-2023</t>
        </is>
      </c>
      <c r="B593" s="1" t="n">
        <v>45103</v>
      </c>
      <c r="C593" s="1" t="n">
        <v>45347</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28633-2023</t>
        </is>
      </c>
      <c r="B594" s="1" t="n">
        <v>45103</v>
      </c>
      <c r="C594" s="1" t="n">
        <v>45347</v>
      </c>
      <c r="D594" t="inlineStr">
        <is>
          <t>DALARNAS LÄN</t>
        </is>
      </c>
      <c r="E594" t="inlineStr">
        <is>
          <t>LEKSAND</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28630-2023</t>
        </is>
      </c>
      <c r="B595" s="1" t="n">
        <v>45103</v>
      </c>
      <c r="C595" s="1" t="n">
        <v>45347</v>
      </c>
      <c r="D595" t="inlineStr">
        <is>
          <t>DALARNAS LÄN</t>
        </is>
      </c>
      <c r="E595" t="inlineStr">
        <is>
          <t>LEKSAND</t>
        </is>
      </c>
      <c r="F595" t="inlineStr">
        <is>
          <t>Bergvik skog väst AB</t>
        </is>
      </c>
      <c r="G595" t="n">
        <v>0.3</v>
      </c>
      <c r="H595" t="n">
        <v>0</v>
      </c>
      <c r="I595" t="n">
        <v>0</v>
      </c>
      <c r="J595" t="n">
        <v>0</v>
      </c>
      <c r="K595" t="n">
        <v>0</v>
      </c>
      <c r="L595" t="n">
        <v>0</v>
      </c>
      <c r="M595" t="n">
        <v>0</v>
      </c>
      <c r="N595" t="n">
        <v>0</v>
      </c>
      <c r="O595" t="n">
        <v>0</v>
      </c>
      <c r="P595" t="n">
        <v>0</v>
      </c>
      <c r="Q595" t="n">
        <v>0</v>
      </c>
      <c r="R595" s="2" t="inlineStr"/>
    </row>
    <row r="596" ht="15" customHeight="1">
      <c r="A596" t="inlineStr">
        <is>
          <t>A 28946-2023</t>
        </is>
      </c>
      <c r="B596" s="1" t="n">
        <v>45104</v>
      </c>
      <c r="C596" s="1" t="n">
        <v>45347</v>
      </c>
      <c r="D596" t="inlineStr">
        <is>
          <t>DALARNAS LÄN</t>
        </is>
      </c>
      <c r="E596" t="inlineStr">
        <is>
          <t>LEKSAND</t>
        </is>
      </c>
      <c r="G596" t="n">
        <v>0.8</v>
      </c>
      <c r="H596" t="n">
        <v>0</v>
      </c>
      <c r="I596" t="n">
        <v>0</v>
      </c>
      <c r="J596" t="n">
        <v>0</v>
      </c>
      <c r="K596" t="n">
        <v>0</v>
      </c>
      <c r="L596" t="n">
        <v>0</v>
      </c>
      <c r="M596" t="n">
        <v>0</v>
      </c>
      <c r="N596" t="n">
        <v>0</v>
      </c>
      <c r="O596" t="n">
        <v>0</v>
      </c>
      <c r="P596" t="n">
        <v>0</v>
      </c>
      <c r="Q596" t="n">
        <v>0</v>
      </c>
      <c r="R596" s="2" t="inlineStr"/>
    </row>
    <row r="597" ht="15" customHeight="1">
      <c r="A597" t="inlineStr">
        <is>
          <t>A 28935-2023</t>
        </is>
      </c>
      <c r="B597" s="1" t="n">
        <v>45104</v>
      </c>
      <c r="C597" s="1" t="n">
        <v>45347</v>
      </c>
      <c r="D597" t="inlineStr">
        <is>
          <t>DALARNAS LÄN</t>
        </is>
      </c>
      <c r="E597" t="inlineStr">
        <is>
          <t>LEKSAND</t>
        </is>
      </c>
      <c r="G597" t="n">
        <v>2.6</v>
      </c>
      <c r="H597" t="n">
        <v>0</v>
      </c>
      <c r="I597" t="n">
        <v>0</v>
      </c>
      <c r="J597" t="n">
        <v>0</v>
      </c>
      <c r="K597" t="n">
        <v>0</v>
      </c>
      <c r="L597" t="n">
        <v>0</v>
      </c>
      <c r="M597" t="n">
        <v>0</v>
      </c>
      <c r="N597" t="n">
        <v>0</v>
      </c>
      <c r="O597" t="n">
        <v>0</v>
      </c>
      <c r="P597" t="n">
        <v>0</v>
      </c>
      <c r="Q597" t="n">
        <v>0</v>
      </c>
      <c r="R597" s="2" t="inlineStr"/>
    </row>
    <row r="598" ht="15" customHeight="1">
      <c r="A598" t="inlineStr">
        <is>
          <t>A 28965-2023</t>
        </is>
      </c>
      <c r="B598" s="1" t="n">
        <v>45104</v>
      </c>
      <c r="C598" s="1" t="n">
        <v>45347</v>
      </c>
      <c r="D598" t="inlineStr">
        <is>
          <t>DALARNAS LÄN</t>
        </is>
      </c>
      <c r="E598" t="inlineStr">
        <is>
          <t>LEKSAND</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31401-2023</t>
        </is>
      </c>
      <c r="B599" s="1" t="n">
        <v>45104</v>
      </c>
      <c r="C599" s="1" t="n">
        <v>45347</v>
      </c>
      <c r="D599" t="inlineStr">
        <is>
          <t>DALARNAS LÄN</t>
        </is>
      </c>
      <c r="E599" t="inlineStr">
        <is>
          <t>LEKSAND</t>
        </is>
      </c>
      <c r="G599" t="n">
        <v>4.9</v>
      </c>
      <c r="H599" t="n">
        <v>0</v>
      </c>
      <c r="I599" t="n">
        <v>0</v>
      </c>
      <c r="J599" t="n">
        <v>0</v>
      </c>
      <c r="K599" t="n">
        <v>0</v>
      </c>
      <c r="L599" t="n">
        <v>0</v>
      </c>
      <c r="M599" t="n">
        <v>0</v>
      </c>
      <c r="N599" t="n">
        <v>0</v>
      </c>
      <c r="O599" t="n">
        <v>0</v>
      </c>
      <c r="P599" t="n">
        <v>0</v>
      </c>
      <c r="Q599" t="n">
        <v>0</v>
      </c>
      <c r="R599" s="2" t="inlineStr"/>
    </row>
    <row r="600" ht="15" customHeight="1">
      <c r="A600" t="inlineStr">
        <is>
          <t>A 28921-2023</t>
        </is>
      </c>
      <c r="B600" s="1" t="n">
        <v>45104</v>
      </c>
      <c r="C600" s="1" t="n">
        <v>45347</v>
      </c>
      <c r="D600" t="inlineStr">
        <is>
          <t>DALARNAS LÄN</t>
        </is>
      </c>
      <c r="E600" t="inlineStr">
        <is>
          <t>LEKSAND</t>
        </is>
      </c>
      <c r="G600" t="n">
        <v>4.4</v>
      </c>
      <c r="H600" t="n">
        <v>0</v>
      </c>
      <c r="I600" t="n">
        <v>0</v>
      </c>
      <c r="J600" t="n">
        <v>0</v>
      </c>
      <c r="K600" t="n">
        <v>0</v>
      </c>
      <c r="L600" t="n">
        <v>0</v>
      </c>
      <c r="M600" t="n">
        <v>0</v>
      </c>
      <c r="N600" t="n">
        <v>0</v>
      </c>
      <c r="O600" t="n">
        <v>0</v>
      </c>
      <c r="P600" t="n">
        <v>0</v>
      </c>
      <c r="Q600" t="n">
        <v>0</v>
      </c>
      <c r="R600" s="2" t="inlineStr"/>
    </row>
    <row r="601" ht="15" customHeight="1">
      <c r="A601" t="inlineStr">
        <is>
          <t>A 31422-2023</t>
        </is>
      </c>
      <c r="B601" s="1" t="n">
        <v>45104</v>
      </c>
      <c r="C601" s="1" t="n">
        <v>45347</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29122-2023</t>
        </is>
      </c>
      <c r="B602" s="1" t="n">
        <v>45105</v>
      </c>
      <c r="C602" s="1" t="n">
        <v>45347</v>
      </c>
      <c r="D602" t="inlineStr">
        <is>
          <t>DALARNAS LÄN</t>
        </is>
      </c>
      <c r="E602" t="inlineStr">
        <is>
          <t>LEKSAND</t>
        </is>
      </c>
      <c r="G602" t="n">
        <v>2</v>
      </c>
      <c r="H602" t="n">
        <v>0</v>
      </c>
      <c r="I602" t="n">
        <v>0</v>
      </c>
      <c r="J602" t="n">
        <v>0</v>
      </c>
      <c r="K602" t="n">
        <v>0</v>
      </c>
      <c r="L602" t="n">
        <v>0</v>
      </c>
      <c r="M602" t="n">
        <v>0</v>
      </c>
      <c r="N602" t="n">
        <v>0</v>
      </c>
      <c r="O602" t="n">
        <v>0</v>
      </c>
      <c r="P602" t="n">
        <v>0</v>
      </c>
      <c r="Q602" t="n">
        <v>0</v>
      </c>
      <c r="R602" s="2" t="inlineStr"/>
    </row>
    <row r="603" ht="15" customHeight="1">
      <c r="A603" t="inlineStr">
        <is>
          <t>A 29139-2023</t>
        </is>
      </c>
      <c r="B603" s="1" t="n">
        <v>45105</v>
      </c>
      <c r="C603" s="1" t="n">
        <v>45347</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29222-2023</t>
        </is>
      </c>
      <c r="B604" s="1" t="n">
        <v>45105</v>
      </c>
      <c r="C604" s="1" t="n">
        <v>45347</v>
      </c>
      <c r="D604" t="inlineStr">
        <is>
          <t>DALARNAS LÄN</t>
        </is>
      </c>
      <c r="E604" t="inlineStr">
        <is>
          <t>LEKSAND</t>
        </is>
      </c>
      <c r="G604" t="n">
        <v>5</v>
      </c>
      <c r="H604" t="n">
        <v>0</v>
      </c>
      <c r="I604" t="n">
        <v>0</v>
      </c>
      <c r="J604" t="n">
        <v>0</v>
      </c>
      <c r="K604" t="n">
        <v>0</v>
      </c>
      <c r="L604" t="n">
        <v>0</v>
      </c>
      <c r="M604" t="n">
        <v>0</v>
      </c>
      <c r="N604" t="n">
        <v>0</v>
      </c>
      <c r="O604" t="n">
        <v>0</v>
      </c>
      <c r="P604" t="n">
        <v>0</v>
      </c>
      <c r="Q604" t="n">
        <v>0</v>
      </c>
      <c r="R604" s="2" t="inlineStr"/>
    </row>
    <row r="605" ht="15" customHeight="1">
      <c r="A605" t="inlineStr">
        <is>
          <t>A 29916-2023</t>
        </is>
      </c>
      <c r="B605" s="1" t="n">
        <v>45107</v>
      </c>
      <c r="C605" s="1" t="n">
        <v>45347</v>
      </c>
      <c r="D605" t="inlineStr">
        <is>
          <t>DALARNAS LÄN</t>
        </is>
      </c>
      <c r="E605" t="inlineStr">
        <is>
          <t>LEKSAND</t>
        </is>
      </c>
      <c r="F605" t="inlineStr">
        <is>
          <t>Bergvik skog väst AB</t>
        </is>
      </c>
      <c r="G605" t="n">
        <v>9.4</v>
      </c>
      <c r="H605" t="n">
        <v>0</v>
      </c>
      <c r="I605" t="n">
        <v>0</v>
      </c>
      <c r="J605" t="n">
        <v>0</v>
      </c>
      <c r="K605" t="n">
        <v>0</v>
      </c>
      <c r="L605" t="n">
        <v>0</v>
      </c>
      <c r="M605" t="n">
        <v>0</v>
      </c>
      <c r="N605" t="n">
        <v>0</v>
      </c>
      <c r="O605" t="n">
        <v>0</v>
      </c>
      <c r="P605" t="n">
        <v>0</v>
      </c>
      <c r="Q605" t="n">
        <v>0</v>
      </c>
      <c r="R605" s="2" t="inlineStr"/>
    </row>
    <row r="606" ht="15" customHeight="1">
      <c r="A606" t="inlineStr">
        <is>
          <t>A 29881-2023</t>
        </is>
      </c>
      <c r="B606" s="1" t="n">
        <v>45107</v>
      </c>
      <c r="C606" s="1" t="n">
        <v>45347</v>
      </c>
      <c r="D606" t="inlineStr">
        <is>
          <t>DALARNAS LÄN</t>
        </is>
      </c>
      <c r="E606" t="inlineStr">
        <is>
          <t>LEKSAND</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29694-2023</t>
        </is>
      </c>
      <c r="B607" s="1" t="n">
        <v>45107</v>
      </c>
      <c r="C607" s="1" t="n">
        <v>45347</v>
      </c>
      <c r="D607" t="inlineStr">
        <is>
          <t>DALARNAS LÄN</t>
        </is>
      </c>
      <c r="E607" t="inlineStr">
        <is>
          <t>LEKSAND</t>
        </is>
      </c>
      <c r="G607" t="n">
        <v>4.8</v>
      </c>
      <c r="H607" t="n">
        <v>0</v>
      </c>
      <c r="I607" t="n">
        <v>0</v>
      </c>
      <c r="J607" t="n">
        <v>0</v>
      </c>
      <c r="K607" t="n">
        <v>0</v>
      </c>
      <c r="L607" t="n">
        <v>0</v>
      </c>
      <c r="M607" t="n">
        <v>0</v>
      </c>
      <c r="N607" t="n">
        <v>0</v>
      </c>
      <c r="O607" t="n">
        <v>0</v>
      </c>
      <c r="P607" t="n">
        <v>0</v>
      </c>
      <c r="Q607" t="n">
        <v>0</v>
      </c>
      <c r="R607" s="2" t="inlineStr"/>
    </row>
    <row r="608" ht="15" customHeight="1">
      <c r="A608" t="inlineStr">
        <is>
          <t>A 32261-2023</t>
        </is>
      </c>
      <c r="B608" s="1" t="n">
        <v>45108</v>
      </c>
      <c r="C608" s="1" t="n">
        <v>45347</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30000-2023</t>
        </is>
      </c>
      <c r="B609" s="1" t="n">
        <v>45109</v>
      </c>
      <c r="C609" s="1" t="n">
        <v>45347</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30082-2023</t>
        </is>
      </c>
      <c r="B610" s="1" t="n">
        <v>45110</v>
      </c>
      <c r="C610" s="1" t="n">
        <v>45347</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30169-2023</t>
        </is>
      </c>
      <c r="B611" s="1" t="n">
        <v>45110</v>
      </c>
      <c r="C611" s="1" t="n">
        <v>45347</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30135-2023</t>
        </is>
      </c>
      <c r="B612" s="1" t="n">
        <v>45110</v>
      </c>
      <c r="C612" s="1" t="n">
        <v>45347</v>
      </c>
      <c r="D612" t="inlineStr">
        <is>
          <t>DALARNAS LÄN</t>
        </is>
      </c>
      <c r="E612" t="inlineStr">
        <is>
          <t>LEKSAND</t>
        </is>
      </c>
      <c r="F612" t="inlineStr">
        <is>
          <t>Bergvik skog väst AB</t>
        </is>
      </c>
      <c r="G612" t="n">
        <v>8.4</v>
      </c>
      <c r="H612" t="n">
        <v>0</v>
      </c>
      <c r="I612" t="n">
        <v>0</v>
      </c>
      <c r="J612" t="n">
        <v>0</v>
      </c>
      <c r="K612" t="n">
        <v>0</v>
      </c>
      <c r="L612" t="n">
        <v>0</v>
      </c>
      <c r="M612" t="n">
        <v>0</v>
      </c>
      <c r="N612" t="n">
        <v>0</v>
      </c>
      <c r="O612" t="n">
        <v>0</v>
      </c>
      <c r="P612" t="n">
        <v>0</v>
      </c>
      <c r="Q612" t="n">
        <v>0</v>
      </c>
      <c r="R612" s="2" t="inlineStr"/>
    </row>
    <row r="613" ht="15" customHeight="1">
      <c r="A613" t="inlineStr">
        <is>
          <t>A 30195-2023</t>
        </is>
      </c>
      <c r="B613" s="1" t="n">
        <v>45110</v>
      </c>
      <c r="C613" s="1" t="n">
        <v>45347</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30196-2023</t>
        </is>
      </c>
      <c r="B614" s="1" t="n">
        <v>45110</v>
      </c>
      <c r="C614" s="1" t="n">
        <v>45347</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30175-2023</t>
        </is>
      </c>
      <c r="B615" s="1" t="n">
        <v>45110</v>
      </c>
      <c r="C615" s="1" t="n">
        <v>45347</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30523-2023</t>
        </is>
      </c>
      <c r="B616" s="1" t="n">
        <v>45111</v>
      </c>
      <c r="C616" s="1" t="n">
        <v>45347</v>
      </c>
      <c r="D616" t="inlineStr">
        <is>
          <t>DALARNAS LÄN</t>
        </is>
      </c>
      <c r="E616" t="inlineStr">
        <is>
          <t>LEKSAND</t>
        </is>
      </c>
      <c r="G616" t="n">
        <v>5.6</v>
      </c>
      <c r="H616" t="n">
        <v>0</v>
      </c>
      <c r="I616" t="n">
        <v>0</v>
      </c>
      <c r="J616" t="n">
        <v>0</v>
      </c>
      <c r="K616" t="n">
        <v>0</v>
      </c>
      <c r="L616" t="n">
        <v>0</v>
      </c>
      <c r="M616" t="n">
        <v>0</v>
      </c>
      <c r="N616" t="n">
        <v>0</v>
      </c>
      <c r="O616" t="n">
        <v>0</v>
      </c>
      <c r="P616" t="n">
        <v>0</v>
      </c>
      <c r="Q616" t="n">
        <v>0</v>
      </c>
      <c r="R616" s="2" t="inlineStr"/>
    </row>
    <row r="617" ht="15" customHeight="1">
      <c r="A617" t="inlineStr">
        <is>
          <t>A 30595-2023</t>
        </is>
      </c>
      <c r="B617" s="1" t="n">
        <v>45112</v>
      </c>
      <c r="C617" s="1" t="n">
        <v>45347</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30611-2023</t>
        </is>
      </c>
      <c r="B618" s="1" t="n">
        <v>45112</v>
      </c>
      <c r="C618" s="1" t="n">
        <v>45347</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30700-2023</t>
        </is>
      </c>
      <c r="B619" s="1" t="n">
        <v>45112</v>
      </c>
      <c r="C619" s="1" t="n">
        <v>45347</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30654-2023</t>
        </is>
      </c>
      <c r="B620" s="1" t="n">
        <v>45112</v>
      </c>
      <c r="C620" s="1" t="n">
        <v>45347</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30880-2023</t>
        </is>
      </c>
      <c r="B621" s="1" t="n">
        <v>45113</v>
      </c>
      <c r="C621" s="1" t="n">
        <v>45347</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30992-2023</t>
        </is>
      </c>
      <c r="B622" s="1" t="n">
        <v>45113</v>
      </c>
      <c r="C622" s="1" t="n">
        <v>45347</v>
      </c>
      <c r="D622" t="inlineStr">
        <is>
          <t>DALARNAS LÄN</t>
        </is>
      </c>
      <c r="E622" t="inlineStr">
        <is>
          <t>LEKSAND</t>
        </is>
      </c>
      <c r="G622" t="n">
        <v>2.7</v>
      </c>
      <c r="H622" t="n">
        <v>0</v>
      </c>
      <c r="I622" t="n">
        <v>0</v>
      </c>
      <c r="J622" t="n">
        <v>0</v>
      </c>
      <c r="K622" t="n">
        <v>0</v>
      </c>
      <c r="L622" t="n">
        <v>0</v>
      </c>
      <c r="M622" t="n">
        <v>0</v>
      </c>
      <c r="N622" t="n">
        <v>0</v>
      </c>
      <c r="O622" t="n">
        <v>0</v>
      </c>
      <c r="P622" t="n">
        <v>0</v>
      </c>
      <c r="Q622" t="n">
        <v>0</v>
      </c>
      <c r="R622" s="2" t="inlineStr"/>
    </row>
    <row r="623" ht="15" customHeight="1">
      <c r="A623" t="inlineStr">
        <is>
          <t>A 30994-2023</t>
        </is>
      </c>
      <c r="B623" s="1" t="n">
        <v>45113</v>
      </c>
      <c r="C623" s="1" t="n">
        <v>45347</v>
      </c>
      <c r="D623" t="inlineStr">
        <is>
          <t>DALARNAS LÄN</t>
        </is>
      </c>
      <c r="E623" t="inlineStr">
        <is>
          <t>LEKSAND</t>
        </is>
      </c>
      <c r="G623" t="n">
        <v>1.1</v>
      </c>
      <c r="H623" t="n">
        <v>0</v>
      </c>
      <c r="I623" t="n">
        <v>0</v>
      </c>
      <c r="J623" t="n">
        <v>0</v>
      </c>
      <c r="K623" t="n">
        <v>0</v>
      </c>
      <c r="L623" t="n">
        <v>0</v>
      </c>
      <c r="M623" t="n">
        <v>0</v>
      </c>
      <c r="N623" t="n">
        <v>0</v>
      </c>
      <c r="O623" t="n">
        <v>0</v>
      </c>
      <c r="P623" t="n">
        <v>0</v>
      </c>
      <c r="Q623" t="n">
        <v>0</v>
      </c>
      <c r="R623" s="2" t="inlineStr"/>
    </row>
    <row r="624" ht="15" customHeight="1">
      <c r="A624" t="inlineStr">
        <is>
          <t>A 30998-2023</t>
        </is>
      </c>
      <c r="B624" s="1" t="n">
        <v>45113</v>
      </c>
      <c r="C624" s="1" t="n">
        <v>45347</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32989-2023</t>
        </is>
      </c>
      <c r="B625" s="1" t="n">
        <v>45113</v>
      </c>
      <c r="C625" s="1" t="n">
        <v>45347</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31255-2023</t>
        </is>
      </c>
      <c r="B626" s="1" t="n">
        <v>45114</v>
      </c>
      <c r="C626" s="1" t="n">
        <v>45347</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31250-2023</t>
        </is>
      </c>
      <c r="B627" s="1" t="n">
        <v>45114</v>
      </c>
      <c r="C627" s="1" t="n">
        <v>45347</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31254-2023</t>
        </is>
      </c>
      <c r="B628" s="1" t="n">
        <v>45114</v>
      </c>
      <c r="C628" s="1" t="n">
        <v>45347</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31761-2023</t>
        </is>
      </c>
      <c r="B629" s="1" t="n">
        <v>45118</v>
      </c>
      <c r="C629" s="1" t="n">
        <v>45347</v>
      </c>
      <c r="D629" t="inlineStr">
        <is>
          <t>DALARNAS LÄN</t>
        </is>
      </c>
      <c r="E629" t="inlineStr">
        <is>
          <t>LEKSAND</t>
        </is>
      </c>
      <c r="G629" t="n">
        <v>6</v>
      </c>
      <c r="H629" t="n">
        <v>0</v>
      </c>
      <c r="I629" t="n">
        <v>0</v>
      </c>
      <c r="J629" t="n">
        <v>0</v>
      </c>
      <c r="K629" t="n">
        <v>0</v>
      </c>
      <c r="L629" t="n">
        <v>0</v>
      </c>
      <c r="M629" t="n">
        <v>0</v>
      </c>
      <c r="N629" t="n">
        <v>0</v>
      </c>
      <c r="O629" t="n">
        <v>0</v>
      </c>
      <c r="P629" t="n">
        <v>0</v>
      </c>
      <c r="Q629" t="n">
        <v>0</v>
      </c>
      <c r="R629" s="2" t="inlineStr"/>
    </row>
    <row r="630" ht="15" customHeight="1">
      <c r="A630" t="inlineStr">
        <is>
          <t>A 32307-2023</t>
        </is>
      </c>
      <c r="B630" s="1" t="n">
        <v>45120</v>
      </c>
      <c r="C630" s="1" t="n">
        <v>45347</v>
      </c>
      <c r="D630" t="inlineStr">
        <is>
          <t>DALARNAS LÄN</t>
        </is>
      </c>
      <c r="E630" t="inlineStr">
        <is>
          <t>LEKSAND</t>
        </is>
      </c>
      <c r="G630" t="n">
        <v>1</v>
      </c>
      <c r="H630" t="n">
        <v>0</v>
      </c>
      <c r="I630" t="n">
        <v>0</v>
      </c>
      <c r="J630" t="n">
        <v>0</v>
      </c>
      <c r="K630" t="n">
        <v>0</v>
      </c>
      <c r="L630" t="n">
        <v>0</v>
      </c>
      <c r="M630" t="n">
        <v>0</v>
      </c>
      <c r="N630" t="n">
        <v>0</v>
      </c>
      <c r="O630" t="n">
        <v>0</v>
      </c>
      <c r="P630" t="n">
        <v>0</v>
      </c>
      <c r="Q630" t="n">
        <v>0</v>
      </c>
      <c r="R630" s="2" t="inlineStr"/>
    </row>
    <row r="631" ht="15" customHeight="1">
      <c r="A631" t="inlineStr">
        <is>
          <t>A 32311-2023</t>
        </is>
      </c>
      <c r="B631" s="1" t="n">
        <v>45120</v>
      </c>
      <c r="C631" s="1" t="n">
        <v>45347</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32544-2023</t>
        </is>
      </c>
      <c r="B632" s="1" t="n">
        <v>45121</v>
      </c>
      <c r="C632" s="1" t="n">
        <v>45347</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32666-2023</t>
        </is>
      </c>
      <c r="B633" s="1" t="n">
        <v>45121</v>
      </c>
      <c r="C633" s="1" t="n">
        <v>45347</v>
      </c>
      <c r="D633" t="inlineStr">
        <is>
          <t>DALARNAS LÄN</t>
        </is>
      </c>
      <c r="E633" t="inlineStr">
        <is>
          <t>LEKSAND</t>
        </is>
      </c>
      <c r="G633" t="n">
        <v>9.9</v>
      </c>
      <c r="H633" t="n">
        <v>0</v>
      </c>
      <c r="I633" t="n">
        <v>0</v>
      </c>
      <c r="J633" t="n">
        <v>0</v>
      </c>
      <c r="K633" t="n">
        <v>0</v>
      </c>
      <c r="L633" t="n">
        <v>0</v>
      </c>
      <c r="M633" t="n">
        <v>0</v>
      </c>
      <c r="N633" t="n">
        <v>0</v>
      </c>
      <c r="O633" t="n">
        <v>0</v>
      </c>
      <c r="P633" t="n">
        <v>0</v>
      </c>
      <c r="Q633" t="n">
        <v>0</v>
      </c>
      <c r="R633" s="2" t="inlineStr"/>
    </row>
    <row r="634" ht="15" customHeight="1">
      <c r="A634" t="inlineStr">
        <is>
          <t>A 33788-2023</t>
        </is>
      </c>
      <c r="B634" s="1" t="n">
        <v>45121</v>
      </c>
      <c r="C634" s="1" t="n">
        <v>45347</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33001-2023</t>
        </is>
      </c>
      <c r="B635" s="1" t="n">
        <v>45125</v>
      </c>
      <c r="C635" s="1" t="n">
        <v>45347</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33308-2023</t>
        </is>
      </c>
      <c r="B636" s="1" t="n">
        <v>45127</v>
      </c>
      <c r="C636" s="1" t="n">
        <v>45347</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33318-2023</t>
        </is>
      </c>
      <c r="B637" s="1" t="n">
        <v>45127</v>
      </c>
      <c r="C637" s="1" t="n">
        <v>45347</v>
      </c>
      <c r="D637" t="inlineStr">
        <is>
          <t>DALARNAS LÄN</t>
        </is>
      </c>
      <c r="E637" t="inlineStr">
        <is>
          <t>LEKSAND</t>
        </is>
      </c>
      <c r="G637" t="n">
        <v>5.5</v>
      </c>
      <c r="H637" t="n">
        <v>0</v>
      </c>
      <c r="I637" t="n">
        <v>0</v>
      </c>
      <c r="J637" t="n">
        <v>0</v>
      </c>
      <c r="K637" t="n">
        <v>0</v>
      </c>
      <c r="L637" t="n">
        <v>0</v>
      </c>
      <c r="M637" t="n">
        <v>0</v>
      </c>
      <c r="N637" t="n">
        <v>0</v>
      </c>
      <c r="O637" t="n">
        <v>0</v>
      </c>
      <c r="P637" t="n">
        <v>0</v>
      </c>
      <c r="Q637" t="n">
        <v>0</v>
      </c>
      <c r="R637" s="2" t="inlineStr"/>
    </row>
    <row r="638" ht="15" customHeight="1">
      <c r="A638" t="inlineStr">
        <is>
          <t>A 33306-2023</t>
        </is>
      </c>
      <c r="B638" s="1" t="n">
        <v>45127</v>
      </c>
      <c r="C638" s="1" t="n">
        <v>45347</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33312-2023</t>
        </is>
      </c>
      <c r="B639" s="1" t="n">
        <v>45127</v>
      </c>
      <c r="C639" s="1" t="n">
        <v>45347</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33316-2023</t>
        </is>
      </c>
      <c r="B640" s="1" t="n">
        <v>45127</v>
      </c>
      <c r="C640" s="1" t="n">
        <v>45347</v>
      </c>
      <c r="D640" t="inlineStr">
        <is>
          <t>DALARNAS LÄN</t>
        </is>
      </c>
      <c r="E640" t="inlineStr">
        <is>
          <t>LEKSAND</t>
        </is>
      </c>
      <c r="G640" t="n">
        <v>8.9</v>
      </c>
      <c r="H640" t="n">
        <v>0</v>
      </c>
      <c r="I640" t="n">
        <v>0</v>
      </c>
      <c r="J640" t="n">
        <v>0</v>
      </c>
      <c r="K640" t="n">
        <v>0</v>
      </c>
      <c r="L640" t="n">
        <v>0</v>
      </c>
      <c r="M640" t="n">
        <v>0</v>
      </c>
      <c r="N640" t="n">
        <v>0</v>
      </c>
      <c r="O640" t="n">
        <v>0</v>
      </c>
      <c r="P640" t="n">
        <v>0</v>
      </c>
      <c r="Q640" t="n">
        <v>0</v>
      </c>
      <c r="R640" s="2" t="inlineStr"/>
    </row>
    <row r="641" ht="15" customHeight="1">
      <c r="A641" t="inlineStr">
        <is>
          <t>A 33310-2023</t>
        </is>
      </c>
      <c r="B641" s="1" t="n">
        <v>45127</v>
      </c>
      <c r="C641" s="1" t="n">
        <v>45347</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33317-2023</t>
        </is>
      </c>
      <c r="B642" s="1" t="n">
        <v>45127</v>
      </c>
      <c r="C642" s="1" t="n">
        <v>45347</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33480-2023</t>
        </is>
      </c>
      <c r="B643" s="1" t="n">
        <v>45131</v>
      </c>
      <c r="C643" s="1" t="n">
        <v>45347</v>
      </c>
      <c r="D643" t="inlineStr">
        <is>
          <t>DALARNAS LÄN</t>
        </is>
      </c>
      <c r="E643" t="inlineStr">
        <is>
          <t>LEKSAND</t>
        </is>
      </c>
      <c r="G643" t="n">
        <v>1.8</v>
      </c>
      <c r="H643" t="n">
        <v>0</v>
      </c>
      <c r="I643" t="n">
        <v>0</v>
      </c>
      <c r="J643" t="n">
        <v>0</v>
      </c>
      <c r="K643" t="n">
        <v>0</v>
      </c>
      <c r="L643" t="n">
        <v>0</v>
      </c>
      <c r="M643" t="n">
        <v>0</v>
      </c>
      <c r="N643" t="n">
        <v>0</v>
      </c>
      <c r="O643" t="n">
        <v>0</v>
      </c>
      <c r="P643" t="n">
        <v>0</v>
      </c>
      <c r="Q643" t="n">
        <v>0</v>
      </c>
      <c r="R643" s="2" t="inlineStr"/>
    </row>
    <row r="644" ht="15" customHeight="1">
      <c r="A644" t="inlineStr">
        <is>
          <t>A 33462-2023</t>
        </is>
      </c>
      <c r="B644" s="1" t="n">
        <v>45131</v>
      </c>
      <c r="C644" s="1" t="n">
        <v>45347</v>
      </c>
      <c r="D644" t="inlineStr">
        <is>
          <t>DALARNAS LÄN</t>
        </is>
      </c>
      <c r="E644" t="inlineStr">
        <is>
          <t>LEKSAND</t>
        </is>
      </c>
      <c r="G644" t="n">
        <v>2.7</v>
      </c>
      <c r="H644" t="n">
        <v>0</v>
      </c>
      <c r="I644" t="n">
        <v>0</v>
      </c>
      <c r="J644" t="n">
        <v>0</v>
      </c>
      <c r="K644" t="n">
        <v>0</v>
      </c>
      <c r="L644" t="n">
        <v>0</v>
      </c>
      <c r="M644" t="n">
        <v>0</v>
      </c>
      <c r="N644" t="n">
        <v>0</v>
      </c>
      <c r="O644" t="n">
        <v>0</v>
      </c>
      <c r="P644" t="n">
        <v>0</v>
      </c>
      <c r="Q644" t="n">
        <v>0</v>
      </c>
      <c r="R644" s="2" t="inlineStr"/>
    </row>
    <row r="645" ht="15" customHeight="1">
      <c r="A645" t="inlineStr">
        <is>
          <t>A 33463-2023</t>
        </is>
      </c>
      <c r="B645" s="1" t="n">
        <v>45131</v>
      </c>
      <c r="C645" s="1" t="n">
        <v>45347</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33566-2023</t>
        </is>
      </c>
      <c r="B646" s="1" t="n">
        <v>45131</v>
      </c>
      <c r="C646" s="1" t="n">
        <v>45347</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33674-2023</t>
        </is>
      </c>
      <c r="B647" s="1" t="n">
        <v>45132</v>
      </c>
      <c r="C647" s="1" t="n">
        <v>45347</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34294-2023</t>
        </is>
      </c>
      <c r="B648" s="1" t="n">
        <v>45138</v>
      </c>
      <c r="C648" s="1" t="n">
        <v>45347</v>
      </c>
      <c r="D648" t="inlineStr">
        <is>
          <t>DALARNAS LÄN</t>
        </is>
      </c>
      <c r="E648" t="inlineStr">
        <is>
          <t>LEKSAND</t>
        </is>
      </c>
      <c r="G648" t="n">
        <v>6.1</v>
      </c>
      <c r="H648" t="n">
        <v>0</v>
      </c>
      <c r="I648" t="n">
        <v>0</v>
      </c>
      <c r="J648" t="n">
        <v>0</v>
      </c>
      <c r="K648" t="n">
        <v>0</v>
      </c>
      <c r="L648" t="n">
        <v>0</v>
      </c>
      <c r="M648" t="n">
        <v>0</v>
      </c>
      <c r="N648" t="n">
        <v>0</v>
      </c>
      <c r="O648" t="n">
        <v>0</v>
      </c>
      <c r="P648" t="n">
        <v>0</v>
      </c>
      <c r="Q648" t="n">
        <v>0</v>
      </c>
      <c r="R648" s="2" t="inlineStr"/>
    </row>
    <row r="649" ht="15" customHeight="1">
      <c r="A649" t="inlineStr">
        <is>
          <t>A 35228-2023</t>
        </is>
      </c>
      <c r="B649" s="1" t="n">
        <v>45145</v>
      </c>
      <c r="C649" s="1" t="n">
        <v>45347</v>
      </c>
      <c r="D649" t="inlineStr">
        <is>
          <t>DALARNAS LÄN</t>
        </is>
      </c>
      <c r="E649" t="inlineStr">
        <is>
          <t>LEKSAND</t>
        </is>
      </c>
      <c r="G649" t="n">
        <v>3.7</v>
      </c>
      <c r="H649" t="n">
        <v>0</v>
      </c>
      <c r="I649" t="n">
        <v>0</v>
      </c>
      <c r="J649" t="n">
        <v>0</v>
      </c>
      <c r="K649" t="n">
        <v>0</v>
      </c>
      <c r="L649" t="n">
        <v>0</v>
      </c>
      <c r="M649" t="n">
        <v>0</v>
      </c>
      <c r="N649" t="n">
        <v>0</v>
      </c>
      <c r="O649" t="n">
        <v>0</v>
      </c>
      <c r="P649" t="n">
        <v>0</v>
      </c>
      <c r="Q649" t="n">
        <v>0</v>
      </c>
      <c r="R649" s="2" t="inlineStr"/>
    </row>
    <row r="650" ht="15" customHeight="1">
      <c r="A650" t="inlineStr">
        <is>
          <t>A 35173-2023</t>
        </is>
      </c>
      <c r="B650" s="1" t="n">
        <v>45145</v>
      </c>
      <c r="C650" s="1" t="n">
        <v>45347</v>
      </c>
      <c r="D650" t="inlineStr">
        <is>
          <t>DALARNAS LÄN</t>
        </is>
      </c>
      <c r="E650" t="inlineStr">
        <is>
          <t>LEKSAND</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35189-2023</t>
        </is>
      </c>
      <c r="B651" s="1" t="n">
        <v>45145</v>
      </c>
      <c r="C651" s="1" t="n">
        <v>45347</v>
      </c>
      <c r="D651" t="inlineStr">
        <is>
          <t>DALARNAS LÄN</t>
        </is>
      </c>
      <c r="E651" t="inlineStr">
        <is>
          <t>LEKSAND</t>
        </is>
      </c>
      <c r="G651" t="n">
        <v>3.7</v>
      </c>
      <c r="H651" t="n">
        <v>0</v>
      </c>
      <c r="I651" t="n">
        <v>0</v>
      </c>
      <c r="J651" t="n">
        <v>0</v>
      </c>
      <c r="K651" t="n">
        <v>0</v>
      </c>
      <c r="L651" t="n">
        <v>0</v>
      </c>
      <c r="M651" t="n">
        <v>0</v>
      </c>
      <c r="N651" t="n">
        <v>0</v>
      </c>
      <c r="O651" t="n">
        <v>0</v>
      </c>
      <c r="P651" t="n">
        <v>0</v>
      </c>
      <c r="Q651" t="n">
        <v>0</v>
      </c>
      <c r="R651" s="2" t="inlineStr"/>
    </row>
    <row r="652" ht="15" customHeight="1">
      <c r="A652" t="inlineStr">
        <is>
          <t>A 36261-2023</t>
        </is>
      </c>
      <c r="B652" s="1" t="n">
        <v>45151</v>
      </c>
      <c r="C652" s="1" t="n">
        <v>45347</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36262-2023</t>
        </is>
      </c>
      <c r="B653" s="1" t="n">
        <v>45151</v>
      </c>
      <c r="C653" s="1" t="n">
        <v>45347</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36444-2023</t>
        </is>
      </c>
      <c r="B654" s="1" t="n">
        <v>45152</v>
      </c>
      <c r="C654" s="1" t="n">
        <v>45347</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36450-2023</t>
        </is>
      </c>
      <c r="B655" s="1" t="n">
        <v>45152</v>
      </c>
      <c r="C655" s="1" t="n">
        <v>45347</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36515-2023</t>
        </is>
      </c>
      <c r="B656" s="1" t="n">
        <v>45153</v>
      </c>
      <c r="C656" s="1" t="n">
        <v>45347</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45347</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37397-2023</t>
        </is>
      </c>
      <c r="B658" s="1" t="n">
        <v>45156</v>
      </c>
      <c r="C658" s="1" t="n">
        <v>45347</v>
      </c>
      <c r="D658" t="inlineStr">
        <is>
          <t>DALARNAS LÄN</t>
        </is>
      </c>
      <c r="E658" t="inlineStr">
        <is>
          <t>LEKSAND</t>
        </is>
      </c>
      <c r="F658" t="inlineStr">
        <is>
          <t>Kommuner</t>
        </is>
      </c>
      <c r="G658" t="n">
        <v>2.9</v>
      </c>
      <c r="H658" t="n">
        <v>0</v>
      </c>
      <c r="I658" t="n">
        <v>0</v>
      </c>
      <c r="J658" t="n">
        <v>0</v>
      </c>
      <c r="K658" t="n">
        <v>0</v>
      </c>
      <c r="L658" t="n">
        <v>0</v>
      </c>
      <c r="M658" t="n">
        <v>0</v>
      </c>
      <c r="N658" t="n">
        <v>0</v>
      </c>
      <c r="O658" t="n">
        <v>0</v>
      </c>
      <c r="P658" t="n">
        <v>0</v>
      </c>
      <c r="Q658" t="n">
        <v>0</v>
      </c>
      <c r="R658" s="2" t="inlineStr"/>
    </row>
    <row r="659" ht="15" customHeight="1">
      <c r="A659" t="inlineStr">
        <is>
          <t>A 37516-2023</t>
        </is>
      </c>
      <c r="B659" s="1" t="n">
        <v>45158</v>
      </c>
      <c r="C659" s="1" t="n">
        <v>45347</v>
      </c>
      <c r="D659" t="inlineStr">
        <is>
          <t>DALARNAS LÄN</t>
        </is>
      </c>
      <c r="E659" t="inlineStr">
        <is>
          <t>LEKSAND</t>
        </is>
      </c>
      <c r="G659" t="n">
        <v>2.5</v>
      </c>
      <c r="H659" t="n">
        <v>0</v>
      </c>
      <c r="I659" t="n">
        <v>0</v>
      </c>
      <c r="J659" t="n">
        <v>0</v>
      </c>
      <c r="K659" t="n">
        <v>0</v>
      </c>
      <c r="L659" t="n">
        <v>0</v>
      </c>
      <c r="M659" t="n">
        <v>0</v>
      </c>
      <c r="N659" t="n">
        <v>0</v>
      </c>
      <c r="O659" t="n">
        <v>0</v>
      </c>
      <c r="P659" t="n">
        <v>0</v>
      </c>
      <c r="Q659" t="n">
        <v>0</v>
      </c>
      <c r="R659" s="2" t="inlineStr"/>
    </row>
    <row r="660" ht="15" customHeight="1">
      <c r="A660" t="inlineStr">
        <is>
          <t>A 37832-2023</t>
        </is>
      </c>
      <c r="B660" s="1" t="n">
        <v>45160</v>
      </c>
      <c r="C660" s="1" t="n">
        <v>45347</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37919-2023</t>
        </is>
      </c>
      <c r="B661" s="1" t="n">
        <v>45160</v>
      </c>
      <c r="C661" s="1" t="n">
        <v>45347</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38058-2023</t>
        </is>
      </c>
      <c r="B662" s="1" t="n">
        <v>45160</v>
      </c>
      <c r="C662" s="1" t="n">
        <v>45347</v>
      </c>
      <c r="D662" t="inlineStr">
        <is>
          <t>DALARNAS LÄN</t>
        </is>
      </c>
      <c r="E662" t="inlineStr">
        <is>
          <t>LEKSAND</t>
        </is>
      </c>
      <c r="G662" t="n">
        <v>4.2</v>
      </c>
      <c r="H662" t="n">
        <v>0</v>
      </c>
      <c r="I662" t="n">
        <v>0</v>
      </c>
      <c r="J662" t="n">
        <v>0</v>
      </c>
      <c r="K662" t="n">
        <v>0</v>
      </c>
      <c r="L662" t="n">
        <v>0</v>
      </c>
      <c r="M662" t="n">
        <v>0</v>
      </c>
      <c r="N662" t="n">
        <v>0</v>
      </c>
      <c r="O662" t="n">
        <v>0</v>
      </c>
      <c r="P662" t="n">
        <v>0</v>
      </c>
      <c r="Q662" t="n">
        <v>0</v>
      </c>
      <c r="R662" s="2" t="inlineStr"/>
    </row>
    <row r="663" ht="15" customHeight="1">
      <c r="A663" t="inlineStr">
        <is>
          <t>A 38001-2023</t>
        </is>
      </c>
      <c r="B663" s="1" t="n">
        <v>45160</v>
      </c>
      <c r="C663" s="1" t="n">
        <v>45347</v>
      </c>
      <c r="D663" t="inlineStr">
        <is>
          <t>DALARNAS LÄN</t>
        </is>
      </c>
      <c r="E663" t="inlineStr">
        <is>
          <t>LEKSAND</t>
        </is>
      </c>
      <c r="G663" t="n">
        <v>3.6</v>
      </c>
      <c r="H663" t="n">
        <v>0</v>
      </c>
      <c r="I663" t="n">
        <v>0</v>
      </c>
      <c r="J663" t="n">
        <v>0</v>
      </c>
      <c r="K663" t="n">
        <v>0</v>
      </c>
      <c r="L663" t="n">
        <v>0</v>
      </c>
      <c r="M663" t="n">
        <v>0</v>
      </c>
      <c r="N663" t="n">
        <v>0</v>
      </c>
      <c r="O663" t="n">
        <v>0</v>
      </c>
      <c r="P663" t="n">
        <v>0</v>
      </c>
      <c r="Q663" t="n">
        <v>0</v>
      </c>
      <c r="R663" s="2" t="inlineStr"/>
    </row>
    <row r="664" ht="15" customHeight="1">
      <c r="A664" t="inlineStr">
        <is>
          <t>A 38145-2023</t>
        </is>
      </c>
      <c r="B664" s="1" t="n">
        <v>45160</v>
      </c>
      <c r="C664" s="1" t="n">
        <v>45347</v>
      </c>
      <c r="D664" t="inlineStr">
        <is>
          <t>DALARNAS LÄN</t>
        </is>
      </c>
      <c r="E664" t="inlineStr">
        <is>
          <t>LEKSAND</t>
        </is>
      </c>
      <c r="F664" t="inlineStr">
        <is>
          <t>Kommuner</t>
        </is>
      </c>
      <c r="G664" t="n">
        <v>0.8</v>
      </c>
      <c r="H664" t="n">
        <v>0</v>
      </c>
      <c r="I664" t="n">
        <v>0</v>
      </c>
      <c r="J664" t="n">
        <v>0</v>
      </c>
      <c r="K664" t="n">
        <v>0</v>
      </c>
      <c r="L664" t="n">
        <v>0</v>
      </c>
      <c r="M664" t="n">
        <v>0</v>
      </c>
      <c r="N664" t="n">
        <v>0</v>
      </c>
      <c r="O664" t="n">
        <v>0</v>
      </c>
      <c r="P664" t="n">
        <v>0</v>
      </c>
      <c r="Q664" t="n">
        <v>0</v>
      </c>
      <c r="R664" s="2" t="inlineStr"/>
    </row>
    <row r="665" ht="15" customHeight="1">
      <c r="A665" t="inlineStr">
        <is>
          <t>A 38273-2023</t>
        </is>
      </c>
      <c r="B665" s="1" t="n">
        <v>45161</v>
      </c>
      <c r="C665" s="1" t="n">
        <v>45347</v>
      </c>
      <c r="D665" t="inlineStr">
        <is>
          <t>DALARNAS LÄN</t>
        </is>
      </c>
      <c r="E665" t="inlineStr">
        <is>
          <t>LEKSAND</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38277-2023</t>
        </is>
      </c>
      <c r="B666" s="1" t="n">
        <v>45161</v>
      </c>
      <c r="C666" s="1" t="n">
        <v>45347</v>
      </c>
      <c r="D666" t="inlineStr">
        <is>
          <t>DALARNAS LÄN</t>
        </is>
      </c>
      <c r="E666" t="inlineStr">
        <is>
          <t>LEKSAND</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38117-2023</t>
        </is>
      </c>
      <c r="B667" s="1" t="n">
        <v>45161</v>
      </c>
      <c r="C667" s="1" t="n">
        <v>45347</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39136-2023</t>
        </is>
      </c>
      <c r="B668" s="1" t="n">
        <v>45165</v>
      </c>
      <c r="C668" s="1" t="n">
        <v>45347</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39387-2023</t>
        </is>
      </c>
      <c r="B669" s="1" t="n">
        <v>45166</v>
      </c>
      <c r="C669" s="1" t="n">
        <v>45347</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39332-2023</t>
        </is>
      </c>
      <c r="B670" s="1" t="n">
        <v>45166</v>
      </c>
      <c r="C670" s="1" t="n">
        <v>45347</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39354-2023</t>
        </is>
      </c>
      <c r="B671" s="1" t="n">
        <v>45166</v>
      </c>
      <c r="C671" s="1" t="n">
        <v>45347</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39595-2023</t>
        </is>
      </c>
      <c r="B672" s="1" t="n">
        <v>45167</v>
      </c>
      <c r="C672" s="1" t="n">
        <v>45347</v>
      </c>
      <c r="D672" t="inlineStr">
        <is>
          <t>DALARNAS LÄN</t>
        </is>
      </c>
      <c r="E672" t="inlineStr">
        <is>
          <t>LEKSAND</t>
        </is>
      </c>
      <c r="G672" t="n">
        <v>0.9</v>
      </c>
      <c r="H672" t="n">
        <v>0</v>
      </c>
      <c r="I672" t="n">
        <v>0</v>
      </c>
      <c r="J672" t="n">
        <v>0</v>
      </c>
      <c r="K672" t="n">
        <v>0</v>
      </c>
      <c r="L672" t="n">
        <v>0</v>
      </c>
      <c r="M672" t="n">
        <v>0</v>
      </c>
      <c r="N672" t="n">
        <v>0</v>
      </c>
      <c r="O672" t="n">
        <v>0</v>
      </c>
      <c r="P672" t="n">
        <v>0</v>
      </c>
      <c r="Q672" t="n">
        <v>0</v>
      </c>
      <c r="R672" s="2" t="inlineStr"/>
    </row>
    <row r="673" ht="15" customHeight="1">
      <c r="A673" t="inlineStr">
        <is>
          <t>A 39558-2023</t>
        </is>
      </c>
      <c r="B673" s="1" t="n">
        <v>45167</v>
      </c>
      <c r="C673" s="1" t="n">
        <v>45347</v>
      </c>
      <c r="D673" t="inlineStr">
        <is>
          <t>DALARNAS LÄN</t>
        </is>
      </c>
      <c r="E673" t="inlineStr">
        <is>
          <t>LEKSAND</t>
        </is>
      </c>
      <c r="G673" t="n">
        <v>39.9</v>
      </c>
      <c r="H673" t="n">
        <v>0</v>
      </c>
      <c r="I673" t="n">
        <v>0</v>
      </c>
      <c r="J673" t="n">
        <v>0</v>
      </c>
      <c r="K673" t="n">
        <v>0</v>
      </c>
      <c r="L673" t="n">
        <v>0</v>
      </c>
      <c r="M673" t="n">
        <v>0</v>
      </c>
      <c r="N673" t="n">
        <v>0</v>
      </c>
      <c r="O673" t="n">
        <v>0</v>
      </c>
      <c r="P673" t="n">
        <v>0</v>
      </c>
      <c r="Q673" t="n">
        <v>0</v>
      </c>
      <c r="R673" s="2" t="inlineStr"/>
    </row>
    <row r="674" ht="15" customHeight="1">
      <c r="A674" t="inlineStr">
        <is>
          <t>A 39577-2023</t>
        </is>
      </c>
      <c r="B674" s="1" t="n">
        <v>45167</v>
      </c>
      <c r="C674" s="1" t="n">
        <v>45347</v>
      </c>
      <c r="D674" t="inlineStr">
        <is>
          <t>DALARNAS LÄN</t>
        </is>
      </c>
      <c r="E674" t="inlineStr">
        <is>
          <t>LEKSAND</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39665-2023</t>
        </is>
      </c>
      <c r="B675" s="1" t="n">
        <v>45167</v>
      </c>
      <c r="C675" s="1" t="n">
        <v>45347</v>
      </c>
      <c r="D675" t="inlineStr">
        <is>
          <t>DALARNAS LÄN</t>
        </is>
      </c>
      <c r="E675" t="inlineStr">
        <is>
          <t>LEKSAND</t>
        </is>
      </c>
      <c r="F675" t="inlineStr">
        <is>
          <t>Bergvik skog väst AB</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40201-2023</t>
        </is>
      </c>
      <c r="B676" s="1" t="n">
        <v>45169</v>
      </c>
      <c r="C676" s="1" t="n">
        <v>45347</v>
      </c>
      <c r="D676" t="inlineStr">
        <is>
          <t>DALARNAS LÄN</t>
        </is>
      </c>
      <c r="E676" t="inlineStr">
        <is>
          <t>LEKSAND</t>
        </is>
      </c>
      <c r="G676" t="n">
        <v>3.2</v>
      </c>
      <c r="H676" t="n">
        <v>0</v>
      </c>
      <c r="I676" t="n">
        <v>0</v>
      </c>
      <c r="J676" t="n">
        <v>0</v>
      </c>
      <c r="K676" t="n">
        <v>0</v>
      </c>
      <c r="L676" t="n">
        <v>0</v>
      </c>
      <c r="M676" t="n">
        <v>0</v>
      </c>
      <c r="N676" t="n">
        <v>0</v>
      </c>
      <c r="O676" t="n">
        <v>0</v>
      </c>
      <c r="P676" t="n">
        <v>0</v>
      </c>
      <c r="Q676" t="n">
        <v>0</v>
      </c>
      <c r="R676" s="2" t="inlineStr"/>
    </row>
    <row r="677" ht="15" customHeight="1">
      <c r="A677" t="inlineStr">
        <is>
          <t>A 40181-2023</t>
        </is>
      </c>
      <c r="B677" s="1" t="n">
        <v>45169</v>
      </c>
      <c r="C677" s="1" t="n">
        <v>45347</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v>
      </c>
      <c r="C678" s="1" t="n">
        <v>45347</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40642-2023</t>
        </is>
      </c>
      <c r="B679" s="1" t="n">
        <v>45169</v>
      </c>
      <c r="C679" s="1" t="n">
        <v>45347</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40183-2023</t>
        </is>
      </c>
      <c r="B680" s="1" t="n">
        <v>45169</v>
      </c>
      <c r="C680" s="1" t="n">
        <v>45347</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40580-2023</t>
        </is>
      </c>
      <c r="B681" s="1" t="n">
        <v>45170</v>
      </c>
      <c r="C681" s="1" t="n">
        <v>45347</v>
      </c>
      <c r="D681" t="inlineStr">
        <is>
          <t>DALARNAS LÄN</t>
        </is>
      </c>
      <c r="E681" t="inlineStr">
        <is>
          <t>LEKSAND</t>
        </is>
      </c>
      <c r="F681" t="inlineStr">
        <is>
          <t>Bergvik skog väst AB</t>
        </is>
      </c>
      <c r="G681" t="n">
        <v>5.8</v>
      </c>
      <c r="H681" t="n">
        <v>0</v>
      </c>
      <c r="I681" t="n">
        <v>0</v>
      </c>
      <c r="J681" t="n">
        <v>0</v>
      </c>
      <c r="K681" t="n">
        <v>0</v>
      </c>
      <c r="L681" t="n">
        <v>0</v>
      </c>
      <c r="M681" t="n">
        <v>0</v>
      </c>
      <c r="N681" t="n">
        <v>0</v>
      </c>
      <c r="O681" t="n">
        <v>0</v>
      </c>
      <c r="P681" t="n">
        <v>0</v>
      </c>
      <c r="Q681" t="n">
        <v>0</v>
      </c>
      <c r="R681" s="2" t="inlineStr"/>
    </row>
    <row r="682" ht="15" customHeight="1">
      <c r="A682" t="inlineStr">
        <is>
          <t>A 40634-2023</t>
        </is>
      </c>
      <c r="B682" s="1" t="n">
        <v>45170</v>
      </c>
      <c r="C682" s="1" t="n">
        <v>45347</v>
      </c>
      <c r="D682" t="inlineStr">
        <is>
          <t>DALARNAS LÄN</t>
        </is>
      </c>
      <c r="E682" t="inlineStr">
        <is>
          <t>LEKSAND</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40640-2023</t>
        </is>
      </c>
      <c r="B683" s="1" t="n">
        <v>45170</v>
      </c>
      <c r="C683" s="1" t="n">
        <v>45347</v>
      </c>
      <c r="D683" t="inlineStr">
        <is>
          <t>DALARNAS LÄN</t>
        </is>
      </c>
      <c r="E683" t="inlineStr">
        <is>
          <t>LEKSAND</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40577-2023</t>
        </is>
      </c>
      <c r="B684" s="1" t="n">
        <v>45170</v>
      </c>
      <c r="C684" s="1" t="n">
        <v>45347</v>
      </c>
      <c r="D684" t="inlineStr">
        <is>
          <t>DALARNAS LÄN</t>
        </is>
      </c>
      <c r="E684" t="inlineStr">
        <is>
          <t>LEKSAND</t>
        </is>
      </c>
      <c r="F684" t="inlineStr">
        <is>
          <t>Bergvik skog väst AB</t>
        </is>
      </c>
      <c r="G684" t="n">
        <v>20.6</v>
      </c>
      <c r="H684" t="n">
        <v>0</v>
      </c>
      <c r="I684" t="n">
        <v>0</v>
      </c>
      <c r="J684" t="n">
        <v>0</v>
      </c>
      <c r="K684" t="n">
        <v>0</v>
      </c>
      <c r="L684" t="n">
        <v>0</v>
      </c>
      <c r="M684" t="n">
        <v>0</v>
      </c>
      <c r="N684" t="n">
        <v>0</v>
      </c>
      <c r="O684" t="n">
        <v>0</v>
      </c>
      <c r="P684" t="n">
        <v>0</v>
      </c>
      <c r="Q684" t="n">
        <v>0</v>
      </c>
      <c r="R684" s="2" t="inlineStr"/>
    </row>
    <row r="685" ht="15" customHeight="1">
      <c r="A685" t="inlineStr">
        <is>
          <t>A 40627-2023</t>
        </is>
      </c>
      <c r="B685" s="1" t="n">
        <v>45170</v>
      </c>
      <c r="C685" s="1" t="n">
        <v>45347</v>
      </c>
      <c r="D685" t="inlineStr">
        <is>
          <t>DALARNAS LÄN</t>
        </is>
      </c>
      <c r="E685" t="inlineStr">
        <is>
          <t>LEKSAND</t>
        </is>
      </c>
      <c r="F685" t="inlineStr">
        <is>
          <t>Bergvik skog väst AB</t>
        </is>
      </c>
      <c r="G685" t="n">
        <v>3.3</v>
      </c>
      <c r="H685" t="n">
        <v>0</v>
      </c>
      <c r="I685" t="n">
        <v>0</v>
      </c>
      <c r="J685" t="n">
        <v>0</v>
      </c>
      <c r="K685" t="n">
        <v>0</v>
      </c>
      <c r="L685" t="n">
        <v>0</v>
      </c>
      <c r="M685" t="n">
        <v>0</v>
      </c>
      <c r="N685" t="n">
        <v>0</v>
      </c>
      <c r="O685" t="n">
        <v>0</v>
      </c>
      <c r="P685" t="n">
        <v>0</v>
      </c>
      <c r="Q685" t="n">
        <v>0</v>
      </c>
      <c r="R685" s="2" t="inlineStr"/>
    </row>
    <row r="686" ht="15" customHeight="1">
      <c r="A686" t="inlineStr">
        <is>
          <t>A 41186-2023</t>
        </is>
      </c>
      <c r="B686" s="1" t="n">
        <v>45174</v>
      </c>
      <c r="C686" s="1" t="n">
        <v>45347</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41853-2023</t>
        </is>
      </c>
      <c r="B687" s="1" t="n">
        <v>45176</v>
      </c>
      <c r="C687" s="1" t="n">
        <v>45347</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42230-2023</t>
        </is>
      </c>
      <c r="B688" s="1" t="n">
        <v>45180</v>
      </c>
      <c r="C688" s="1" t="n">
        <v>45347</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42305-2023</t>
        </is>
      </c>
      <c r="B689" s="1" t="n">
        <v>45180</v>
      </c>
      <c r="C689" s="1" t="n">
        <v>45347</v>
      </c>
      <c r="D689" t="inlineStr">
        <is>
          <t>DALARNAS LÄN</t>
        </is>
      </c>
      <c r="E689" t="inlineStr">
        <is>
          <t>LEKSAND</t>
        </is>
      </c>
      <c r="G689" t="n">
        <v>6.9</v>
      </c>
      <c r="H689" t="n">
        <v>0</v>
      </c>
      <c r="I689" t="n">
        <v>0</v>
      </c>
      <c r="J689" t="n">
        <v>0</v>
      </c>
      <c r="K689" t="n">
        <v>0</v>
      </c>
      <c r="L689" t="n">
        <v>0</v>
      </c>
      <c r="M689" t="n">
        <v>0</v>
      </c>
      <c r="N689" t="n">
        <v>0</v>
      </c>
      <c r="O689" t="n">
        <v>0</v>
      </c>
      <c r="P689" t="n">
        <v>0</v>
      </c>
      <c r="Q689" t="n">
        <v>0</v>
      </c>
      <c r="R689" s="2" t="inlineStr"/>
    </row>
    <row r="690" ht="15" customHeight="1">
      <c r="A690" t="inlineStr">
        <is>
          <t>A 42290-2023</t>
        </is>
      </c>
      <c r="B690" s="1" t="n">
        <v>45180</v>
      </c>
      <c r="C690" s="1" t="n">
        <v>45347</v>
      </c>
      <c r="D690" t="inlineStr">
        <is>
          <t>DALARNAS LÄN</t>
        </is>
      </c>
      <c r="E690" t="inlineStr">
        <is>
          <t>LEKSAND</t>
        </is>
      </c>
      <c r="G690" t="n">
        <v>6.8</v>
      </c>
      <c r="H690" t="n">
        <v>0</v>
      </c>
      <c r="I690" t="n">
        <v>0</v>
      </c>
      <c r="J690" t="n">
        <v>0</v>
      </c>
      <c r="K690" t="n">
        <v>0</v>
      </c>
      <c r="L690" t="n">
        <v>0</v>
      </c>
      <c r="M690" t="n">
        <v>0</v>
      </c>
      <c r="N690" t="n">
        <v>0</v>
      </c>
      <c r="O690" t="n">
        <v>0</v>
      </c>
      <c r="P690" t="n">
        <v>0</v>
      </c>
      <c r="Q690" t="n">
        <v>0</v>
      </c>
      <c r="R690" s="2" t="inlineStr"/>
    </row>
    <row r="691" ht="15" customHeight="1">
      <c r="A691" t="inlineStr">
        <is>
          <t>A 42739-2023</t>
        </is>
      </c>
      <c r="B691" s="1" t="n">
        <v>45181</v>
      </c>
      <c r="C691" s="1" t="n">
        <v>45347</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42774-2023</t>
        </is>
      </c>
      <c r="B692" s="1" t="n">
        <v>45181</v>
      </c>
      <c r="C692" s="1" t="n">
        <v>45347</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42771-2023</t>
        </is>
      </c>
      <c r="B693" s="1" t="n">
        <v>45181</v>
      </c>
      <c r="C693" s="1" t="n">
        <v>45347</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44491-2023</t>
        </is>
      </c>
      <c r="B694" s="1" t="n">
        <v>45183</v>
      </c>
      <c r="C694" s="1" t="n">
        <v>45347</v>
      </c>
      <c r="D694" t="inlineStr">
        <is>
          <t>DALARNAS LÄN</t>
        </is>
      </c>
      <c r="E694" t="inlineStr">
        <is>
          <t>LEKSAND</t>
        </is>
      </c>
      <c r="G694" t="n">
        <v>2.6</v>
      </c>
      <c r="H694" t="n">
        <v>0</v>
      </c>
      <c r="I694" t="n">
        <v>0</v>
      </c>
      <c r="J694" t="n">
        <v>0</v>
      </c>
      <c r="K694" t="n">
        <v>0</v>
      </c>
      <c r="L694" t="n">
        <v>0</v>
      </c>
      <c r="M694" t="n">
        <v>0</v>
      </c>
      <c r="N694" t="n">
        <v>0</v>
      </c>
      <c r="O694" t="n">
        <v>0</v>
      </c>
      <c r="P694" t="n">
        <v>0</v>
      </c>
      <c r="Q694" t="n">
        <v>0</v>
      </c>
      <c r="R694" s="2" t="inlineStr"/>
    </row>
    <row r="695" ht="15" customHeight="1">
      <c r="A695" t="inlineStr">
        <is>
          <t>A 43436-2023</t>
        </is>
      </c>
      <c r="B695" s="1" t="n">
        <v>45184</v>
      </c>
      <c r="C695" s="1" t="n">
        <v>45347</v>
      </c>
      <c r="D695" t="inlineStr">
        <is>
          <t>DALARNAS LÄN</t>
        </is>
      </c>
      <c r="E695" t="inlineStr">
        <is>
          <t>LEKSAND</t>
        </is>
      </c>
      <c r="G695" t="n">
        <v>6</v>
      </c>
      <c r="H695" t="n">
        <v>0</v>
      </c>
      <c r="I695" t="n">
        <v>0</v>
      </c>
      <c r="J695" t="n">
        <v>0</v>
      </c>
      <c r="K695" t="n">
        <v>0</v>
      </c>
      <c r="L695" t="n">
        <v>0</v>
      </c>
      <c r="M695" t="n">
        <v>0</v>
      </c>
      <c r="N695" t="n">
        <v>0</v>
      </c>
      <c r="O695" t="n">
        <v>0</v>
      </c>
      <c r="P695" t="n">
        <v>0</v>
      </c>
      <c r="Q695" t="n">
        <v>0</v>
      </c>
      <c r="R695" s="2" t="inlineStr"/>
    </row>
    <row r="696" ht="15" customHeight="1">
      <c r="A696" t="inlineStr">
        <is>
          <t>A 43440-2023</t>
        </is>
      </c>
      <c r="B696" s="1" t="n">
        <v>45184</v>
      </c>
      <c r="C696" s="1" t="n">
        <v>45347</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43508-2023</t>
        </is>
      </c>
      <c r="B697" s="1" t="n">
        <v>45184</v>
      </c>
      <c r="C697" s="1" t="n">
        <v>45347</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43642-2023</t>
        </is>
      </c>
      <c r="B698" s="1" t="n">
        <v>45186</v>
      </c>
      <c r="C698" s="1" t="n">
        <v>45347</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43650-2023</t>
        </is>
      </c>
      <c r="B699" s="1" t="n">
        <v>45187</v>
      </c>
      <c r="C699" s="1" t="n">
        <v>45347</v>
      </c>
      <c r="D699" t="inlineStr">
        <is>
          <t>DALARNAS LÄN</t>
        </is>
      </c>
      <c r="E699" t="inlineStr">
        <is>
          <t>LEKSAND</t>
        </is>
      </c>
      <c r="G699" t="n">
        <v>4.5</v>
      </c>
      <c r="H699" t="n">
        <v>0</v>
      </c>
      <c r="I699" t="n">
        <v>0</v>
      </c>
      <c r="J699" t="n">
        <v>0</v>
      </c>
      <c r="K699" t="n">
        <v>0</v>
      </c>
      <c r="L699" t="n">
        <v>0</v>
      </c>
      <c r="M699" t="n">
        <v>0</v>
      </c>
      <c r="N699" t="n">
        <v>0</v>
      </c>
      <c r="O699" t="n">
        <v>0</v>
      </c>
      <c r="P699" t="n">
        <v>0</v>
      </c>
      <c r="Q699" t="n">
        <v>0</v>
      </c>
      <c r="R699" s="2" t="inlineStr"/>
    </row>
    <row r="700" ht="15" customHeight="1">
      <c r="A700" t="inlineStr">
        <is>
          <t>A 44712-2023</t>
        </is>
      </c>
      <c r="B700" s="1" t="n">
        <v>45190</v>
      </c>
      <c r="C700" s="1" t="n">
        <v>45347</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45254-2023</t>
        </is>
      </c>
      <c r="B701" s="1" t="n">
        <v>45191</v>
      </c>
      <c r="C701" s="1" t="n">
        <v>45347</v>
      </c>
      <c r="D701" t="inlineStr">
        <is>
          <t>DALARNAS LÄN</t>
        </is>
      </c>
      <c r="E701" t="inlineStr">
        <is>
          <t>LEKSAND</t>
        </is>
      </c>
      <c r="G701" t="n">
        <v>16.9</v>
      </c>
      <c r="H701" t="n">
        <v>0</v>
      </c>
      <c r="I701" t="n">
        <v>0</v>
      </c>
      <c r="J701" t="n">
        <v>0</v>
      </c>
      <c r="K701" t="n">
        <v>0</v>
      </c>
      <c r="L701" t="n">
        <v>0</v>
      </c>
      <c r="M701" t="n">
        <v>0</v>
      </c>
      <c r="N701" t="n">
        <v>0</v>
      </c>
      <c r="O701" t="n">
        <v>0</v>
      </c>
      <c r="P701" t="n">
        <v>0</v>
      </c>
      <c r="Q701" t="n">
        <v>0</v>
      </c>
      <c r="R701" s="2" t="inlineStr"/>
    </row>
    <row r="702" ht="15" customHeight="1">
      <c r="A702" t="inlineStr">
        <is>
          <t>A 45633-2023</t>
        </is>
      </c>
      <c r="B702" s="1" t="n">
        <v>45194</v>
      </c>
      <c r="C702" s="1" t="n">
        <v>45347</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45512-2023</t>
        </is>
      </c>
      <c r="B703" s="1" t="n">
        <v>45194</v>
      </c>
      <c r="C703" s="1" t="n">
        <v>45347</v>
      </c>
      <c r="D703" t="inlineStr">
        <is>
          <t>DALARNAS LÄN</t>
        </is>
      </c>
      <c r="E703" t="inlineStr">
        <is>
          <t>LEKSAND</t>
        </is>
      </c>
      <c r="F703" t="inlineStr">
        <is>
          <t>Bergvik skog väst AB</t>
        </is>
      </c>
      <c r="G703" t="n">
        <v>3.4</v>
      </c>
      <c r="H703" t="n">
        <v>0</v>
      </c>
      <c r="I703" t="n">
        <v>0</v>
      </c>
      <c r="J703" t="n">
        <v>0</v>
      </c>
      <c r="K703" t="n">
        <v>0</v>
      </c>
      <c r="L703" t="n">
        <v>0</v>
      </c>
      <c r="M703" t="n">
        <v>0</v>
      </c>
      <c r="N703" t="n">
        <v>0</v>
      </c>
      <c r="O703" t="n">
        <v>0</v>
      </c>
      <c r="P703" t="n">
        <v>0</v>
      </c>
      <c r="Q703" t="n">
        <v>0</v>
      </c>
      <c r="R703" s="2" t="inlineStr"/>
    </row>
    <row r="704" ht="15" customHeight="1">
      <c r="A704" t="inlineStr">
        <is>
          <t>A 45768-2023</t>
        </is>
      </c>
      <c r="B704" s="1" t="n">
        <v>45195</v>
      </c>
      <c r="C704" s="1" t="n">
        <v>45347</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45679-2023</t>
        </is>
      </c>
      <c r="B705" s="1" t="n">
        <v>45195</v>
      </c>
      <c r="C705" s="1" t="n">
        <v>45347</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45813-2023</t>
        </is>
      </c>
      <c r="B706" s="1" t="n">
        <v>45195</v>
      </c>
      <c r="C706" s="1" t="n">
        <v>45347</v>
      </c>
      <c r="D706" t="inlineStr">
        <is>
          <t>DALARNAS LÄN</t>
        </is>
      </c>
      <c r="E706" t="inlineStr">
        <is>
          <t>LEKSAND</t>
        </is>
      </c>
      <c r="G706" t="n">
        <v>3</v>
      </c>
      <c r="H706" t="n">
        <v>0</v>
      </c>
      <c r="I706" t="n">
        <v>0</v>
      </c>
      <c r="J706" t="n">
        <v>0</v>
      </c>
      <c r="K706" t="n">
        <v>0</v>
      </c>
      <c r="L706" t="n">
        <v>0</v>
      </c>
      <c r="M706" t="n">
        <v>0</v>
      </c>
      <c r="N706" t="n">
        <v>0</v>
      </c>
      <c r="O706" t="n">
        <v>0</v>
      </c>
      <c r="P706" t="n">
        <v>0</v>
      </c>
      <c r="Q706" t="n">
        <v>0</v>
      </c>
      <c r="R706" s="2" t="inlineStr"/>
    </row>
    <row r="707" ht="15" customHeight="1">
      <c r="A707" t="inlineStr">
        <is>
          <t>A 46163-2023</t>
        </is>
      </c>
      <c r="B707" s="1" t="n">
        <v>45196</v>
      </c>
      <c r="C707" s="1" t="n">
        <v>45347</v>
      </c>
      <c r="D707" t="inlineStr">
        <is>
          <t>DALARNAS LÄN</t>
        </is>
      </c>
      <c r="E707" t="inlineStr">
        <is>
          <t>LEKSAND</t>
        </is>
      </c>
      <c r="G707" t="n">
        <v>7.3</v>
      </c>
      <c r="H707" t="n">
        <v>0</v>
      </c>
      <c r="I707" t="n">
        <v>0</v>
      </c>
      <c r="J707" t="n">
        <v>0</v>
      </c>
      <c r="K707" t="n">
        <v>0</v>
      </c>
      <c r="L707" t="n">
        <v>0</v>
      </c>
      <c r="M707" t="n">
        <v>0</v>
      </c>
      <c r="N707" t="n">
        <v>0</v>
      </c>
      <c r="O707" t="n">
        <v>0</v>
      </c>
      <c r="P707" t="n">
        <v>0</v>
      </c>
      <c r="Q707" t="n">
        <v>0</v>
      </c>
      <c r="R707" s="2" t="inlineStr"/>
    </row>
    <row r="708" ht="15" customHeight="1">
      <c r="A708" t="inlineStr">
        <is>
          <t>A 46446-2023</t>
        </is>
      </c>
      <c r="B708" s="1" t="n">
        <v>45197</v>
      </c>
      <c r="C708" s="1" t="n">
        <v>45347</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46505-2023</t>
        </is>
      </c>
      <c r="B709" s="1" t="n">
        <v>45197</v>
      </c>
      <c r="C709" s="1" t="n">
        <v>45347</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46593-2023</t>
        </is>
      </c>
      <c r="B710" s="1" t="n">
        <v>45198</v>
      </c>
      <c r="C710" s="1" t="n">
        <v>45347</v>
      </c>
      <c r="D710" t="inlineStr">
        <is>
          <t>DALARNAS LÄN</t>
        </is>
      </c>
      <c r="E710" t="inlineStr">
        <is>
          <t>LEKSAND</t>
        </is>
      </c>
      <c r="G710" t="n">
        <v>3.5</v>
      </c>
      <c r="H710" t="n">
        <v>0</v>
      </c>
      <c r="I710" t="n">
        <v>0</v>
      </c>
      <c r="J710" t="n">
        <v>0</v>
      </c>
      <c r="K710" t="n">
        <v>0</v>
      </c>
      <c r="L710" t="n">
        <v>0</v>
      </c>
      <c r="M710" t="n">
        <v>0</v>
      </c>
      <c r="N710" t="n">
        <v>0</v>
      </c>
      <c r="O710" t="n">
        <v>0</v>
      </c>
      <c r="P710" t="n">
        <v>0</v>
      </c>
      <c r="Q710" t="n">
        <v>0</v>
      </c>
      <c r="R710" s="2" t="inlineStr"/>
    </row>
    <row r="711" ht="15" customHeight="1">
      <c r="A711" t="inlineStr">
        <is>
          <t>A 46669-2023</t>
        </is>
      </c>
      <c r="B711" s="1" t="n">
        <v>45198</v>
      </c>
      <c r="C711" s="1" t="n">
        <v>45347</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46594-2023</t>
        </is>
      </c>
      <c r="B712" s="1" t="n">
        <v>45198</v>
      </c>
      <c r="C712" s="1" t="n">
        <v>45347</v>
      </c>
      <c r="D712" t="inlineStr">
        <is>
          <t>DALARNAS LÄN</t>
        </is>
      </c>
      <c r="E712" t="inlineStr">
        <is>
          <t>LEKSAND</t>
        </is>
      </c>
      <c r="G712" t="n">
        <v>0.7</v>
      </c>
      <c r="H712" t="n">
        <v>0</v>
      </c>
      <c r="I712" t="n">
        <v>0</v>
      </c>
      <c r="J712" t="n">
        <v>0</v>
      </c>
      <c r="K712" t="n">
        <v>0</v>
      </c>
      <c r="L712" t="n">
        <v>0</v>
      </c>
      <c r="M712" t="n">
        <v>0</v>
      </c>
      <c r="N712" t="n">
        <v>0</v>
      </c>
      <c r="O712" t="n">
        <v>0</v>
      </c>
      <c r="P712" t="n">
        <v>0</v>
      </c>
      <c r="Q712" t="n">
        <v>0</v>
      </c>
      <c r="R712" s="2" t="inlineStr"/>
    </row>
    <row r="713" ht="15" customHeight="1">
      <c r="A713" t="inlineStr">
        <is>
          <t>A 46600-2023</t>
        </is>
      </c>
      <c r="B713" s="1" t="n">
        <v>45198</v>
      </c>
      <c r="C713" s="1" t="n">
        <v>45347</v>
      </c>
      <c r="D713" t="inlineStr">
        <is>
          <t>DALARNAS LÄN</t>
        </is>
      </c>
      <c r="E713" t="inlineStr">
        <is>
          <t>LEKSAND</t>
        </is>
      </c>
      <c r="G713" t="n">
        <v>2.6</v>
      </c>
      <c r="H713" t="n">
        <v>0</v>
      </c>
      <c r="I713" t="n">
        <v>0</v>
      </c>
      <c r="J713" t="n">
        <v>0</v>
      </c>
      <c r="K713" t="n">
        <v>0</v>
      </c>
      <c r="L713" t="n">
        <v>0</v>
      </c>
      <c r="M713" t="n">
        <v>0</v>
      </c>
      <c r="N713" t="n">
        <v>0</v>
      </c>
      <c r="O713" t="n">
        <v>0</v>
      </c>
      <c r="P713" t="n">
        <v>0</v>
      </c>
      <c r="Q713" t="n">
        <v>0</v>
      </c>
      <c r="R713" s="2" t="inlineStr"/>
    </row>
    <row r="714" ht="15" customHeight="1">
      <c r="A714" t="inlineStr">
        <is>
          <t>A 46665-2023</t>
        </is>
      </c>
      <c r="B714" s="1" t="n">
        <v>45198</v>
      </c>
      <c r="C714" s="1" t="n">
        <v>45347</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46635-2023</t>
        </is>
      </c>
      <c r="B715" s="1" t="n">
        <v>45198</v>
      </c>
      <c r="C715" s="1" t="n">
        <v>45347</v>
      </c>
      <c r="D715" t="inlineStr">
        <is>
          <t>DALARNAS LÄN</t>
        </is>
      </c>
      <c r="E715" t="inlineStr">
        <is>
          <t>LEKSAND</t>
        </is>
      </c>
      <c r="G715" t="n">
        <v>0.9</v>
      </c>
      <c r="H715" t="n">
        <v>0</v>
      </c>
      <c r="I715" t="n">
        <v>0</v>
      </c>
      <c r="J715" t="n">
        <v>0</v>
      </c>
      <c r="K715" t="n">
        <v>0</v>
      </c>
      <c r="L715" t="n">
        <v>0</v>
      </c>
      <c r="M715" t="n">
        <v>0</v>
      </c>
      <c r="N715" t="n">
        <v>0</v>
      </c>
      <c r="O715" t="n">
        <v>0</v>
      </c>
      <c r="P715" t="n">
        <v>0</v>
      </c>
      <c r="Q715" t="n">
        <v>0</v>
      </c>
      <c r="R715" s="2" t="inlineStr"/>
    </row>
    <row r="716" ht="15" customHeight="1">
      <c r="A716" t="inlineStr">
        <is>
          <t>A 46834-2023</t>
        </is>
      </c>
      <c r="B716" s="1" t="n">
        <v>45199</v>
      </c>
      <c r="C716" s="1" t="n">
        <v>45347</v>
      </c>
      <c r="D716" t="inlineStr">
        <is>
          <t>DALARNAS LÄN</t>
        </is>
      </c>
      <c r="E716" t="inlineStr">
        <is>
          <t>LEKSAND</t>
        </is>
      </c>
      <c r="G716" t="n">
        <v>16.3</v>
      </c>
      <c r="H716" t="n">
        <v>0</v>
      </c>
      <c r="I716" t="n">
        <v>0</v>
      </c>
      <c r="J716" t="n">
        <v>0</v>
      </c>
      <c r="K716" t="n">
        <v>0</v>
      </c>
      <c r="L716" t="n">
        <v>0</v>
      </c>
      <c r="M716" t="n">
        <v>0</v>
      </c>
      <c r="N716" t="n">
        <v>0</v>
      </c>
      <c r="O716" t="n">
        <v>0</v>
      </c>
      <c r="P716" t="n">
        <v>0</v>
      </c>
      <c r="Q716" t="n">
        <v>0</v>
      </c>
      <c r="R716" s="2" t="inlineStr"/>
    </row>
    <row r="717" ht="15" customHeight="1">
      <c r="A717" t="inlineStr">
        <is>
          <t>A 46876-2023</t>
        </is>
      </c>
      <c r="B717" s="1" t="n">
        <v>45200</v>
      </c>
      <c r="C717" s="1" t="n">
        <v>45347</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47039-2023</t>
        </is>
      </c>
      <c r="B718" s="1" t="n">
        <v>45201</v>
      </c>
      <c r="C718" s="1" t="n">
        <v>45347</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46931-2023</t>
        </is>
      </c>
      <c r="B719" s="1" t="n">
        <v>45201</v>
      </c>
      <c r="C719" s="1" t="n">
        <v>45347</v>
      </c>
      <c r="D719" t="inlineStr">
        <is>
          <t>DALARNAS LÄN</t>
        </is>
      </c>
      <c r="E719" t="inlineStr">
        <is>
          <t>LEKSAND</t>
        </is>
      </c>
      <c r="G719" t="n">
        <v>1.4</v>
      </c>
      <c r="H719" t="n">
        <v>0</v>
      </c>
      <c r="I719" t="n">
        <v>0</v>
      </c>
      <c r="J719" t="n">
        <v>0</v>
      </c>
      <c r="K719" t="n">
        <v>0</v>
      </c>
      <c r="L719" t="n">
        <v>0</v>
      </c>
      <c r="M719" t="n">
        <v>0</v>
      </c>
      <c r="N719" t="n">
        <v>0</v>
      </c>
      <c r="O719" t="n">
        <v>0</v>
      </c>
      <c r="P719" t="n">
        <v>0</v>
      </c>
      <c r="Q719" t="n">
        <v>0</v>
      </c>
      <c r="R719" s="2" t="inlineStr"/>
    </row>
    <row r="720" ht="15" customHeight="1">
      <c r="A720" t="inlineStr">
        <is>
          <t>A 47011-2023</t>
        </is>
      </c>
      <c r="B720" s="1" t="n">
        <v>45201</v>
      </c>
      <c r="C720" s="1" t="n">
        <v>45347</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47203-2023</t>
        </is>
      </c>
      <c r="B721" s="1" t="n">
        <v>45202</v>
      </c>
      <c r="C721" s="1" t="n">
        <v>45347</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row r="722" ht="15" customHeight="1">
      <c r="A722" t="inlineStr">
        <is>
          <t>A 47673-2023</t>
        </is>
      </c>
      <c r="B722" s="1" t="n">
        <v>45203</v>
      </c>
      <c r="C722" s="1" t="n">
        <v>45347</v>
      </c>
      <c r="D722" t="inlineStr">
        <is>
          <t>DALARNAS LÄN</t>
        </is>
      </c>
      <c r="E722" t="inlineStr">
        <is>
          <t>LEKSAND</t>
        </is>
      </c>
      <c r="G722" t="n">
        <v>2</v>
      </c>
      <c r="H722" t="n">
        <v>0</v>
      </c>
      <c r="I722" t="n">
        <v>0</v>
      </c>
      <c r="J722" t="n">
        <v>0</v>
      </c>
      <c r="K722" t="n">
        <v>0</v>
      </c>
      <c r="L722" t="n">
        <v>0</v>
      </c>
      <c r="M722" t="n">
        <v>0</v>
      </c>
      <c r="N722" t="n">
        <v>0</v>
      </c>
      <c r="O722" t="n">
        <v>0</v>
      </c>
      <c r="P722" t="n">
        <v>0</v>
      </c>
      <c r="Q722" t="n">
        <v>0</v>
      </c>
      <c r="R722" s="2" t="inlineStr"/>
    </row>
    <row r="723" ht="15" customHeight="1">
      <c r="A723" t="inlineStr">
        <is>
          <t>A 47655-2023</t>
        </is>
      </c>
      <c r="B723" s="1" t="n">
        <v>45203</v>
      </c>
      <c r="C723" s="1" t="n">
        <v>45347</v>
      </c>
      <c r="D723" t="inlineStr">
        <is>
          <t>DALARNAS LÄN</t>
        </is>
      </c>
      <c r="E723" t="inlineStr">
        <is>
          <t>LEKSAND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48714-2023</t>
        </is>
      </c>
      <c r="B724" s="1" t="n">
        <v>45203</v>
      </c>
      <c r="C724" s="1" t="n">
        <v>45347</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48721-2023</t>
        </is>
      </c>
      <c r="B725" s="1" t="n">
        <v>45203</v>
      </c>
      <c r="C725" s="1" t="n">
        <v>45347</v>
      </c>
      <c r="D725" t="inlineStr">
        <is>
          <t>DALARNAS LÄN</t>
        </is>
      </c>
      <c r="E725" t="inlineStr">
        <is>
          <t>LEKSAND</t>
        </is>
      </c>
      <c r="G725" t="n">
        <v>2.9</v>
      </c>
      <c r="H725" t="n">
        <v>0</v>
      </c>
      <c r="I725" t="n">
        <v>0</v>
      </c>
      <c r="J725" t="n">
        <v>0</v>
      </c>
      <c r="K725" t="n">
        <v>0</v>
      </c>
      <c r="L725" t="n">
        <v>0</v>
      </c>
      <c r="M725" t="n">
        <v>0</v>
      </c>
      <c r="N725" t="n">
        <v>0</v>
      </c>
      <c r="O725" t="n">
        <v>0</v>
      </c>
      <c r="P725" t="n">
        <v>0</v>
      </c>
      <c r="Q725" t="n">
        <v>0</v>
      </c>
      <c r="R725" s="2" t="inlineStr"/>
    </row>
    <row r="726" ht="15" customHeight="1">
      <c r="A726" t="inlineStr">
        <is>
          <t>A 48029-2023</t>
        </is>
      </c>
      <c r="B726" s="1" t="n">
        <v>45204</v>
      </c>
      <c r="C726" s="1" t="n">
        <v>45347</v>
      </c>
      <c r="D726" t="inlineStr">
        <is>
          <t>DALARNAS LÄN</t>
        </is>
      </c>
      <c r="E726" t="inlineStr">
        <is>
          <t>LEKSAND</t>
        </is>
      </c>
      <c r="G726" t="n">
        <v>2.1</v>
      </c>
      <c r="H726" t="n">
        <v>0</v>
      </c>
      <c r="I726" t="n">
        <v>0</v>
      </c>
      <c r="J726" t="n">
        <v>0</v>
      </c>
      <c r="K726" t="n">
        <v>0</v>
      </c>
      <c r="L726" t="n">
        <v>0</v>
      </c>
      <c r="M726" t="n">
        <v>0</v>
      </c>
      <c r="N726" t="n">
        <v>0</v>
      </c>
      <c r="O726" t="n">
        <v>0</v>
      </c>
      <c r="P726" t="n">
        <v>0</v>
      </c>
      <c r="Q726" t="n">
        <v>0</v>
      </c>
      <c r="R726" s="2" t="inlineStr"/>
    </row>
    <row r="727" ht="15" customHeight="1">
      <c r="A727" t="inlineStr">
        <is>
          <t>A 48644-2023</t>
        </is>
      </c>
      <c r="B727" s="1" t="n">
        <v>45208</v>
      </c>
      <c r="C727" s="1" t="n">
        <v>45347</v>
      </c>
      <c r="D727" t="inlineStr">
        <is>
          <t>DALARNAS LÄN</t>
        </is>
      </c>
      <c r="E727" t="inlineStr">
        <is>
          <t>LEKSAND</t>
        </is>
      </c>
      <c r="F727" t="inlineStr">
        <is>
          <t>Bergvik skog väst AB</t>
        </is>
      </c>
      <c r="G727" t="n">
        <v>1.3</v>
      </c>
      <c r="H727" t="n">
        <v>0</v>
      </c>
      <c r="I727" t="n">
        <v>0</v>
      </c>
      <c r="J727" t="n">
        <v>0</v>
      </c>
      <c r="K727" t="n">
        <v>0</v>
      </c>
      <c r="L727" t="n">
        <v>0</v>
      </c>
      <c r="M727" t="n">
        <v>0</v>
      </c>
      <c r="N727" t="n">
        <v>0</v>
      </c>
      <c r="O727" t="n">
        <v>0</v>
      </c>
      <c r="P727" t="n">
        <v>0</v>
      </c>
      <c r="Q727" t="n">
        <v>0</v>
      </c>
      <c r="R727" s="2" t="inlineStr"/>
    </row>
    <row r="728" ht="15" customHeight="1">
      <c r="A728" t="inlineStr">
        <is>
          <t>A 50374-2023</t>
        </is>
      </c>
      <c r="B728" s="1" t="n">
        <v>45209</v>
      </c>
      <c r="C728" s="1" t="n">
        <v>45347</v>
      </c>
      <c r="D728" t="inlineStr">
        <is>
          <t>DALARNAS LÄN</t>
        </is>
      </c>
      <c r="E728" t="inlineStr">
        <is>
          <t>LEKSAND</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50082-2023</t>
        </is>
      </c>
      <c r="B729" s="1" t="n">
        <v>45215</v>
      </c>
      <c r="C729" s="1" t="n">
        <v>45347</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50447-2023</t>
        </is>
      </c>
      <c r="B730" s="1" t="n">
        <v>45216</v>
      </c>
      <c r="C730" s="1" t="n">
        <v>45347</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50278-2023</t>
        </is>
      </c>
      <c r="B731" s="1" t="n">
        <v>45216</v>
      </c>
      <c r="C731" s="1" t="n">
        <v>45347</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50553-2023</t>
        </is>
      </c>
      <c r="B732" s="1" t="n">
        <v>45217</v>
      </c>
      <c r="C732" s="1" t="n">
        <v>45347</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51090-2023</t>
        </is>
      </c>
      <c r="B733" s="1" t="n">
        <v>45218</v>
      </c>
      <c r="C733" s="1" t="n">
        <v>45347</v>
      </c>
      <c r="D733" t="inlineStr">
        <is>
          <t>DALARNAS LÄN</t>
        </is>
      </c>
      <c r="E733" t="inlineStr">
        <is>
          <t>LEKSAND</t>
        </is>
      </c>
      <c r="G733" t="n">
        <v>1.4</v>
      </c>
      <c r="H733" t="n">
        <v>0</v>
      </c>
      <c r="I733" t="n">
        <v>0</v>
      </c>
      <c r="J733" t="n">
        <v>0</v>
      </c>
      <c r="K733" t="n">
        <v>0</v>
      </c>
      <c r="L733" t="n">
        <v>0</v>
      </c>
      <c r="M733" t="n">
        <v>0</v>
      </c>
      <c r="N733" t="n">
        <v>0</v>
      </c>
      <c r="O733" t="n">
        <v>0</v>
      </c>
      <c r="P733" t="n">
        <v>0</v>
      </c>
      <c r="Q733" t="n">
        <v>0</v>
      </c>
      <c r="R733" s="2" t="inlineStr"/>
    </row>
    <row r="734" ht="15" customHeight="1">
      <c r="A734" t="inlineStr">
        <is>
          <t>A 51377-2023</t>
        </is>
      </c>
      <c r="B734" s="1" t="n">
        <v>45219</v>
      </c>
      <c r="C734" s="1" t="n">
        <v>45347</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52801-2023</t>
        </is>
      </c>
      <c r="B735" s="1" t="n">
        <v>45219</v>
      </c>
      <c r="C735" s="1" t="n">
        <v>45347</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52216-2023</t>
        </is>
      </c>
      <c r="B736" s="1" t="n">
        <v>45219</v>
      </c>
      <c r="C736" s="1" t="n">
        <v>45347</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51320-2023</t>
        </is>
      </c>
      <c r="B737" s="1" t="n">
        <v>45219</v>
      </c>
      <c r="C737" s="1" t="n">
        <v>45347</v>
      </c>
      <c r="D737" t="inlineStr">
        <is>
          <t>DALARNAS LÄN</t>
        </is>
      </c>
      <c r="E737" t="inlineStr">
        <is>
          <t>LEKSAND</t>
        </is>
      </c>
      <c r="G737" t="n">
        <v>2.1</v>
      </c>
      <c r="H737" t="n">
        <v>0</v>
      </c>
      <c r="I737" t="n">
        <v>0</v>
      </c>
      <c r="J737" t="n">
        <v>0</v>
      </c>
      <c r="K737" t="n">
        <v>0</v>
      </c>
      <c r="L737" t="n">
        <v>0</v>
      </c>
      <c r="M737" t="n">
        <v>0</v>
      </c>
      <c r="N737" t="n">
        <v>0</v>
      </c>
      <c r="O737" t="n">
        <v>0</v>
      </c>
      <c r="P737" t="n">
        <v>0</v>
      </c>
      <c r="Q737" t="n">
        <v>0</v>
      </c>
      <c r="R737" s="2" t="inlineStr"/>
    </row>
    <row r="738" ht="15" customHeight="1">
      <c r="A738" t="inlineStr">
        <is>
          <t>A 51736-2023</t>
        </is>
      </c>
      <c r="B738" s="1" t="n">
        <v>45222</v>
      </c>
      <c r="C738" s="1" t="n">
        <v>45347</v>
      </c>
      <c r="D738" t="inlineStr">
        <is>
          <t>DALARNAS LÄN</t>
        </is>
      </c>
      <c r="E738" t="inlineStr">
        <is>
          <t>LEKSAND</t>
        </is>
      </c>
      <c r="G738" t="n">
        <v>2.8</v>
      </c>
      <c r="H738" t="n">
        <v>0</v>
      </c>
      <c r="I738" t="n">
        <v>0</v>
      </c>
      <c r="J738" t="n">
        <v>0</v>
      </c>
      <c r="K738" t="n">
        <v>0</v>
      </c>
      <c r="L738" t="n">
        <v>0</v>
      </c>
      <c r="M738" t="n">
        <v>0</v>
      </c>
      <c r="N738" t="n">
        <v>0</v>
      </c>
      <c r="O738" t="n">
        <v>0</v>
      </c>
      <c r="P738" t="n">
        <v>0</v>
      </c>
      <c r="Q738" t="n">
        <v>0</v>
      </c>
      <c r="R738" s="2" t="inlineStr"/>
    </row>
    <row r="739" ht="15" customHeight="1">
      <c r="A739" t="inlineStr">
        <is>
          <t>A 52959-2023</t>
        </is>
      </c>
      <c r="B739" s="1" t="n">
        <v>45222</v>
      </c>
      <c r="C739" s="1" t="n">
        <v>45347</v>
      </c>
      <c r="D739" t="inlineStr">
        <is>
          <t>DALARNAS LÄN</t>
        </is>
      </c>
      <c r="E739" t="inlineStr">
        <is>
          <t>LEKSAND</t>
        </is>
      </c>
      <c r="G739" t="n">
        <v>6.5</v>
      </c>
      <c r="H739" t="n">
        <v>0</v>
      </c>
      <c r="I739" t="n">
        <v>0</v>
      </c>
      <c r="J739" t="n">
        <v>0</v>
      </c>
      <c r="K739" t="n">
        <v>0</v>
      </c>
      <c r="L739" t="n">
        <v>0</v>
      </c>
      <c r="M739" t="n">
        <v>0</v>
      </c>
      <c r="N739" t="n">
        <v>0</v>
      </c>
      <c r="O739" t="n">
        <v>0</v>
      </c>
      <c r="P739" t="n">
        <v>0</v>
      </c>
      <c r="Q739" t="n">
        <v>0</v>
      </c>
      <c r="R739" s="2" t="inlineStr"/>
    </row>
    <row r="740" ht="15" customHeight="1">
      <c r="A740" t="inlineStr">
        <is>
          <t>A 52016-2023</t>
        </is>
      </c>
      <c r="B740" s="1" t="n">
        <v>45223</v>
      </c>
      <c r="C740" s="1" t="n">
        <v>45347</v>
      </c>
      <c r="D740" t="inlineStr">
        <is>
          <t>DALARNAS LÄN</t>
        </is>
      </c>
      <c r="E740" t="inlineStr">
        <is>
          <t>LEKSAND</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52732-2023</t>
        </is>
      </c>
      <c r="B741" s="1" t="n">
        <v>45226</v>
      </c>
      <c r="C741" s="1" t="n">
        <v>45347</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53120-2023</t>
        </is>
      </c>
      <c r="B742" s="1" t="n">
        <v>45228</v>
      </c>
      <c r="C742" s="1" t="n">
        <v>45347</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53122-2023</t>
        </is>
      </c>
      <c r="B743" s="1" t="n">
        <v>45228</v>
      </c>
      <c r="C743" s="1" t="n">
        <v>45347</v>
      </c>
      <c r="D743" t="inlineStr">
        <is>
          <t>DALARNAS LÄN</t>
        </is>
      </c>
      <c r="E743" t="inlineStr">
        <is>
          <t>LEKSAND</t>
        </is>
      </c>
      <c r="G743" t="n">
        <v>1.9</v>
      </c>
      <c r="H743" t="n">
        <v>0</v>
      </c>
      <c r="I743" t="n">
        <v>0</v>
      </c>
      <c r="J743" t="n">
        <v>0</v>
      </c>
      <c r="K743" t="n">
        <v>0</v>
      </c>
      <c r="L743" t="n">
        <v>0</v>
      </c>
      <c r="M743" t="n">
        <v>0</v>
      </c>
      <c r="N743" t="n">
        <v>0</v>
      </c>
      <c r="O743" t="n">
        <v>0</v>
      </c>
      <c r="P743" t="n">
        <v>0</v>
      </c>
      <c r="Q743" t="n">
        <v>0</v>
      </c>
      <c r="R743" s="2" t="inlineStr"/>
    </row>
    <row r="744" ht="15" customHeight="1">
      <c r="A744" t="inlineStr">
        <is>
          <t>A 53248-2023</t>
        </is>
      </c>
      <c r="B744" s="1" t="n">
        <v>45229</v>
      </c>
      <c r="C744" s="1" t="n">
        <v>45347</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53128-2023</t>
        </is>
      </c>
      <c r="B745" s="1" t="n">
        <v>45229</v>
      </c>
      <c r="C745" s="1" t="n">
        <v>45347</v>
      </c>
      <c r="D745" t="inlineStr">
        <is>
          <t>DALARNAS LÄN</t>
        </is>
      </c>
      <c r="E745" t="inlineStr">
        <is>
          <t>LEKSAND</t>
        </is>
      </c>
      <c r="G745" t="n">
        <v>3.6</v>
      </c>
      <c r="H745" t="n">
        <v>0</v>
      </c>
      <c r="I745" t="n">
        <v>0</v>
      </c>
      <c r="J745" t="n">
        <v>0</v>
      </c>
      <c r="K745" t="n">
        <v>0</v>
      </c>
      <c r="L745" t="n">
        <v>0</v>
      </c>
      <c r="M745" t="n">
        <v>0</v>
      </c>
      <c r="N745" t="n">
        <v>0</v>
      </c>
      <c r="O745" t="n">
        <v>0</v>
      </c>
      <c r="P745" t="n">
        <v>0</v>
      </c>
      <c r="Q745" t="n">
        <v>0</v>
      </c>
      <c r="R745" s="2" t="inlineStr"/>
    </row>
    <row r="746" ht="15" customHeight="1">
      <c r="A746" t="inlineStr">
        <is>
          <t>A 53291-2023</t>
        </is>
      </c>
      <c r="B746" s="1" t="n">
        <v>45229</v>
      </c>
      <c r="C746" s="1" t="n">
        <v>45347</v>
      </c>
      <c r="D746" t="inlineStr">
        <is>
          <t>DALARNAS LÄN</t>
        </is>
      </c>
      <c r="E746" t="inlineStr">
        <is>
          <t>LEKSAND</t>
        </is>
      </c>
      <c r="G746" t="n">
        <v>2.5</v>
      </c>
      <c r="H746" t="n">
        <v>0</v>
      </c>
      <c r="I746" t="n">
        <v>0</v>
      </c>
      <c r="J746" t="n">
        <v>0</v>
      </c>
      <c r="K746" t="n">
        <v>0</v>
      </c>
      <c r="L746" t="n">
        <v>0</v>
      </c>
      <c r="M746" t="n">
        <v>0</v>
      </c>
      <c r="N746" t="n">
        <v>0</v>
      </c>
      <c r="O746" t="n">
        <v>0</v>
      </c>
      <c r="P746" t="n">
        <v>0</v>
      </c>
      <c r="Q746" t="n">
        <v>0</v>
      </c>
      <c r="R746" s="2" t="inlineStr"/>
    </row>
    <row r="747" ht="15" customHeight="1">
      <c r="A747" t="inlineStr">
        <is>
          <t>A 53621-2023</t>
        </is>
      </c>
      <c r="B747" s="1" t="n">
        <v>45230</v>
      </c>
      <c r="C747" s="1" t="n">
        <v>45347</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53636-2023</t>
        </is>
      </c>
      <c r="B748" s="1" t="n">
        <v>45230</v>
      </c>
      <c r="C748" s="1" t="n">
        <v>45347</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row r="749" ht="15" customHeight="1">
      <c r="A749" t="inlineStr">
        <is>
          <t>A 53717-2023</t>
        </is>
      </c>
      <c r="B749" s="1" t="n">
        <v>45230</v>
      </c>
      <c r="C749" s="1" t="n">
        <v>45347</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55196-2023</t>
        </is>
      </c>
      <c r="B750" s="1" t="n">
        <v>45230</v>
      </c>
      <c r="C750" s="1" t="n">
        <v>45347</v>
      </c>
      <c r="D750" t="inlineStr">
        <is>
          <t>DALARNAS LÄN</t>
        </is>
      </c>
      <c r="E750" t="inlineStr">
        <is>
          <t>LEKSAND</t>
        </is>
      </c>
      <c r="G750" t="n">
        <v>5.7</v>
      </c>
      <c r="H750" t="n">
        <v>0</v>
      </c>
      <c r="I750" t="n">
        <v>0</v>
      </c>
      <c r="J750" t="n">
        <v>0</v>
      </c>
      <c r="K750" t="n">
        <v>0</v>
      </c>
      <c r="L750" t="n">
        <v>0</v>
      </c>
      <c r="M750" t="n">
        <v>0</v>
      </c>
      <c r="N750" t="n">
        <v>0</v>
      </c>
      <c r="O750" t="n">
        <v>0</v>
      </c>
      <c r="P750" t="n">
        <v>0</v>
      </c>
      <c r="Q750" t="n">
        <v>0</v>
      </c>
      <c r="R750" s="2" t="inlineStr"/>
    </row>
    <row r="751" ht="15" customHeight="1">
      <c r="A751" t="inlineStr">
        <is>
          <t>A 53799-2023</t>
        </is>
      </c>
      <c r="B751" s="1" t="n">
        <v>45231</v>
      </c>
      <c r="C751" s="1" t="n">
        <v>45347</v>
      </c>
      <c r="D751" t="inlineStr">
        <is>
          <t>DALARNAS LÄN</t>
        </is>
      </c>
      <c r="E751" t="inlineStr">
        <is>
          <t>LEKSAND</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53823-2023</t>
        </is>
      </c>
      <c r="B752" s="1" t="n">
        <v>45231</v>
      </c>
      <c r="C752" s="1" t="n">
        <v>45347</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53817-2023</t>
        </is>
      </c>
      <c r="B753" s="1" t="n">
        <v>45231</v>
      </c>
      <c r="C753" s="1" t="n">
        <v>45347</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54251-2023</t>
        </is>
      </c>
      <c r="B754" s="1" t="n">
        <v>45232</v>
      </c>
      <c r="C754" s="1" t="n">
        <v>45347</v>
      </c>
      <c r="D754" t="inlineStr">
        <is>
          <t>DALARNAS LÄN</t>
        </is>
      </c>
      <c r="E754" t="inlineStr">
        <is>
          <t>LEKSAND</t>
        </is>
      </c>
      <c r="F754" t="inlineStr">
        <is>
          <t>Övriga Aktiebolag</t>
        </is>
      </c>
      <c r="G754" t="n">
        <v>6.7</v>
      </c>
      <c r="H754" t="n">
        <v>0</v>
      </c>
      <c r="I754" t="n">
        <v>0</v>
      </c>
      <c r="J754" t="n">
        <v>0</v>
      </c>
      <c r="K754" t="n">
        <v>0</v>
      </c>
      <c r="L754" t="n">
        <v>0</v>
      </c>
      <c r="M754" t="n">
        <v>0</v>
      </c>
      <c r="N754" t="n">
        <v>0</v>
      </c>
      <c r="O754" t="n">
        <v>0</v>
      </c>
      <c r="P754" t="n">
        <v>0</v>
      </c>
      <c r="Q754" t="n">
        <v>0</v>
      </c>
      <c r="R754" s="2" t="inlineStr"/>
    </row>
    <row r="755" ht="15" customHeight="1">
      <c r="A755" t="inlineStr">
        <is>
          <t>A 54289-2023</t>
        </is>
      </c>
      <c r="B755" s="1" t="n">
        <v>45232</v>
      </c>
      <c r="C755" s="1" t="n">
        <v>45347</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54682-2023</t>
        </is>
      </c>
      <c r="B756" s="1" t="n">
        <v>45235</v>
      </c>
      <c r="C756" s="1" t="n">
        <v>45347</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54690-2023</t>
        </is>
      </c>
      <c r="B757" s="1" t="n">
        <v>45236</v>
      </c>
      <c r="C757" s="1" t="n">
        <v>45347</v>
      </c>
      <c r="D757" t="inlineStr">
        <is>
          <t>DALARNAS LÄN</t>
        </is>
      </c>
      <c r="E757" t="inlineStr">
        <is>
          <t>LEKSAND</t>
        </is>
      </c>
      <c r="G757" t="n">
        <v>2.5</v>
      </c>
      <c r="H757" t="n">
        <v>0</v>
      </c>
      <c r="I757" t="n">
        <v>0</v>
      </c>
      <c r="J757" t="n">
        <v>0</v>
      </c>
      <c r="K757" t="n">
        <v>0</v>
      </c>
      <c r="L757" t="n">
        <v>0</v>
      </c>
      <c r="M757" t="n">
        <v>0</v>
      </c>
      <c r="N757" t="n">
        <v>0</v>
      </c>
      <c r="O757" t="n">
        <v>0</v>
      </c>
      <c r="P757" t="n">
        <v>0</v>
      </c>
      <c r="Q757" t="n">
        <v>0</v>
      </c>
      <c r="R757" s="2" t="inlineStr"/>
    </row>
    <row r="758" ht="15" customHeight="1">
      <c r="A758" t="inlineStr">
        <is>
          <t>A 55418-2023</t>
        </is>
      </c>
      <c r="B758" s="1" t="n">
        <v>45238</v>
      </c>
      <c r="C758" s="1" t="n">
        <v>45347</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55438-2023</t>
        </is>
      </c>
      <c r="B759" s="1" t="n">
        <v>45238</v>
      </c>
      <c r="C759" s="1" t="n">
        <v>45347</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55464-2023</t>
        </is>
      </c>
      <c r="B760" s="1" t="n">
        <v>45238</v>
      </c>
      <c r="C760" s="1" t="n">
        <v>45347</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55430-2023</t>
        </is>
      </c>
      <c r="B761" s="1" t="n">
        <v>45238</v>
      </c>
      <c r="C761" s="1" t="n">
        <v>45347</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56221-2023</t>
        </is>
      </c>
      <c r="B762" s="1" t="n">
        <v>45240</v>
      </c>
      <c r="C762" s="1" t="n">
        <v>45347</v>
      </c>
      <c r="D762" t="inlineStr">
        <is>
          <t>DALARNAS LÄN</t>
        </is>
      </c>
      <c r="E762" t="inlineStr">
        <is>
          <t>LEKSAND</t>
        </is>
      </c>
      <c r="G762" t="n">
        <v>1.8</v>
      </c>
      <c r="H762" t="n">
        <v>0</v>
      </c>
      <c r="I762" t="n">
        <v>0</v>
      </c>
      <c r="J762" t="n">
        <v>0</v>
      </c>
      <c r="K762" t="n">
        <v>0</v>
      </c>
      <c r="L762" t="n">
        <v>0</v>
      </c>
      <c r="M762" t="n">
        <v>0</v>
      </c>
      <c r="N762" t="n">
        <v>0</v>
      </c>
      <c r="O762" t="n">
        <v>0</v>
      </c>
      <c r="P762" t="n">
        <v>0</v>
      </c>
      <c r="Q762" t="n">
        <v>0</v>
      </c>
      <c r="R762" s="2" t="inlineStr"/>
    </row>
    <row r="763" ht="15" customHeight="1">
      <c r="A763" t="inlineStr">
        <is>
          <t>A 56211-2023</t>
        </is>
      </c>
      <c r="B763" s="1" t="n">
        <v>45240</v>
      </c>
      <c r="C763" s="1" t="n">
        <v>45347</v>
      </c>
      <c r="D763" t="inlineStr">
        <is>
          <t>DALARNAS LÄN</t>
        </is>
      </c>
      <c r="E763" t="inlineStr">
        <is>
          <t>LEKSAND</t>
        </is>
      </c>
      <c r="G763" t="n">
        <v>1.5</v>
      </c>
      <c r="H763" t="n">
        <v>0</v>
      </c>
      <c r="I763" t="n">
        <v>0</v>
      </c>
      <c r="J763" t="n">
        <v>0</v>
      </c>
      <c r="K763" t="n">
        <v>0</v>
      </c>
      <c r="L763" t="n">
        <v>0</v>
      </c>
      <c r="M763" t="n">
        <v>0</v>
      </c>
      <c r="N763" t="n">
        <v>0</v>
      </c>
      <c r="O763" t="n">
        <v>0</v>
      </c>
      <c r="P763" t="n">
        <v>0</v>
      </c>
      <c r="Q763" t="n">
        <v>0</v>
      </c>
      <c r="R763" s="2" t="inlineStr"/>
    </row>
    <row r="764" ht="15" customHeight="1">
      <c r="A764" t="inlineStr">
        <is>
          <t>A 56099-2023</t>
        </is>
      </c>
      <c r="B764" s="1" t="n">
        <v>45240</v>
      </c>
      <c r="C764" s="1" t="n">
        <v>45347</v>
      </c>
      <c r="D764" t="inlineStr">
        <is>
          <t>DALARNAS LÄN</t>
        </is>
      </c>
      <c r="E764" t="inlineStr">
        <is>
          <t>LEKSAND</t>
        </is>
      </c>
      <c r="G764" t="n">
        <v>0.8</v>
      </c>
      <c r="H764" t="n">
        <v>0</v>
      </c>
      <c r="I764" t="n">
        <v>0</v>
      </c>
      <c r="J764" t="n">
        <v>0</v>
      </c>
      <c r="K764" t="n">
        <v>0</v>
      </c>
      <c r="L764" t="n">
        <v>0</v>
      </c>
      <c r="M764" t="n">
        <v>0</v>
      </c>
      <c r="N764" t="n">
        <v>0</v>
      </c>
      <c r="O764" t="n">
        <v>0</v>
      </c>
      <c r="P764" t="n">
        <v>0</v>
      </c>
      <c r="Q764" t="n">
        <v>0</v>
      </c>
      <c r="R764" s="2" t="inlineStr"/>
    </row>
    <row r="765" ht="15" customHeight="1">
      <c r="A765" t="inlineStr">
        <is>
          <t>A 56067-2023</t>
        </is>
      </c>
      <c r="B765" s="1" t="n">
        <v>45240</v>
      </c>
      <c r="C765" s="1" t="n">
        <v>45347</v>
      </c>
      <c r="D765" t="inlineStr">
        <is>
          <t>DALARNAS LÄN</t>
        </is>
      </c>
      <c r="E765" t="inlineStr">
        <is>
          <t>LEKSAND</t>
        </is>
      </c>
      <c r="G765" t="n">
        <v>1</v>
      </c>
      <c r="H765" t="n">
        <v>0</v>
      </c>
      <c r="I765" t="n">
        <v>0</v>
      </c>
      <c r="J765" t="n">
        <v>0</v>
      </c>
      <c r="K765" t="n">
        <v>0</v>
      </c>
      <c r="L765" t="n">
        <v>0</v>
      </c>
      <c r="M765" t="n">
        <v>0</v>
      </c>
      <c r="N765" t="n">
        <v>0</v>
      </c>
      <c r="O765" t="n">
        <v>0</v>
      </c>
      <c r="P765" t="n">
        <v>0</v>
      </c>
      <c r="Q765" t="n">
        <v>0</v>
      </c>
      <c r="R765" s="2" t="inlineStr"/>
    </row>
    <row r="766" ht="15" customHeight="1">
      <c r="A766" t="inlineStr">
        <is>
          <t>A 56065-2023</t>
        </is>
      </c>
      <c r="B766" s="1" t="n">
        <v>45240</v>
      </c>
      <c r="C766" s="1" t="n">
        <v>45347</v>
      </c>
      <c r="D766" t="inlineStr">
        <is>
          <t>DALARNAS LÄN</t>
        </is>
      </c>
      <c r="E766" t="inlineStr">
        <is>
          <t>LEKSAND</t>
        </is>
      </c>
      <c r="G766" t="n">
        <v>4</v>
      </c>
      <c r="H766" t="n">
        <v>0</v>
      </c>
      <c r="I766" t="n">
        <v>0</v>
      </c>
      <c r="J766" t="n">
        <v>0</v>
      </c>
      <c r="K766" t="n">
        <v>0</v>
      </c>
      <c r="L766" t="n">
        <v>0</v>
      </c>
      <c r="M766" t="n">
        <v>0</v>
      </c>
      <c r="N766" t="n">
        <v>0</v>
      </c>
      <c r="O766" t="n">
        <v>0</v>
      </c>
      <c r="P766" t="n">
        <v>0</v>
      </c>
      <c r="Q766" t="n">
        <v>0</v>
      </c>
      <c r="R766" s="2" t="inlineStr"/>
    </row>
    <row r="767" ht="15" customHeight="1">
      <c r="A767" t="inlineStr">
        <is>
          <t>A 56350-2023</t>
        </is>
      </c>
      <c r="B767" s="1" t="n">
        <v>45243</v>
      </c>
      <c r="C767" s="1" t="n">
        <v>45347</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56632-2023</t>
        </is>
      </c>
      <c r="B768" s="1" t="n">
        <v>45243</v>
      </c>
      <c r="C768" s="1" t="n">
        <v>45347</v>
      </c>
      <c r="D768" t="inlineStr">
        <is>
          <t>DALARNAS LÄN</t>
        </is>
      </c>
      <c r="E768" t="inlineStr">
        <is>
          <t>LEKSAND</t>
        </is>
      </c>
      <c r="G768" t="n">
        <v>1.2</v>
      </c>
      <c r="H768" t="n">
        <v>0</v>
      </c>
      <c r="I768" t="n">
        <v>0</v>
      </c>
      <c r="J768" t="n">
        <v>0</v>
      </c>
      <c r="K768" t="n">
        <v>0</v>
      </c>
      <c r="L768" t="n">
        <v>0</v>
      </c>
      <c r="M768" t="n">
        <v>0</v>
      </c>
      <c r="N768" t="n">
        <v>0</v>
      </c>
      <c r="O768" t="n">
        <v>0</v>
      </c>
      <c r="P768" t="n">
        <v>0</v>
      </c>
      <c r="Q768" t="n">
        <v>0</v>
      </c>
      <c r="R768" s="2" t="inlineStr"/>
    </row>
    <row r="769" ht="15" customHeight="1">
      <c r="A769" t="inlineStr">
        <is>
          <t>A 56753-2023</t>
        </is>
      </c>
      <c r="B769" s="1" t="n">
        <v>45244</v>
      </c>
      <c r="C769" s="1" t="n">
        <v>45347</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56810-2023</t>
        </is>
      </c>
      <c r="B770" s="1" t="n">
        <v>45244</v>
      </c>
      <c r="C770" s="1" t="n">
        <v>45347</v>
      </c>
      <c r="D770" t="inlineStr">
        <is>
          <t>DALARNAS LÄN</t>
        </is>
      </c>
      <c r="E770" t="inlineStr">
        <is>
          <t>LEKSAND</t>
        </is>
      </c>
      <c r="F770" t="inlineStr">
        <is>
          <t>Bergvik skog väst AB</t>
        </is>
      </c>
      <c r="G770" t="n">
        <v>1.4</v>
      </c>
      <c r="H770" t="n">
        <v>0</v>
      </c>
      <c r="I770" t="n">
        <v>0</v>
      </c>
      <c r="J770" t="n">
        <v>0</v>
      </c>
      <c r="K770" t="n">
        <v>0</v>
      </c>
      <c r="L770" t="n">
        <v>0</v>
      </c>
      <c r="M770" t="n">
        <v>0</v>
      </c>
      <c r="N770" t="n">
        <v>0</v>
      </c>
      <c r="O770" t="n">
        <v>0</v>
      </c>
      <c r="P770" t="n">
        <v>0</v>
      </c>
      <c r="Q770" t="n">
        <v>0</v>
      </c>
      <c r="R770" s="2" t="inlineStr"/>
    </row>
    <row r="771" ht="15" customHeight="1">
      <c r="A771" t="inlineStr">
        <is>
          <t>A 56812-2023</t>
        </is>
      </c>
      <c r="B771" s="1" t="n">
        <v>45244</v>
      </c>
      <c r="C771" s="1" t="n">
        <v>45347</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row r="772" ht="15" customHeight="1">
      <c r="A772" t="inlineStr">
        <is>
          <t>A 57013-2023</t>
        </is>
      </c>
      <c r="B772" s="1" t="n">
        <v>45244</v>
      </c>
      <c r="C772" s="1" t="n">
        <v>45347</v>
      </c>
      <c r="D772" t="inlineStr">
        <is>
          <t>DALARNAS LÄN</t>
        </is>
      </c>
      <c r="E772" t="inlineStr">
        <is>
          <t>LEKSAND</t>
        </is>
      </c>
      <c r="G772" t="n">
        <v>1</v>
      </c>
      <c r="H772" t="n">
        <v>0</v>
      </c>
      <c r="I772" t="n">
        <v>0</v>
      </c>
      <c r="J772" t="n">
        <v>0</v>
      </c>
      <c r="K772" t="n">
        <v>0</v>
      </c>
      <c r="L772" t="n">
        <v>0</v>
      </c>
      <c r="M772" t="n">
        <v>0</v>
      </c>
      <c r="N772" t="n">
        <v>0</v>
      </c>
      <c r="O772" t="n">
        <v>0</v>
      </c>
      <c r="P772" t="n">
        <v>0</v>
      </c>
      <c r="Q772" t="n">
        <v>0</v>
      </c>
      <c r="R772" s="2" t="inlineStr"/>
    </row>
    <row r="773" ht="15" customHeight="1">
      <c r="A773" t="inlineStr">
        <is>
          <t>A 57323-2023</t>
        </is>
      </c>
      <c r="B773" s="1" t="n">
        <v>45245</v>
      </c>
      <c r="C773" s="1" t="n">
        <v>45347</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57106-2023</t>
        </is>
      </c>
      <c r="B774" s="1" t="n">
        <v>45245</v>
      </c>
      <c r="C774" s="1" t="n">
        <v>45347</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57093-2023</t>
        </is>
      </c>
      <c r="B775" s="1" t="n">
        <v>45245</v>
      </c>
      <c r="C775" s="1" t="n">
        <v>45347</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57468-2023</t>
        </is>
      </c>
      <c r="B776" s="1" t="n">
        <v>45246</v>
      </c>
      <c r="C776" s="1" t="n">
        <v>45347</v>
      </c>
      <c r="D776" t="inlineStr">
        <is>
          <t>DALARNAS LÄN</t>
        </is>
      </c>
      <c r="E776" t="inlineStr">
        <is>
          <t>LEKSAND</t>
        </is>
      </c>
      <c r="G776" t="n">
        <v>4.6</v>
      </c>
      <c r="H776" t="n">
        <v>0</v>
      </c>
      <c r="I776" t="n">
        <v>0</v>
      </c>
      <c r="J776" t="n">
        <v>0</v>
      </c>
      <c r="K776" t="n">
        <v>0</v>
      </c>
      <c r="L776" t="n">
        <v>0</v>
      </c>
      <c r="M776" t="n">
        <v>0</v>
      </c>
      <c r="N776" t="n">
        <v>0</v>
      </c>
      <c r="O776" t="n">
        <v>0</v>
      </c>
      <c r="P776" t="n">
        <v>0</v>
      </c>
      <c r="Q776" t="n">
        <v>0</v>
      </c>
      <c r="R776" s="2" t="inlineStr"/>
    </row>
    <row r="777" ht="15" customHeight="1">
      <c r="A777" t="inlineStr">
        <is>
          <t>A 57635-2023</t>
        </is>
      </c>
      <c r="B777" s="1" t="n">
        <v>45246</v>
      </c>
      <c r="C777" s="1" t="n">
        <v>45347</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57681-2023</t>
        </is>
      </c>
      <c r="B778" s="1" t="n">
        <v>45246</v>
      </c>
      <c r="C778" s="1" t="n">
        <v>45347</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57665-2023</t>
        </is>
      </c>
      <c r="B779" s="1" t="n">
        <v>45246</v>
      </c>
      <c r="C779" s="1" t="n">
        <v>45347</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57812-2023</t>
        </is>
      </c>
      <c r="B780" s="1" t="n">
        <v>45247</v>
      </c>
      <c r="C780" s="1" t="n">
        <v>45347</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57852-2023</t>
        </is>
      </c>
      <c r="B781" s="1" t="n">
        <v>45247</v>
      </c>
      <c r="C781" s="1" t="n">
        <v>45347</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58405-2023</t>
        </is>
      </c>
      <c r="B782" s="1" t="n">
        <v>45250</v>
      </c>
      <c r="C782" s="1" t="n">
        <v>45347</v>
      </c>
      <c r="D782" t="inlineStr">
        <is>
          <t>DALARNAS LÄN</t>
        </is>
      </c>
      <c r="E782" t="inlineStr">
        <is>
          <t>LEKSAND</t>
        </is>
      </c>
      <c r="G782" t="n">
        <v>2.6</v>
      </c>
      <c r="H782" t="n">
        <v>0</v>
      </c>
      <c r="I782" t="n">
        <v>0</v>
      </c>
      <c r="J782" t="n">
        <v>0</v>
      </c>
      <c r="K782" t="n">
        <v>0</v>
      </c>
      <c r="L782" t="n">
        <v>0</v>
      </c>
      <c r="M782" t="n">
        <v>0</v>
      </c>
      <c r="N782" t="n">
        <v>0</v>
      </c>
      <c r="O782" t="n">
        <v>0</v>
      </c>
      <c r="P782" t="n">
        <v>0</v>
      </c>
      <c r="Q782" t="n">
        <v>0</v>
      </c>
      <c r="R782" s="2" t="inlineStr"/>
    </row>
    <row r="783" ht="15" customHeight="1">
      <c r="A783" t="inlineStr">
        <is>
          <t>A 58402-2023</t>
        </is>
      </c>
      <c r="B783" s="1" t="n">
        <v>45250</v>
      </c>
      <c r="C783" s="1" t="n">
        <v>45347</v>
      </c>
      <c r="D783" t="inlineStr">
        <is>
          <t>DALARNAS LÄN</t>
        </is>
      </c>
      <c r="E783" t="inlineStr">
        <is>
          <t>LEKSAND</t>
        </is>
      </c>
      <c r="G783" t="n">
        <v>4.5</v>
      </c>
      <c r="H783" t="n">
        <v>0</v>
      </c>
      <c r="I783" t="n">
        <v>0</v>
      </c>
      <c r="J783" t="n">
        <v>0</v>
      </c>
      <c r="K783" t="n">
        <v>0</v>
      </c>
      <c r="L783" t="n">
        <v>0</v>
      </c>
      <c r="M783" t="n">
        <v>0</v>
      </c>
      <c r="N783" t="n">
        <v>0</v>
      </c>
      <c r="O783" t="n">
        <v>0</v>
      </c>
      <c r="P783" t="n">
        <v>0</v>
      </c>
      <c r="Q783" t="n">
        <v>0</v>
      </c>
      <c r="R783" s="2" t="inlineStr"/>
    </row>
    <row r="784" ht="15" customHeight="1">
      <c r="A784" t="inlineStr">
        <is>
          <t>A 58495-2023</t>
        </is>
      </c>
      <c r="B784" s="1" t="n">
        <v>45251</v>
      </c>
      <c r="C784" s="1" t="n">
        <v>45347</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58730-2023</t>
        </is>
      </c>
      <c r="B785" s="1" t="n">
        <v>45251</v>
      </c>
      <c r="C785" s="1" t="n">
        <v>45347</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58877-2023</t>
        </is>
      </c>
      <c r="B786" s="1" t="n">
        <v>45252</v>
      </c>
      <c r="C786" s="1" t="n">
        <v>45347</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58950-2023</t>
        </is>
      </c>
      <c r="B787" s="1" t="n">
        <v>45252</v>
      </c>
      <c r="C787" s="1" t="n">
        <v>45347</v>
      </c>
      <c r="D787" t="inlineStr">
        <is>
          <t>DALARNAS LÄN</t>
        </is>
      </c>
      <c r="E787" t="inlineStr">
        <is>
          <t>LEKSAND</t>
        </is>
      </c>
      <c r="G787" t="n">
        <v>1.8</v>
      </c>
      <c r="H787" t="n">
        <v>0</v>
      </c>
      <c r="I787" t="n">
        <v>0</v>
      </c>
      <c r="J787" t="n">
        <v>0</v>
      </c>
      <c r="K787" t="n">
        <v>0</v>
      </c>
      <c r="L787" t="n">
        <v>0</v>
      </c>
      <c r="M787" t="n">
        <v>0</v>
      </c>
      <c r="N787" t="n">
        <v>0</v>
      </c>
      <c r="O787" t="n">
        <v>0</v>
      </c>
      <c r="P787" t="n">
        <v>0</v>
      </c>
      <c r="Q787" t="n">
        <v>0</v>
      </c>
      <c r="R787" s="2" t="inlineStr"/>
    </row>
    <row r="788" ht="15" customHeight="1">
      <c r="A788" t="inlineStr">
        <is>
          <t>A 58949-2023</t>
        </is>
      </c>
      <c r="B788" s="1" t="n">
        <v>45252</v>
      </c>
      <c r="C788" s="1" t="n">
        <v>45347</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59011-2023</t>
        </is>
      </c>
      <c r="B789" s="1" t="n">
        <v>45252</v>
      </c>
      <c r="C789" s="1" t="n">
        <v>45347</v>
      </c>
      <c r="D789" t="inlineStr">
        <is>
          <t>DALARNAS LÄN</t>
        </is>
      </c>
      <c r="E789" t="inlineStr">
        <is>
          <t>LEKSAND</t>
        </is>
      </c>
      <c r="G789" t="n">
        <v>3.7</v>
      </c>
      <c r="H789" t="n">
        <v>0</v>
      </c>
      <c r="I789" t="n">
        <v>0</v>
      </c>
      <c r="J789" t="n">
        <v>0</v>
      </c>
      <c r="K789" t="n">
        <v>0</v>
      </c>
      <c r="L789" t="n">
        <v>0</v>
      </c>
      <c r="M789" t="n">
        <v>0</v>
      </c>
      <c r="N789" t="n">
        <v>0</v>
      </c>
      <c r="O789" t="n">
        <v>0</v>
      </c>
      <c r="P789" t="n">
        <v>0</v>
      </c>
      <c r="Q789" t="n">
        <v>0</v>
      </c>
      <c r="R789" s="2" t="inlineStr"/>
    </row>
    <row r="790" ht="15" customHeight="1">
      <c r="A790" t="inlineStr">
        <is>
          <t>A 58853-2023</t>
        </is>
      </c>
      <c r="B790" s="1" t="n">
        <v>45252</v>
      </c>
      <c r="C790" s="1" t="n">
        <v>45347</v>
      </c>
      <c r="D790" t="inlineStr">
        <is>
          <t>DALARNAS LÄN</t>
        </is>
      </c>
      <c r="E790" t="inlineStr">
        <is>
          <t>LEKSAND</t>
        </is>
      </c>
      <c r="G790" t="n">
        <v>2.4</v>
      </c>
      <c r="H790" t="n">
        <v>0</v>
      </c>
      <c r="I790" t="n">
        <v>0</v>
      </c>
      <c r="J790" t="n">
        <v>0</v>
      </c>
      <c r="K790" t="n">
        <v>0</v>
      </c>
      <c r="L790" t="n">
        <v>0</v>
      </c>
      <c r="M790" t="n">
        <v>0</v>
      </c>
      <c r="N790" t="n">
        <v>0</v>
      </c>
      <c r="O790" t="n">
        <v>0</v>
      </c>
      <c r="P790" t="n">
        <v>0</v>
      </c>
      <c r="Q790" t="n">
        <v>0</v>
      </c>
      <c r="R790" s="2" t="inlineStr"/>
    </row>
    <row r="791" ht="15" customHeight="1">
      <c r="A791" t="inlineStr">
        <is>
          <t>A 58880-2023</t>
        </is>
      </c>
      <c r="B791" s="1" t="n">
        <v>45252</v>
      </c>
      <c r="C791" s="1" t="n">
        <v>45347</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59222-2023</t>
        </is>
      </c>
      <c r="B792" s="1" t="n">
        <v>45252</v>
      </c>
      <c r="C792" s="1" t="n">
        <v>45347</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59392-2023</t>
        </is>
      </c>
      <c r="B793" s="1" t="n">
        <v>45253</v>
      </c>
      <c r="C793" s="1" t="n">
        <v>45347</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59562-2023</t>
        </is>
      </c>
      <c r="B794" s="1" t="n">
        <v>45253</v>
      </c>
      <c r="C794" s="1" t="n">
        <v>45347</v>
      </c>
      <c r="D794" t="inlineStr">
        <is>
          <t>DALARNAS LÄN</t>
        </is>
      </c>
      <c r="E794" t="inlineStr">
        <is>
          <t>LEKSAND</t>
        </is>
      </c>
      <c r="G794" t="n">
        <v>2.1</v>
      </c>
      <c r="H794" t="n">
        <v>0</v>
      </c>
      <c r="I794" t="n">
        <v>0</v>
      </c>
      <c r="J794" t="n">
        <v>0</v>
      </c>
      <c r="K794" t="n">
        <v>0</v>
      </c>
      <c r="L794" t="n">
        <v>0</v>
      </c>
      <c r="M794" t="n">
        <v>0</v>
      </c>
      <c r="N794" t="n">
        <v>0</v>
      </c>
      <c r="O794" t="n">
        <v>0</v>
      </c>
      <c r="P794" t="n">
        <v>0</v>
      </c>
      <c r="Q794" t="n">
        <v>0</v>
      </c>
      <c r="R794" s="2" t="inlineStr"/>
    </row>
    <row r="795" ht="15" customHeight="1">
      <c r="A795" t="inlineStr">
        <is>
          <t>A 59809-2023</t>
        </is>
      </c>
      <c r="B795" s="1" t="n">
        <v>45254</v>
      </c>
      <c r="C795" s="1" t="n">
        <v>45347</v>
      </c>
      <c r="D795" t="inlineStr">
        <is>
          <t>DALARNAS LÄN</t>
        </is>
      </c>
      <c r="E795" t="inlineStr">
        <is>
          <t>LEKSAND</t>
        </is>
      </c>
      <c r="G795" t="n">
        <v>3.9</v>
      </c>
      <c r="H795" t="n">
        <v>0</v>
      </c>
      <c r="I795" t="n">
        <v>0</v>
      </c>
      <c r="J795" t="n">
        <v>0</v>
      </c>
      <c r="K795" t="n">
        <v>0</v>
      </c>
      <c r="L795" t="n">
        <v>0</v>
      </c>
      <c r="M795" t="n">
        <v>0</v>
      </c>
      <c r="N795" t="n">
        <v>0</v>
      </c>
      <c r="O795" t="n">
        <v>0</v>
      </c>
      <c r="P795" t="n">
        <v>0</v>
      </c>
      <c r="Q795" t="n">
        <v>0</v>
      </c>
      <c r="R795" s="2" t="inlineStr"/>
    </row>
    <row r="796" ht="15" customHeight="1">
      <c r="A796" t="inlineStr">
        <is>
          <t>A 59803-2023</t>
        </is>
      </c>
      <c r="B796" s="1" t="n">
        <v>45254</v>
      </c>
      <c r="C796" s="1" t="n">
        <v>45347</v>
      </c>
      <c r="D796" t="inlineStr">
        <is>
          <t>DALARNAS LÄN</t>
        </is>
      </c>
      <c r="E796" t="inlineStr">
        <is>
          <t>LEKSAND</t>
        </is>
      </c>
      <c r="G796" t="n">
        <v>1.3</v>
      </c>
      <c r="H796" t="n">
        <v>0</v>
      </c>
      <c r="I796" t="n">
        <v>0</v>
      </c>
      <c r="J796" t="n">
        <v>0</v>
      </c>
      <c r="K796" t="n">
        <v>0</v>
      </c>
      <c r="L796" t="n">
        <v>0</v>
      </c>
      <c r="M796" t="n">
        <v>0</v>
      </c>
      <c r="N796" t="n">
        <v>0</v>
      </c>
      <c r="O796" t="n">
        <v>0</v>
      </c>
      <c r="P796" t="n">
        <v>0</v>
      </c>
      <c r="Q796" t="n">
        <v>0</v>
      </c>
      <c r="R796" s="2" t="inlineStr"/>
    </row>
    <row r="797" ht="15" customHeight="1">
      <c r="A797" t="inlineStr">
        <is>
          <t>A 59826-2023</t>
        </is>
      </c>
      <c r="B797" s="1" t="n">
        <v>45254</v>
      </c>
      <c r="C797" s="1" t="n">
        <v>45347</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59673-2023</t>
        </is>
      </c>
      <c r="B798" s="1" t="n">
        <v>45255</v>
      </c>
      <c r="C798" s="1" t="n">
        <v>45347</v>
      </c>
      <c r="D798" t="inlineStr">
        <is>
          <t>DALARNAS LÄN</t>
        </is>
      </c>
      <c r="E798" t="inlineStr">
        <is>
          <t>LEKSAND</t>
        </is>
      </c>
      <c r="G798" t="n">
        <v>12.2</v>
      </c>
      <c r="H798" t="n">
        <v>0</v>
      </c>
      <c r="I798" t="n">
        <v>0</v>
      </c>
      <c r="J798" t="n">
        <v>0</v>
      </c>
      <c r="K798" t="n">
        <v>0</v>
      </c>
      <c r="L798" t="n">
        <v>0</v>
      </c>
      <c r="M798" t="n">
        <v>0</v>
      </c>
      <c r="N798" t="n">
        <v>0</v>
      </c>
      <c r="O798" t="n">
        <v>0</v>
      </c>
      <c r="P798" t="n">
        <v>0</v>
      </c>
      <c r="Q798" t="n">
        <v>0</v>
      </c>
      <c r="R798" s="2" t="inlineStr"/>
    </row>
    <row r="799" ht="15" customHeight="1">
      <c r="A799" t="inlineStr">
        <is>
          <t>A 60042-2023</t>
        </is>
      </c>
      <c r="B799" s="1" t="n">
        <v>45256</v>
      </c>
      <c r="C799" s="1" t="n">
        <v>45347</v>
      </c>
      <c r="D799" t="inlineStr">
        <is>
          <t>DALARNAS LÄN</t>
        </is>
      </c>
      <c r="E799" t="inlineStr">
        <is>
          <t>LEKSAND</t>
        </is>
      </c>
      <c r="G799" t="n">
        <v>2</v>
      </c>
      <c r="H799" t="n">
        <v>0</v>
      </c>
      <c r="I799" t="n">
        <v>0</v>
      </c>
      <c r="J799" t="n">
        <v>0</v>
      </c>
      <c r="K799" t="n">
        <v>0</v>
      </c>
      <c r="L799" t="n">
        <v>0</v>
      </c>
      <c r="M799" t="n">
        <v>0</v>
      </c>
      <c r="N799" t="n">
        <v>0</v>
      </c>
      <c r="O799" t="n">
        <v>0</v>
      </c>
      <c r="P799" t="n">
        <v>0</v>
      </c>
      <c r="Q799" t="n">
        <v>0</v>
      </c>
      <c r="R799" s="2" t="inlineStr"/>
    </row>
    <row r="800" ht="15" customHeight="1">
      <c r="A800" t="inlineStr">
        <is>
          <t>A 60040-2023</t>
        </is>
      </c>
      <c r="B800" s="1" t="n">
        <v>45256</v>
      </c>
      <c r="C800" s="1" t="n">
        <v>45347</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59718-2023</t>
        </is>
      </c>
      <c r="B801" s="1" t="n">
        <v>45257</v>
      </c>
      <c r="C801" s="1" t="n">
        <v>45347</v>
      </c>
      <c r="D801" t="inlineStr">
        <is>
          <t>DALARNAS LÄN</t>
        </is>
      </c>
      <c r="E801" t="inlineStr">
        <is>
          <t>LEKSAND</t>
        </is>
      </c>
      <c r="G801" t="n">
        <v>2.2</v>
      </c>
      <c r="H801" t="n">
        <v>0</v>
      </c>
      <c r="I801" t="n">
        <v>0</v>
      </c>
      <c r="J801" t="n">
        <v>0</v>
      </c>
      <c r="K801" t="n">
        <v>0</v>
      </c>
      <c r="L801" t="n">
        <v>0</v>
      </c>
      <c r="M801" t="n">
        <v>0</v>
      </c>
      <c r="N801" t="n">
        <v>0</v>
      </c>
      <c r="O801" t="n">
        <v>0</v>
      </c>
      <c r="P801" t="n">
        <v>0</v>
      </c>
      <c r="Q801" t="n">
        <v>0</v>
      </c>
      <c r="R801" s="2" t="inlineStr"/>
    </row>
    <row r="802" ht="15" customHeight="1">
      <c r="A802" t="inlineStr">
        <is>
          <t>A 59763-2023</t>
        </is>
      </c>
      <c r="B802" s="1" t="n">
        <v>45257</v>
      </c>
      <c r="C802" s="1" t="n">
        <v>45347</v>
      </c>
      <c r="D802" t="inlineStr">
        <is>
          <t>DALARNAS LÄN</t>
        </is>
      </c>
      <c r="E802" t="inlineStr">
        <is>
          <t>LEKSAND</t>
        </is>
      </c>
      <c r="G802" t="n">
        <v>1.6</v>
      </c>
      <c r="H802" t="n">
        <v>0</v>
      </c>
      <c r="I802" t="n">
        <v>0</v>
      </c>
      <c r="J802" t="n">
        <v>0</v>
      </c>
      <c r="K802" t="n">
        <v>0</v>
      </c>
      <c r="L802" t="n">
        <v>0</v>
      </c>
      <c r="M802" t="n">
        <v>0</v>
      </c>
      <c r="N802" t="n">
        <v>0</v>
      </c>
      <c r="O802" t="n">
        <v>0</v>
      </c>
      <c r="P802" t="n">
        <v>0</v>
      </c>
      <c r="Q802" t="n">
        <v>0</v>
      </c>
      <c r="R802" s="2" t="inlineStr"/>
    </row>
    <row r="803" ht="15" customHeight="1">
      <c r="A803" t="inlineStr">
        <is>
          <t>A 59859-2023</t>
        </is>
      </c>
      <c r="B803" s="1" t="n">
        <v>45257</v>
      </c>
      <c r="C803" s="1" t="n">
        <v>45347</v>
      </c>
      <c r="D803" t="inlineStr">
        <is>
          <t>DALARNAS LÄN</t>
        </is>
      </c>
      <c r="E803" t="inlineStr">
        <is>
          <t>LEKSAND</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60045-2023</t>
        </is>
      </c>
      <c r="B804" s="1" t="n">
        <v>45258</v>
      </c>
      <c r="C804" s="1" t="n">
        <v>45347</v>
      </c>
      <c r="D804" t="inlineStr">
        <is>
          <t>DALARNAS LÄN</t>
        </is>
      </c>
      <c r="E804" t="inlineStr">
        <is>
          <t>LEKSAND</t>
        </is>
      </c>
      <c r="G804" t="n">
        <v>0.7</v>
      </c>
      <c r="H804" t="n">
        <v>0</v>
      </c>
      <c r="I804" t="n">
        <v>0</v>
      </c>
      <c r="J804" t="n">
        <v>0</v>
      </c>
      <c r="K804" t="n">
        <v>0</v>
      </c>
      <c r="L804" t="n">
        <v>0</v>
      </c>
      <c r="M804" t="n">
        <v>0</v>
      </c>
      <c r="N804" t="n">
        <v>0</v>
      </c>
      <c r="O804" t="n">
        <v>0</v>
      </c>
      <c r="P804" t="n">
        <v>0</v>
      </c>
      <c r="Q804" t="n">
        <v>0</v>
      </c>
      <c r="R804" s="2" t="inlineStr"/>
    </row>
    <row r="805" ht="15" customHeight="1">
      <c r="A805" t="inlineStr">
        <is>
          <t>A 60129-2023</t>
        </is>
      </c>
      <c r="B805" s="1" t="n">
        <v>45258</v>
      </c>
      <c r="C805" s="1" t="n">
        <v>45347</v>
      </c>
      <c r="D805" t="inlineStr">
        <is>
          <t>DALARNAS LÄN</t>
        </is>
      </c>
      <c r="E805" t="inlineStr">
        <is>
          <t>LEKSAND</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60189-2023</t>
        </is>
      </c>
      <c r="B806" s="1" t="n">
        <v>45258</v>
      </c>
      <c r="C806" s="1" t="n">
        <v>45347</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60132-2023</t>
        </is>
      </c>
      <c r="B807" s="1" t="n">
        <v>45258</v>
      </c>
      <c r="C807" s="1" t="n">
        <v>45347</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60024-2023</t>
        </is>
      </c>
      <c r="B808" s="1" t="n">
        <v>45258</v>
      </c>
      <c r="C808" s="1" t="n">
        <v>45347</v>
      </c>
      <c r="D808" t="inlineStr">
        <is>
          <t>DALARNAS LÄN</t>
        </is>
      </c>
      <c r="E808" t="inlineStr">
        <is>
          <t>LEKSAND</t>
        </is>
      </c>
      <c r="G808" t="n">
        <v>4.2</v>
      </c>
      <c r="H808" t="n">
        <v>0</v>
      </c>
      <c r="I808" t="n">
        <v>0</v>
      </c>
      <c r="J808" t="n">
        <v>0</v>
      </c>
      <c r="K808" t="n">
        <v>0</v>
      </c>
      <c r="L808" t="n">
        <v>0</v>
      </c>
      <c r="M808" t="n">
        <v>0</v>
      </c>
      <c r="N808" t="n">
        <v>0</v>
      </c>
      <c r="O808" t="n">
        <v>0</v>
      </c>
      <c r="P808" t="n">
        <v>0</v>
      </c>
      <c r="Q808" t="n">
        <v>0</v>
      </c>
      <c r="R808" s="2" t="inlineStr"/>
    </row>
    <row r="809" ht="15" customHeight="1">
      <c r="A809" t="inlineStr">
        <is>
          <t>A 60028-2023</t>
        </is>
      </c>
      <c r="B809" s="1" t="n">
        <v>45258</v>
      </c>
      <c r="C809" s="1" t="n">
        <v>45347</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60044-2023</t>
        </is>
      </c>
      <c r="B810" s="1" t="n">
        <v>45258</v>
      </c>
      <c r="C810" s="1" t="n">
        <v>45347</v>
      </c>
      <c r="D810" t="inlineStr">
        <is>
          <t>DALARNAS LÄN</t>
        </is>
      </c>
      <c r="E810" t="inlineStr">
        <is>
          <t>LEKSAND</t>
        </is>
      </c>
      <c r="F810" t="inlineStr">
        <is>
          <t>Bergvik skog väst AB</t>
        </is>
      </c>
      <c r="G810" t="n">
        <v>4.8</v>
      </c>
      <c r="H810" t="n">
        <v>0</v>
      </c>
      <c r="I810" t="n">
        <v>0</v>
      </c>
      <c r="J810" t="n">
        <v>0</v>
      </c>
      <c r="K810" t="n">
        <v>0</v>
      </c>
      <c r="L810" t="n">
        <v>0</v>
      </c>
      <c r="M810" t="n">
        <v>0</v>
      </c>
      <c r="N810" t="n">
        <v>0</v>
      </c>
      <c r="O810" t="n">
        <v>0</v>
      </c>
      <c r="P810" t="n">
        <v>0</v>
      </c>
      <c r="Q810" t="n">
        <v>0</v>
      </c>
      <c r="R810" s="2" t="inlineStr"/>
    </row>
    <row r="811" ht="15" customHeight="1">
      <c r="A811" t="inlineStr">
        <is>
          <t>A 60080-2023</t>
        </is>
      </c>
      <c r="B811" s="1" t="n">
        <v>45258</v>
      </c>
      <c r="C811" s="1" t="n">
        <v>45347</v>
      </c>
      <c r="D811" t="inlineStr">
        <is>
          <t>DALARNAS LÄN</t>
        </is>
      </c>
      <c r="E811" t="inlineStr">
        <is>
          <t>LEKSAND</t>
        </is>
      </c>
      <c r="G811" t="n">
        <v>2.7</v>
      </c>
      <c r="H811" t="n">
        <v>0</v>
      </c>
      <c r="I811" t="n">
        <v>0</v>
      </c>
      <c r="J811" t="n">
        <v>0</v>
      </c>
      <c r="K811" t="n">
        <v>0</v>
      </c>
      <c r="L811" t="n">
        <v>0</v>
      </c>
      <c r="M811" t="n">
        <v>0</v>
      </c>
      <c r="N811" t="n">
        <v>0</v>
      </c>
      <c r="O811" t="n">
        <v>0</v>
      </c>
      <c r="P811" t="n">
        <v>0</v>
      </c>
      <c r="Q811" t="n">
        <v>0</v>
      </c>
      <c r="R811" s="2" t="inlineStr"/>
    </row>
    <row r="812" ht="15" customHeight="1">
      <c r="A812" t="inlineStr">
        <is>
          <t>A 60120-2023</t>
        </is>
      </c>
      <c r="B812" s="1" t="n">
        <v>45258</v>
      </c>
      <c r="C812" s="1" t="n">
        <v>45347</v>
      </c>
      <c r="D812" t="inlineStr">
        <is>
          <t>DALARNAS LÄN</t>
        </is>
      </c>
      <c r="E812" t="inlineStr">
        <is>
          <t>LEKSAND</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60310-2023</t>
        </is>
      </c>
      <c r="B813" s="1" t="n">
        <v>45258</v>
      </c>
      <c r="C813" s="1" t="n">
        <v>45347</v>
      </c>
      <c r="D813" t="inlineStr">
        <is>
          <t>DALARNAS LÄN</t>
        </is>
      </c>
      <c r="E813" t="inlineStr">
        <is>
          <t>LEKSAND</t>
        </is>
      </c>
      <c r="G813" t="n">
        <v>4.9</v>
      </c>
      <c r="H813" t="n">
        <v>0</v>
      </c>
      <c r="I813" t="n">
        <v>0</v>
      </c>
      <c r="J813" t="n">
        <v>0</v>
      </c>
      <c r="K813" t="n">
        <v>0</v>
      </c>
      <c r="L813" t="n">
        <v>0</v>
      </c>
      <c r="M813" t="n">
        <v>0</v>
      </c>
      <c r="N813" t="n">
        <v>0</v>
      </c>
      <c r="O813" t="n">
        <v>0</v>
      </c>
      <c r="P813" t="n">
        <v>0</v>
      </c>
      <c r="Q813" t="n">
        <v>0</v>
      </c>
      <c r="R813" s="2" t="inlineStr"/>
    </row>
    <row r="814" ht="15" customHeight="1">
      <c r="A814" t="inlineStr">
        <is>
          <t>A 60309-2023</t>
        </is>
      </c>
      <c r="B814" s="1" t="n">
        <v>45258</v>
      </c>
      <c r="C814" s="1" t="n">
        <v>45347</v>
      </c>
      <c r="D814" t="inlineStr">
        <is>
          <t>DALARNAS LÄN</t>
        </is>
      </c>
      <c r="E814" t="inlineStr">
        <is>
          <t>LEKSAND</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60315-2023</t>
        </is>
      </c>
      <c r="B815" s="1" t="n">
        <v>45258</v>
      </c>
      <c r="C815" s="1" t="n">
        <v>45347</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60878-2023</t>
        </is>
      </c>
      <c r="B816" s="1" t="n">
        <v>45259</v>
      </c>
      <c r="C816" s="1" t="n">
        <v>45347</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60546-2023</t>
        </is>
      </c>
      <c r="B817" s="1" t="n">
        <v>45259</v>
      </c>
      <c r="C817" s="1" t="n">
        <v>45347</v>
      </c>
      <c r="D817" t="inlineStr">
        <is>
          <t>DALARNAS LÄN</t>
        </is>
      </c>
      <c r="E817" t="inlineStr">
        <is>
          <t>LEKSAND</t>
        </is>
      </c>
      <c r="G817" t="n">
        <v>6.6</v>
      </c>
      <c r="H817" t="n">
        <v>0</v>
      </c>
      <c r="I817" t="n">
        <v>0</v>
      </c>
      <c r="J817" t="n">
        <v>0</v>
      </c>
      <c r="K817" t="n">
        <v>0</v>
      </c>
      <c r="L817" t="n">
        <v>0</v>
      </c>
      <c r="M817" t="n">
        <v>0</v>
      </c>
      <c r="N817" t="n">
        <v>0</v>
      </c>
      <c r="O817" t="n">
        <v>0</v>
      </c>
      <c r="P817" t="n">
        <v>0</v>
      </c>
      <c r="Q817" t="n">
        <v>0</v>
      </c>
      <c r="R817" s="2" t="inlineStr"/>
    </row>
    <row r="818" ht="15" customHeight="1">
      <c r="A818" t="inlineStr">
        <is>
          <t>A 61208-2023</t>
        </is>
      </c>
      <c r="B818" s="1" t="n">
        <v>45260</v>
      </c>
      <c r="C818" s="1" t="n">
        <v>45347</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60755-2023</t>
        </is>
      </c>
      <c r="B819" s="1" t="n">
        <v>45260</v>
      </c>
      <c r="C819" s="1" t="n">
        <v>45347</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61244-2023</t>
        </is>
      </c>
      <c r="B820" s="1" t="n">
        <v>45260</v>
      </c>
      <c r="C820" s="1" t="n">
        <v>45347</v>
      </c>
      <c r="D820" t="inlineStr">
        <is>
          <t>DALARNAS LÄN</t>
        </is>
      </c>
      <c r="E820" t="inlineStr">
        <is>
          <t>LEKSAND</t>
        </is>
      </c>
      <c r="G820" t="n">
        <v>1.4</v>
      </c>
      <c r="H820" t="n">
        <v>0</v>
      </c>
      <c r="I820" t="n">
        <v>0</v>
      </c>
      <c r="J820" t="n">
        <v>0</v>
      </c>
      <c r="K820" t="n">
        <v>0</v>
      </c>
      <c r="L820" t="n">
        <v>0</v>
      </c>
      <c r="M820" t="n">
        <v>0</v>
      </c>
      <c r="N820" t="n">
        <v>0</v>
      </c>
      <c r="O820" t="n">
        <v>0</v>
      </c>
      <c r="P820" t="n">
        <v>0</v>
      </c>
      <c r="Q820" t="n">
        <v>0</v>
      </c>
      <c r="R820" s="2" t="inlineStr"/>
    </row>
    <row r="821" ht="15" customHeight="1">
      <c r="A821" t="inlineStr">
        <is>
          <t>A 60692-2023</t>
        </is>
      </c>
      <c r="B821" s="1" t="n">
        <v>45260</v>
      </c>
      <c r="C821" s="1" t="n">
        <v>45347</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61055-2023</t>
        </is>
      </c>
      <c r="B822" s="1" t="n">
        <v>45261</v>
      </c>
      <c r="C822" s="1" t="n">
        <v>45347</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61054-2023</t>
        </is>
      </c>
      <c r="B823" s="1" t="n">
        <v>45261</v>
      </c>
      <c r="C823" s="1" t="n">
        <v>45347</v>
      </c>
      <c r="D823" t="inlineStr">
        <is>
          <t>DALARNAS LÄN</t>
        </is>
      </c>
      <c r="E823" t="inlineStr">
        <is>
          <t>LEKSAND</t>
        </is>
      </c>
      <c r="G823" t="n">
        <v>0.4</v>
      </c>
      <c r="H823" t="n">
        <v>0</v>
      </c>
      <c r="I823" t="n">
        <v>0</v>
      </c>
      <c r="J823" t="n">
        <v>0</v>
      </c>
      <c r="K823" t="n">
        <v>0</v>
      </c>
      <c r="L823" t="n">
        <v>0</v>
      </c>
      <c r="M823" t="n">
        <v>0</v>
      </c>
      <c r="N823" t="n">
        <v>0</v>
      </c>
      <c r="O823" t="n">
        <v>0</v>
      </c>
      <c r="P823" t="n">
        <v>0</v>
      </c>
      <c r="Q823" t="n">
        <v>0</v>
      </c>
      <c r="R823" s="2" t="inlineStr"/>
    </row>
    <row r="824" ht="15" customHeight="1">
      <c r="A824" t="inlineStr">
        <is>
          <t>A 61627-2023</t>
        </is>
      </c>
      <c r="B824" s="1" t="n">
        <v>45261</v>
      </c>
      <c r="C824" s="1" t="n">
        <v>45347</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61614-2023</t>
        </is>
      </c>
      <c r="B825" s="1" t="n">
        <v>45261</v>
      </c>
      <c r="C825" s="1" t="n">
        <v>45347</v>
      </c>
      <c r="D825" t="inlineStr">
        <is>
          <t>DALARNAS LÄN</t>
        </is>
      </c>
      <c r="E825" t="inlineStr">
        <is>
          <t>LEKSAND</t>
        </is>
      </c>
      <c r="G825" t="n">
        <v>0.8</v>
      </c>
      <c r="H825" t="n">
        <v>0</v>
      </c>
      <c r="I825" t="n">
        <v>0</v>
      </c>
      <c r="J825" t="n">
        <v>0</v>
      </c>
      <c r="K825" t="n">
        <v>0</v>
      </c>
      <c r="L825" t="n">
        <v>0</v>
      </c>
      <c r="M825" t="n">
        <v>0</v>
      </c>
      <c r="N825" t="n">
        <v>0</v>
      </c>
      <c r="O825" t="n">
        <v>0</v>
      </c>
      <c r="P825" t="n">
        <v>0</v>
      </c>
      <c r="Q825" t="n">
        <v>0</v>
      </c>
      <c r="R825" s="2" t="inlineStr"/>
    </row>
    <row r="826" ht="15" customHeight="1">
      <c r="A826" t="inlineStr">
        <is>
          <t>A 61637-2023</t>
        </is>
      </c>
      <c r="B826" s="1" t="n">
        <v>45261</v>
      </c>
      <c r="C826" s="1" t="n">
        <v>45347</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61617-2023</t>
        </is>
      </c>
      <c r="B827" s="1" t="n">
        <v>45261</v>
      </c>
      <c r="C827" s="1" t="n">
        <v>45347</v>
      </c>
      <c r="D827" t="inlineStr">
        <is>
          <t>DALARNAS LÄN</t>
        </is>
      </c>
      <c r="E827" t="inlineStr">
        <is>
          <t>LEKSAND</t>
        </is>
      </c>
      <c r="G827" t="n">
        <v>0.8</v>
      </c>
      <c r="H827" t="n">
        <v>0</v>
      </c>
      <c r="I827" t="n">
        <v>0</v>
      </c>
      <c r="J827" t="n">
        <v>0</v>
      </c>
      <c r="K827" t="n">
        <v>0</v>
      </c>
      <c r="L827" t="n">
        <v>0</v>
      </c>
      <c r="M827" t="n">
        <v>0</v>
      </c>
      <c r="N827" t="n">
        <v>0</v>
      </c>
      <c r="O827" t="n">
        <v>0</v>
      </c>
      <c r="P827" t="n">
        <v>0</v>
      </c>
      <c r="Q827" t="n">
        <v>0</v>
      </c>
      <c r="R827" s="2" t="inlineStr"/>
    </row>
    <row r="828" ht="15" customHeight="1">
      <c r="A828" t="inlineStr">
        <is>
          <t>A 61252-2023</t>
        </is>
      </c>
      <c r="B828" s="1" t="n">
        <v>45261</v>
      </c>
      <c r="C828" s="1" t="n">
        <v>45347</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61056-2023</t>
        </is>
      </c>
      <c r="B829" s="1" t="n">
        <v>45261</v>
      </c>
      <c r="C829" s="1" t="n">
        <v>45347</v>
      </c>
      <c r="D829" t="inlineStr">
        <is>
          <t>DALARNAS LÄN</t>
        </is>
      </c>
      <c r="E829" t="inlineStr">
        <is>
          <t>LEKSAND</t>
        </is>
      </c>
      <c r="G829" t="n">
        <v>0.3</v>
      </c>
      <c r="H829" t="n">
        <v>0</v>
      </c>
      <c r="I829" t="n">
        <v>0</v>
      </c>
      <c r="J829" t="n">
        <v>0</v>
      </c>
      <c r="K829" t="n">
        <v>0</v>
      </c>
      <c r="L829" t="n">
        <v>0</v>
      </c>
      <c r="M829" t="n">
        <v>0</v>
      </c>
      <c r="N829" t="n">
        <v>0</v>
      </c>
      <c r="O829" t="n">
        <v>0</v>
      </c>
      <c r="P829" t="n">
        <v>0</v>
      </c>
      <c r="Q829" t="n">
        <v>0</v>
      </c>
      <c r="R829" s="2" t="inlineStr"/>
    </row>
    <row r="830" ht="15" customHeight="1">
      <c r="A830" t="inlineStr">
        <is>
          <t>A 61052-2023</t>
        </is>
      </c>
      <c r="B830" s="1" t="n">
        <v>45261</v>
      </c>
      <c r="C830" s="1" t="n">
        <v>45347</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60873-2023</t>
        </is>
      </c>
      <c r="B831" s="1" t="n">
        <v>45261</v>
      </c>
      <c r="C831" s="1" t="n">
        <v>45347</v>
      </c>
      <c r="D831" t="inlineStr">
        <is>
          <t>DALARNAS LÄN</t>
        </is>
      </c>
      <c r="E831" t="inlineStr">
        <is>
          <t>LEKSAND</t>
        </is>
      </c>
      <c r="G831" t="n">
        <v>5.2</v>
      </c>
      <c r="H831" t="n">
        <v>0</v>
      </c>
      <c r="I831" t="n">
        <v>0</v>
      </c>
      <c r="J831" t="n">
        <v>0</v>
      </c>
      <c r="K831" t="n">
        <v>0</v>
      </c>
      <c r="L831" t="n">
        <v>0</v>
      </c>
      <c r="M831" t="n">
        <v>0</v>
      </c>
      <c r="N831" t="n">
        <v>0</v>
      </c>
      <c r="O831" t="n">
        <v>0</v>
      </c>
      <c r="P831" t="n">
        <v>0</v>
      </c>
      <c r="Q831" t="n">
        <v>0</v>
      </c>
      <c r="R831" s="2" t="inlineStr"/>
    </row>
    <row r="832" ht="15" customHeight="1">
      <c r="A832" t="inlineStr">
        <is>
          <t>A 61225-2023</t>
        </is>
      </c>
      <c r="B832" s="1" t="n">
        <v>45264</v>
      </c>
      <c r="C832" s="1" t="n">
        <v>45347</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61502-2023</t>
        </is>
      </c>
      <c r="B833" s="1" t="n">
        <v>45264</v>
      </c>
      <c r="C833" s="1" t="n">
        <v>45347</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61652-2023</t>
        </is>
      </c>
      <c r="B834" s="1" t="n">
        <v>45265</v>
      </c>
      <c r="C834" s="1" t="n">
        <v>45347</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61598-2023</t>
        </is>
      </c>
      <c r="B835" s="1" t="n">
        <v>45265</v>
      </c>
      <c r="C835" s="1" t="n">
        <v>45347</v>
      </c>
      <c r="D835" t="inlineStr">
        <is>
          <t>DALARNAS LÄN</t>
        </is>
      </c>
      <c r="E835" t="inlineStr">
        <is>
          <t>LEKSAND</t>
        </is>
      </c>
      <c r="F835" t="inlineStr">
        <is>
          <t>Bergvik skog väst AB</t>
        </is>
      </c>
      <c r="G835" t="n">
        <v>5.8</v>
      </c>
      <c r="H835" t="n">
        <v>0</v>
      </c>
      <c r="I835" t="n">
        <v>0</v>
      </c>
      <c r="J835" t="n">
        <v>0</v>
      </c>
      <c r="K835" t="n">
        <v>0</v>
      </c>
      <c r="L835" t="n">
        <v>0</v>
      </c>
      <c r="M835" t="n">
        <v>0</v>
      </c>
      <c r="N835" t="n">
        <v>0</v>
      </c>
      <c r="O835" t="n">
        <v>0</v>
      </c>
      <c r="P835" t="n">
        <v>0</v>
      </c>
      <c r="Q835" t="n">
        <v>0</v>
      </c>
      <c r="R835" s="2" t="inlineStr"/>
    </row>
    <row r="836" ht="15" customHeight="1">
      <c r="A836" t="inlineStr">
        <is>
          <t>A 61633-2023</t>
        </is>
      </c>
      <c r="B836" s="1" t="n">
        <v>45265</v>
      </c>
      <c r="C836" s="1" t="n">
        <v>45347</v>
      </c>
      <c r="D836" t="inlineStr">
        <is>
          <t>DALARNAS LÄN</t>
        </is>
      </c>
      <c r="E836" t="inlineStr">
        <is>
          <t>LEKSAND</t>
        </is>
      </c>
      <c r="G836" t="n">
        <v>5.3</v>
      </c>
      <c r="H836" t="n">
        <v>0</v>
      </c>
      <c r="I836" t="n">
        <v>0</v>
      </c>
      <c r="J836" t="n">
        <v>0</v>
      </c>
      <c r="K836" t="n">
        <v>0</v>
      </c>
      <c r="L836" t="n">
        <v>0</v>
      </c>
      <c r="M836" t="n">
        <v>0</v>
      </c>
      <c r="N836" t="n">
        <v>0</v>
      </c>
      <c r="O836" t="n">
        <v>0</v>
      </c>
      <c r="P836" t="n">
        <v>0</v>
      </c>
      <c r="Q836" t="n">
        <v>0</v>
      </c>
      <c r="R836" s="2" t="inlineStr"/>
    </row>
    <row r="837" ht="15" customHeight="1">
      <c r="A837" t="inlineStr">
        <is>
          <t>A 61933-2023</t>
        </is>
      </c>
      <c r="B837" s="1" t="n">
        <v>45266</v>
      </c>
      <c r="C837" s="1" t="n">
        <v>45347</v>
      </c>
      <c r="D837" t="inlineStr">
        <is>
          <t>DALARNAS LÄN</t>
        </is>
      </c>
      <c r="E837" t="inlineStr">
        <is>
          <t>LEKSAND</t>
        </is>
      </c>
      <c r="G837" t="n">
        <v>0.2</v>
      </c>
      <c r="H837" t="n">
        <v>0</v>
      </c>
      <c r="I837" t="n">
        <v>0</v>
      </c>
      <c r="J837" t="n">
        <v>0</v>
      </c>
      <c r="K837" t="n">
        <v>0</v>
      </c>
      <c r="L837" t="n">
        <v>0</v>
      </c>
      <c r="M837" t="n">
        <v>0</v>
      </c>
      <c r="N837" t="n">
        <v>0</v>
      </c>
      <c r="O837" t="n">
        <v>0</v>
      </c>
      <c r="P837" t="n">
        <v>0</v>
      </c>
      <c r="Q837" t="n">
        <v>0</v>
      </c>
      <c r="R837" s="2" t="inlineStr"/>
    </row>
    <row r="838" ht="15" customHeight="1">
      <c r="A838" t="inlineStr">
        <is>
          <t>A 61953-2023</t>
        </is>
      </c>
      <c r="B838" s="1" t="n">
        <v>45266</v>
      </c>
      <c r="C838" s="1" t="n">
        <v>45347</v>
      </c>
      <c r="D838" t="inlineStr">
        <is>
          <t>DALARNAS LÄN</t>
        </is>
      </c>
      <c r="E838" t="inlineStr">
        <is>
          <t>LEKSAND</t>
        </is>
      </c>
      <c r="G838" t="n">
        <v>0.1</v>
      </c>
      <c r="H838" t="n">
        <v>0</v>
      </c>
      <c r="I838" t="n">
        <v>0</v>
      </c>
      <c r="J838" t="n">
        <v>0</v>
      </c>
      <c r="K838" t="n">
        <v>0</v>
      </c>
      <c r="L838" t="n">
        <v>0</v>
      </c>
      <c r="M838" t="n">
        <v>0</v>
      </c>
      <c r="N838" t="n">
        <v>0</v>
      </c>
      <c r="O838" t="n">
        <v>0</v>
      </c>
      <c r="P838" t="n">
        <v>0</v>
      </c>
      <c r="Q838" t="n">
        <v>0</v>
      </c>
      <c r="R838" s="2" t="inlineStr"/>
    </row>
    <row r="839" ht="15" customHeight="1">
      <c r="A839" t="inlineStr">
        <is>
          <t>A 61957-2023</t>
        </is>
      </c>
      <c r="B839" s="1" t="n">
        <v>45266</v>
      </c>
      <c r="C839" s="1" t="n">
        <v>45347</v>
      </c>
      <c r="D839" t="inlineStr">
        <is>
          <t>DALARNAS LÄN</t>
        </is>
      </c>
      <c r="E839" t="inlineStr">
        <is>
          <t>LEKSAND</t>
        </is>
      </c>
      <c r="G839" t="n">
        <v>0.9</v>
      </c>
      <c r="H839" t="n">
        <v>0</v>
      </c>
      <c r="I839" t="n">
        <v>0</v>
      </c>
      <c r="J839" t="n">
        <v>0</v>
      </c>
      <c r="K839" t="n">
        <v>0</v>
      </c>
      <c r="L839" t="n">
        <v>0</v>
      </c>
      <c r="M839" t="n">
        <v>0</v>
      </c>
      <c r="N839" t="n">
        <v>0</v>
      </c>
      <c r="O839" t="n">
        <v>0</v>
      </c>
      <c r="P839" t="n">
        <v>0</v>
      </c>
      <c r="Q839" t="n">
        <v>0</v>
      </c>
      <c r="R839" s="2" t="inlineStr"/>
    </row>
    <row r="840" ht="15" customHeight="1">
      <c r="A840" t="inlineStr">
        <is>
          <t>A 61938-2023</t>
        </is>
      </c>
      <c r="B840" s="1" t="n">
        <v>45266</v>
      </c>
      <c r="C840" s="1" t="n">
        <v>45347</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61950-2023</t>
        </is>
      </c>
      <c r="B841" s="1" t="n">
        <v>45266</v>
      </c>
      <c r="C841" s="1" t="n">
        <v>45347</v>
      </c>
      <c r="D841" t="inlineStr">
        <is>
          <t>DALARNAS LÄN</t>
        </is>
      </c>
      <c r="E841" t="inlineStr">
        <is>
          <t>LEKSAND</t>
        </is>
      </c>
      <c r="G841" t="n">
        <v>0.8</v>
      </c>
      <c r="H841" t="n">
        <v>0</v>
      </c>
      <c r="I841" t="n">
        <v>0</v>
      </c>
      <c r="J841" t="n">
        <v>0</v>
      </c>
      <c r="K841" t="n">
        <v>0</v>
      </c>
      <c r="L841" t="n">
        <v>0</v>
      </c>
      <c r="M841" t="n">
        <v>0</v>
      </c>
      <c r="N841" t="n">
        <v>0</v>
      </c>
      <c r="O841" t="n">
        <v>0</v>
      </c>
      <c r="P841" t="n">
        <v>0</v>
      </c>
      <c r="Q841" t="n">
        <v>0</v>
      </c>
      <c r="R841" s="2" t="inlineStr"/>
    </row>
    <row r="842" ht="15" customHeight="1">
      <c r="A842" t="inlineStr">
        <is>
          <t>A 61910-2023</t>
        </is>
      </c>
      <c r="B842" s="1" t="n">
        <v>45266</v>
      </c>
      <c r="C842" s="1" t="n">
        <v>45347</v>
      </c>
      <c r="D842" t="inlineStr">
        <is>
          <t>DALARNAS LÄN</t>
        </is>
      </c>
      <c r="E842" t="inlineStr">
        <is>
          <t>LEKSAND</t>
        </is>
      </c>
      <c r="G842" t="n">
        <v>7.3</v>
      </c>
      <c r="H842" t="n">
        <v>0</v>
      </c>
      <c r="I842" t="n">
        <v>0</v>
      </c>
      <c r="J842" t="n">
        <v>0</v>
      </c>
      <c r="K842" t="n">
        <v>0</v>
      </c>
      <c r="L842" t="n">
        <v>0</v>
      </c>
      <c r="M842" t="n">
        <v>0</v>
      </c>
      <c r="N842" t="n">
        <v>0</v>
      </c>
      <c r="O842" t="n">
        <v>0</v>
      </c>
      <c r="P842" t="n">
        <v>0</v>
      </c>
      <c r="Q842" t="n">
        <v>0</v>
      </c>
      <c r="R842" s="2" t="inlineStr"/>
    </row>
    <row r="843" ht="15" customHeight="1">
      <c r="A843" t="inlineStr">
        <is>
          <t>A 62306-2023</t>
        </is>
      </c>
      <c r="B843" s="1" t="n">
        <v>45266</v>
      </c>
      <c r="C843" s="1" t="n">
        <v>45347</v>
      </c>
      <c r="D843" t="inlineStr">
        <is>
          <t>DALARNAS LÄN</t>
        </is>
      </c>
      <c r="E843" t="inlineStr">
        <is>
          <t>LEKSAND</t>
        </is>
      </c>
      <c r="G843" t="n">
        <v>1.1</v>
      </c>
      <c r="H843" t="n">
        <v>0</v>
      </c>
      <c r="I843" t="n">
        <v>0</v>
      </c>
      <c r="J843" t="n">
        <v>0</v>
      </c>
      <c r="K843" t="n">
        <v>0</v>
      </c>
      <c r="L843" t="n">
        <v>0</v>
      </c>
      <c r="M843" t="n">
        <v>0</v>
      </c>
      <c r="N843" t="n">
        <v>0</v>
      </c>
      <c r="O843" t="n">
        <v>0</v>
      </c>
      <c r="P843" t="n">
        <v>0</v>
      </c>
      <c r="Q843" t="n">
        <v>0</v>
      </c>
      <c r="R843" s="2" t="inlineStr"/>
    </row>
    <row r="844" ht="15" customHeight="1">
      <c r="A844" t="inlineStr">
        <is>
          <t>A 61884-2023</t>
        </is>
      </c>
      <c r="B844" s="1" t="n">
        <v>45266</v>
      </c>
      <c r="C844" s="1" t="n">
        <v>45347</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62307-2023</t>
        </is>
      </c>
      <c r="B845" s="1" t="n">
        <v>45266</v>
      </c>
      <c r="C845" s="1" t="n">
        <v>45347</v>
      </c>
      <c r="D845" t="inlineStr">
        <is>
          <t>DALARNAS LÄN</t>
        </is>
      </c>
      <c r="E845" t="inlineStr">
        <is>
          <t>LEKSAND</t>
        </is>
      </c>
      <c r="G845" t="n">
        <v>3.9</v>
      </c>
      <c r="H845" t="n">
        <v>0</v>
      </c>
      <c r="I845" t="n">
        <v>0</v>
      </c>
      <c r="J845" t="n">
        <v>0</v>
      </c>
      <c r="K845" t="n">
        <v>0</v>
      </c>
      <c r="L845" t="n">
        <v>0</v>
      </c>
      <c r="M845" t="n">
        <v>0</v>
      </c>
      <c r="N845" t="n">
        <v>0</v>
      </c>
      <c r="O845" t="n">
        <v>0</v>
      </c>
      <c r="P845" t="n">
        <v>0</v>
      </c>
      <c r="Q845" t="n">
        <v>0</v>
      </c>
      <c r="R845" s="2" t="inlineStr"/>
    </row>
    <row r="846" ht="15" customHeight="1">
      <c r="A846" t="inlineStr">
        <is>
          <t>A 62133-2023</t>
        </is>
      </c>
      <c r="B846" s="1" t="n">
        <v>45267</v>
      </c>
      <c r="C846" s="1" t="n">
        <v>45347</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62305-2023</t>
        </is>
      </c>
      <c r="B847" s="1" t="n">
        <v>45267</v>
      </c>
      <c r="C847" s="1" t="n">
        <v>45347</v>
      </c>
      <c r="D847" t="inlineStr">
        <is>
          <t>DALARNAS LÄN</t>
        </is>
      </c>
      <c r="E847" t="inlineStr">
        <is>
          <t>LEKSAND</t>
        </is>
      </c>
      <c r="G847" t="n">
        <v>0.9</v>
      </c>
      <c r="H847" t="n">
        <v>0</v>
      </c>
      <c r="I847" t="n">
        <v>0</v>
      </c>
      <c r="J847" t="n">
        <v>0</v>
      </c>
      <c r="K847" t="n">
        <v>0</v>
      </c>
      <c r="L847" t="n">
        <v>0</v>
      </c>
      <c r="M847" t="n">
        <v>0</v>
      </c>
      <c r="N847" t="n">
        <v>0</v>
      </c>
      <c r="O847" t="n">
        <v>0</v>
      </c>
      <c r="P847" t="n">
        <v>0</v>
      </c>
      <c r="Q847" t="n">
        <v>0</v>
      </c>
      <c r="R847" s="2" t="inlineStr"/>
    </row>
    <row r="848" ht="15" customHeight="1">
      <c r="A848" t="inlineStr">
        <is>
          <t>A 62295-2023</t>
        </is>
      </c>
      <c r="B848" s="1" t="n">
        <v>45267</v>
      </c>
      <c r="C848" s="1" t="n">
        <v>45347</v>
      </c>
      <c r="D848" t="inlineStr">
        <is>
          <t>DALARNAS LÄN</t>
        </is>
      </c>
      <c r="E848" t="inlineStr">
        <is>
          <t>LEKSAND</t>
        </is>
      </c>
      <c r="G848" t="n">
        <v>2.5</v>
      </c>
      <c r="H848" t="n">
        <v>0</v>
      </c>
      <c r="I848" t="n">
        <v>0</v>
      </c>
      <c r="J848" t="n">
        <v>0</v>
      </c>
      <c r="K848" t="n">
        <v>0</v>
      </c>
      <c r="L848" t="n">
        <v>0</v>
      </c>
      <c r="M848" t="n">
        <v>0</v>
      </c>
      <c r="N848" t="n">
        <v>0</v>
      </c>
      <c r="O848" t="n">
        <v>0</v>
      </c>
      <c r="P848" t="n">
        <v>0</v>
      </c>
      <c r="Q848" t="n">
        <v>0</v>
      </c>
      <c r="R848" s="2" t="inlineStr"/>
    </row>
    <row r="849" ht="15" customHeight="1">
      <c r="A849" t="inlineStr">
        <is>
          <t>A 62587-2023</t>
        </is>
      </c>
      <c r="B849" s="1" t="n">
        <v>45270</v>
      </c>
      <c r="C849" s="1" t="n">
        <v>45347</v>
      </c>
      <c r="D849" t="inlineStr">
        <is>
          <t>DALARNAS LÄN</t>
        </is>
      </c>
      <c r="E849" t="inlineStr">
        <is>
          <t>LEKSAND</t>
        </is>
      </c>
      <c r="G849" t="n">
        <v>4.8</v>
      </c>
      <c r="H849" t="n">
        <v>0</v>
      </c>
      <c r="I849" t="n">
        <v>0</v>
      </c>
      <c r="J849" t="n">
        <v>0</v>
      </c>
      <c r="K849" t="n">
        <v>0</v>
      </c>
      <c r="L849" t="n">
        <v>0</v>
      </c>
      <c r="M849" t="n">
        <v>0</v>
      </c>
      <c r="N849" t="n">
        <v>0</v>
      </c>
      <c r="O849" t="n">
        <v>0</v>
      </c>
      <c r="P849" t="n">
        <v>0</v>
      </c>
      <c r="Q849" t="n">
        <v>0</v>
      </c>
      <c r="R849" s="2" t="inlineStr"/>
    </row>
    <row r="850" ht="15" customHeight="1">
      <c r="A850" t="inlineStr">
        <is>
          <t>A 62863-2023</t>
        </is>
      </c>
      <c r="B850" s="1" t="n">
        <v>45272</v>
      </c>
      <c r="C850" s="1" t="n">
        <v>45347</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62993-2023</t>
        </is>
      </c>
      <c r="B851" s="1" t="n">
        <v>45272</v>
      </c>
      <c r="C851" s="1" t="n">
        <v>45347</v>
      </c>
      <c r="D851" t="inlineStr">
        <is>
          <t>DALARNAS LÄN</t>
        </is>
      </c>
      <c r="E851" t="inlineStr">
        <is>
          <t>LEKSAND</t>
        </is>
      </c>
      <c r="G851" t="n">
        <v>0.6</v>
      </c>
      <c r="H851" t="n">
        <v>0</v>
      </c>
      <c r="I851" t="n">
        <v>0</v>
      </c>
      <c r="J851" t="n">
        <v>0</v>
      </c>
      <c r="K851" t="n">
        <v>0</v>
      </c>
      <c r="L851" t="n">
        <v>0</v>
      </c>
      <c r="M851" t="n">
        <v>0</v>
      </c>
      <c r="N851" t="n">
        <v>0</v>
      </c>
      <c r="O851" t="n">
        <v>0</v>
      </c>
      <c r="P851" t="n">
        <v>0</v>
      </c>
      <c r="Q851" t="n">
        <v>0</v>
      </c>
      <c r="R851" s="2" t="inlineStr"/>
    </row>
    <row r="852" ht="15" customHeight="1">
      <c r="A852" t="inlineStr">
        <is>
          <t>A 63105-2023</t>
        </is>
      </c>
      <c r="B852" s="1" t="n">
        <v>45273</v>
      </c>
      <c r="C852" s="1" t="n">
        <v>45347</v>
      </c>
      <c r="D852" t="inlineStr">
        <is>
          <t>DALARNAS LÄN</t>
        </is>
      </c>
      <c r="E852" t="inlineStr">
        <is>
          <t>LEKSAND</t>
        </is>
      </c>
      <c r="G852" t="n">
        <v>3.7</v>
      </c>
      <c r="H852" t="n">
        <v>0</v>
      </c>
      <c r="I852" t="n">
        <v>0</v>
      </c>
      <c r="J852" t="n">
        <v>0</v>
      </c>
      <c r="K852" t="n">
        <v>0</v>
      </c>
      <c r="L852" t="n">
        <v>0</v>
      </c>
      <c r="M852" t="n">
        <v>0</v>
      </c>
      <c r="N852" t="n">
        <v>0</v>
      </c>
      <c r="O852" t="n">
        <v>0</v>
      </c>
      <c r="P852" t="n">
        <v>0</v>
      </c>
      <c r="Q852" t="n">
        <v>0</v>
      </c>
      <c r="R852" s="2" t="inlineStr"/>
    </row>
    <row r="853" ht="15" customHeight="1">
      <c r="A853" t="inlineStr">
        <is>
          <t>A 63107-2023</t>
        </is>
      </c>
      <c r="B853" s="1" t="n">
        <v>45273</v>
      </c>
      <c r="C853" s="1" t="n">
        <v>45347</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63514-2023</t>
        </is>
      </c>
      <c r="B854" s="1" t="n">
        <v>45274</v>
      </c>
      <c r="C854" s="1" t="n">
        <v>45347</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row r="855" ht="15" customHeight="1">
      <c r="A855" t="inlineStr">
        <is>
          <t>A 63513-2023</t>
        </is>
      </c>
      <c r="B855" s="1" t="n">
        <v>45274</v>
      </c>
      <c r="C855" s="1" t="n">
        <v>45347</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63548-2023</t>
        </is>
      </c>
      <c r="B856" s="1" t="n">
        <v>45275</v>
      </c>
      <c r="C856" s="1" t="n">
        <v>45347</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63544-2023</t>
        </is>
      </c>
      <c r="B857" s="1" t="n">
        <v>45275</v>
      </c>
      <c r="C857" s="1" t="n">
        <v>45347</v>
      </c>
      <c r="D857" t="inlineStr">
        <is>
          <t>DALARNAS LÄN</t>
        </is>
      </c>
      <c r="E857" t="inlineStr">
        <is>
          <t>LEKSAND</t>
        </is>
      </c>
      <c r="G857" t="n">
        <v>0.3</v>
      </c>
      <c r="H857" t="n">
        <v>0</v>
      </c>
      <c r="I857" t="n">
        <v>0</v>
      </c>
      <c r="J857" t="n">
        <v>0</v>
      </c>
      <c r="K857" t="n">
        <v>0</v>
      </c>
      <c r="L857" t="n">
        <v>0</v>
      </c>
      <c r="M857" t="n">
        <v>0</v>
      </c>
      <c r="N857" t="n">
        <v>0</v>
      </c>
      <c r="O857" t="n">
        <v>0</v>
      </c>
      <c r="P857" t="n">
        <v>0</v>
      </c>
      <c r="Q857" t="n">
        <v>0</v>
      </c>
      <c r="R857" s="2" t="inlineStr"/>
    </row>
    <row r="858" ht="15" customHeight="1">
      <c r="A858" t="inlineStr">
        <is>
          <t>A 64146-2023</t>
        </is>
      </c>
      <c r="B858" s="1" t="n">
        <v>45279</v>
      </c>
      <c r="C858" s="1" t="n">
        <v>45347</v>
      </c>
      <c r="D858" t="inlineStr">
        <is>
          <t>DALARNAS LÄN</t>
        </is>
      </c>
      <c r="E858" t="inlineStr">
        <is>
          <t>LEKSAND</t>
        </is>
      </c>
      <c r="G858" t="n">
        <v>4.3</v>
      </c>
      <c r="H858" t="n">
        <v>0</v>
      </c>
      <c r="I858" t="n">
        <v>0</v>
      </c>
      <c r="J858" t="n">
        <v>0</v>
      </c>
      <c r="K858" t="n">
        <v>0</v>
      </c>
      <c r="L858" t="n">
        <v>0</v>
      </c>
      <c r="M858" t="n">
        <v>0</v>
      </c>
      <c r="N858" t="n">
        <v>0</v>
      </c>
      <c r="O858" t="n">
        <v>0</v>
      </c>
      <c r="P858" t="n">
        <v>0</v>
      </c>
      <c r="Q858" t="n">
        <v>0</v>
      </c>
      <c r="R858" s="2" t="inlineStr"/>
    </row>
    <row r="859" ht="15" customHeight="1">
      <c r="A859" t="inlineStr">
        <is>
          <t>A 64418-2023</t>
        </is>
      </c>
      <c r="B859" s="1" t="n">
        <v>45280</v>
      </c>
      <c r="C859" s="1" t="n">
        <v>45347</v>
      </c>
      <c r="D859" t="inlineStr">
        <is>
          <t>DALARNAS LÄN</t>
        </is>
      </c>
      <c r="E859" t="inlineStr">
        <is>
          <t>LEKSAND</t>
        </is>
      </c>
      <c r="G859" t="n">
        <v>3.4</v>
      </c>
      <c r="H859" t="n">
        <v>0</v>
      </c>
      <c r="I859" t="n">
        <v>0</v>
      </c>
      <c r="J859" t="n">
        <v>0</v>
      </c>
      <c r="K859" t="n">
        <v>0</v>
      </c>
      <c r="L859" t="n">
        <v>0</v>
      </c>
      <c r="M859" t="n">
        <v>0</v>
      </c>
      <c r="N859" t="n">
        <v>0</v>
      </c>
      <c r="O859" t="n">
        <v>0</v>
      </c>
      <c r="P859" t="n">
        <v>0</v>
      </c>
      <c r="Q859" t="n">
        <v>0</v>
      </c>
      <c r="R859" s="2" t="inlineStr"/>
    </row>
    <row r="860" ht="15" customHeight="1">
      <c r="A860" t="inlineStr">
        <is>
          <t>A 64516-2023</t>
        </is>
      </c>
      <c r="B860" s="1" t="n">
        <v>45280</v>
      </c>
      <c r="C860" s="1" t="n">
        <v>45347</v>
      </c>
      <c r="D860" t="inlineStr">
        <is>
          <t>DALARNAS LÄN</t>
        </is>
      </c>
      <c r="E860" t="inlineStr">
        <is>
          <t>LEKSAND</t>
        </is>
      </c>
      <c r="G860" t="n">
        <v>4.4</v>
      </c>
      <c r="H860" t="n">
        <v>0</v>
      </c>
      <c r="I860" t="n">
        <v>0</v>
      </c>
      <c r="J860" t="n">
        <v>0</v>
      </c>
      <c r="K860" t="n">
        <v>0</v>
      </c>
      <c r="L860" t="n">
        <v>0</v>
      </c>
      <c r="M860" t="n">
        <v>0</v>
      </c>
      <c r="N860" t="n">
        <v>0</v>
      </c>
      <c r="O860" t="n">
        <v>0</v>
      </c>
      <c r="P860" t="n">
        <v>0</v>
      </c>
      <c r="Q860" t="n">
        <v>0</v>
      </c>
      <c r="R860" s="2" t="inlineStr"/>
    </row>
    <row r="861" ht="15" customHeight="1">
      <c r="A861" t="inlineStr">
        <is>
          <t>A 64515-2023</t>
        </is>
      </c>
      <c r="B861" s="1" t="n">
        <v>45280</v>
      </c>
      <c r="C861" s="1" t="n">
        <v>45347</v>
      </c>
      <c r="D861" t="inlineStr">
        <is>
          <t>DALARNAS LÄN</t>
        </is>
      </c>
      <c r="E861" t="inlineStr">
        <is>
          <t>LEKSAND</t>
        </is>
      </c>
      <c r="G861" t="n">
        <v>9.1</v>
      </c>
      <c r="H861" t="n">
        <v>0</v>
      </c>
      <c r="I861" t="n">
        <v>0</v>
      </c>
      <c r="J861" t="n">
        <v>0</v>
      </c>
      <c r="K861" t="n">
        <v>0</v>
      </c>
      <c r="L861" t="n">
        <v>0</v>
      </c>
      <c r="M861" t="n">
        <v>0</v>
      </c>
      <c r="N861" t="n">
        <v>0</v>
      </c>
      <c r="O861" t="n">
        <v>0</v>
      </c>
      <c r="P861" t="n">
        <v>0</v>
      </c>
      <c r="Q861" t="n">
        <v>0</v>
      </c>
      <c r="R861" s="2" t="inlineStr"/>
    </row>
    <row r="862" ht="15" customHeight="1">
      <c r="A862" t="inlineStr">
        <is>
          <t>A 64612-2023</t>
        </is>
      </c>
      <c r="B862" s="1" t="n">
        <v>45281</v>
      </c>
      <c r="C862" s="1" t="n">
        <v>45347</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64677-2023</t>
        </is>
      </c>
      <c r="B863" s="1" t="n">
        <v>45281</v>
      </c>
      <c r="C863" s="1" t="n">
        <v>45347</v>
      </c>
      <c r="D863" t="inlineStr">
        <is>
          <t>DALARNAS LÄN</t>
        </is>
      </c>
      <c r="E863" t="inlineStr">
        <is>
          <t>LEKSAND</t>
        </is>
      </c>
      <c r="G863" t="n">
        <v>2.7</v>
      </c>
      <c r="H863" t="n">
        <v>0</v>
      </c>
      <c r="I863" t="n">
        <v>0</v>
      </c>
      <c r="J863" t="n">
        <v>0</v>
      </c>
      <c r="K863" t="n">
        <v>0</v>
      </c>
      <c r="L863" t="n">
        <v>0</v>
      </c>
      <c r="M863" t="n">
        <v>0</v>
      </c>
      <c r="N863" t="n">
        <v>0</v>
      </c>
      <c r="O863" t="n">
        <v>0</v>
      </c>
      <c r="P863" t="n">
        <v>0</v>
      </c>
      <c r="Q863" t="n">
        <v>0</v>
      </c>
      <c r="R863" s="2" t="inlineStr"/>
    </row>
    <row r="864" ht="15" customHeight="1">
      <c r="A864" t="inlineStr">
        <is>
          <t>A 64931-2023</t>
        </is>
      </c>
      <c r="B864" s="1" t="n">
        <v>45282</v>
      </c>
      <c r="C864" s="1" t="n">
        <v>45347</v>
      </c>
      <c r="D864" t="inlineStr">
        <is>
          <t>DALARNAS LÄN</t>
        </is>
      </c>
      <c r="E864" t="inlineStr">
        <is>
          <t>LEKSAND</t>
        </is>
      </c>
      <c r="G864" t="n">
        <v>6.3</v>
      </c>
      <c r="H864" t="n">
        <v>0</v>
      </c>
      <c r="I864" t="n">
        <v>0</v>
      </c>
      <c r="J864" t="n">
        <v>0</v>
      </c>
      <c r="K864" t="n">
        <v>0</v>
      </c>
      <c r="L864" t="n">
        <v>0</v>
      </c>
      <c r="M864" t="n">
        <v>0</v>
      </c>
      <c r="N864" t="n">
        <v>0</v>
      </c>
      <c r="O864" t="n">
        <v>0</v>
      </c>
      <c r="P864" t="n">
        <v>0</v>
      </c>
      <c r="Q864" t="n">
        <v>0</v>
      </c>
      <c r="R864" s="2" t="inlineStr"/>
    </row>
    <row r="865" ht="15" customHeight="1">
      <c r="A865" t="inlineStr">
        <is>
          <t>A 64867-2023</t>
        </is>
      </c>
      <c r="B865" s="1" t="n">
        <v>45282</v>
      </c>
      <c r="C865" s="1" t="n">
        <v>45347</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64933-2023</t>
        </is>
      </c>
      <c r="B866" s="1" t="n">
        <v>45282</v>
      </c>
      <c r="C866" s="1" t="n">
        <v>45347</v>
      </c>
      <c r="D866" t="inlineStr">
        <is>
          <t>DALARNAS LÄN</t>
        </is>
      </c>
      <c r="E866" t="inlineStr">
        <is>
          <t>LEKSAND</t>
        </is>
      </c>
      <c r="G866" t="n">
        <v>2.3</v>
      </c>
      <c r="H866" t="n">
        <v>0</v>
      </c>
      <c r="I866" t="n">
        <v>0</v>
      </c>
      <c r="J866" t="n">
        <v>0</v>
      </c>
      <c r="K866" t="n">
        <v>0</v>
      </c>
      <c r="L866" t="n">
        <v>0</v>
      </c>
      <c r="M866" t="n">
        <v>0</v>
      </c>
      <c r="N866" t="n">
        <v>0</v>
      </c>
      <c r="O866" t="n">
        <v>0</v>
      </c>
      <c r="P866" t="n">
        <v>0</v>
      </c>
      <c r="Q866" t="n">
        <v>0</v>
      </c>
      <c r="R866" s="2" t="inlineStr"/>
    </row>
    <row r="867" ht="15" customHeight="1">
      <c r="A867" t="inlineStr">
        <is>
          <t>A 65047-2023</t>
        </is>
      </c>
      <c r="B867" s="1" t="n">
        <v>45283</v>
      </c>
      <c r="C867" s="1" t="n">
        <v>45347</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32-2024</t>
        </is>
      </c>
      <c r="B868" s="1" t="n">
        <v>45293</v>
      </c>
      <c r="C868" s="1" t="n">
        <v>45347</v>
      </c>
      <c r="D868" t="inlineStr">
        <is>
          <t>DALARNAS LÄN</t>
        </is>
      </c>
      <c r="E868" t="inlineStr">
        <is>
          <t>LEKSAND</t>
        </is>
      </c>
      <c r="G868" t="n">
        <v>0.6</v>
      </c>
      <c r="H868" t="n">
        <v>0</v>
      </c>
      <c r="I868" t="n">
        <v>0</v>
      </c>
      <c r="J868" t="n">
        <v>0</v>
      </c>
      <c r="K868" t="n">
        <v>0</v>
      </c>
      <c r="L868" t="n">
        <v>0</v>
      </c>
      <c r="M868" t="n">
        <v>0</v>
      </c>
      <c r="N868" t="n">
        <v>0</v>
      </c>
      <c r="O868" t="n">
        <v>0</v>
      </c>
      <c r="P868" t="n">
        <v>0</v>
      </c>
      <c r="Q868" t="n">
        <v>0</v>
      </c>
      <c r="R868" s="2" t="inlineStr"/>
    </row>
    <row r="869" ht="15" customHeight="1">
      <c r="A869" t="inlineStr">
        <is>
          <t>A 23-2024</t>
        </is>
      </c>
      <c r="B869" s="1" t="n">
        <v>45293</v>
      </c>
      <c r="C869" s="1" t="n">
        <v>45347</v>
      </c>
      <c r="D869" t="inlineStr">
        <is>
          <t>DALARNAS LÄN</t>
        </is>
      </c>
      <c r="E869" t="inlineStr">
        <is>
          <t>LEKSAND</t>
        </is>
      </c>
      <c r="G869" t="n">
        <v>2.3</v>
      </c>
      <c r="H869" t="n">
        <v>0</v>
      </c>
      <c r="I869" t="n">
        <v>0</v>
      </c>
      <c r="J869" t="n">
        <v>0</v>
      </c>
      <c r="K869" t="n">
        <v>0</v>
      </c>
      <c r="L869" t="n">
        <v>0</v>
      </c>
      <c r="M869" t="n">
        <v>0</v>
      </c>
      <c r="N869" t="n">
        <v>0</v>
      </c>
      <c r="O869" t="n">
        <v>0</v>
      </c>
      <c r="P869" t="n">
        <v>0</v>
      </c>
      <c r="Q869" t="n">
        <v>0</v>
      </c>
      <c r="R869" s="2" t="inlineStr"/>
    </row>
    <row r="870" ht="15" customHeight="1">
      <c r="A870" t="inlineStr">
        <is>
          <t>A 121-2024</t>
        </is>
      </c>
      <c r="B870" s="1" t="n">
        <v>45294</v>
      </c>
      <c r="C870" s="1" t="n">
        <v>45347</v>
      </c>
      <c r="D870" t="inlineStr">
        <is>
          <t>DALARNAS LÄN</t>
        </is>
      </c>
      <c r="E870" t="inlineStr">
        <is>
          <t>LEKSAND</t>
        </is>
      </c>
      <c r="G870" t="n">
        <v>8.6</v>
      </c>
      <c r="H870" t="n">
        <v>0</v>
      </c>
      <c r="I870" t="n">
        <v>0</v>
      </c>
      <c r="J870" t="n">
        <v>0</v>
      </c>
      <c r="K870" t="n">
        <v>0</v>
      </c>
      <c r="L870" t="n">
        <v>0</v>
      </c>
      <c r="M870" t="n">
        <v>0</v>
      </c>
      <c r="N870" t="n">
        <v>0</v>
      </c>
      <c r="O870" t="n">
        <v>0</v>
      </c>
      <c r="P870" t="n">
        <v>0</v>
      </c>
      <c r="Q870" t="n">
        <v>0</v>
      </c>
      <c r="R870" s="2" t="inlineStr"/>
    </row>
    <row r="871" ht="15" customHeight="1">
      <c r="A871" t="inlineStr">
        <is>
          <t>A 412-2024</t>
        </is>
      </c>
      <c r="B871" s="1" t="n">
        <v>45296</v>
      </c>
      <c r="C871" s="1" t="n">
        <v>45347</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402-2024</t>
        </is>
      </c>
      <c r="B872" s="1" t="n">
        <v>45296</v>
      </c>
      <c r="C872" s="1" t="n">
        <v>45347</v>
      </c>
      <c r="D872" t="inlineStr">
        <is>
          <t>DALARNAS LÄN</t>
        </is>
      </c>
      <c r="E872" t="inlineStr">
        <is>
          <t>LEKSAND</t>
        </is>
      </c>
      <c r="G872" t="n">
        <v>1.5</v>
      </c>
      <c r="H872" t="n">
        <v>0</v>
      </c>
      <c r="I872" t="n">
        <v>0</v>
      </c>
      <c r="J872" t="n">
        <v>0</v>
      </c>
      <c r="K872" t="n">
        <v>0</v>
      </c>
      <c r="L872" t="n">
        <v>0</v>
      </c>
      <c r="M872" t="n">
        <v>0</v>
      </c>
      <c r="N872" t="n">
        <v>0</v>
      </c>
      <c r="O872" t="n">
        <v>0</v>
      </c>
      <c r="P872" t="n">
        <v>0</v>
      </c>
      <c r="Q872" t="n">
        <v>0</v>
      </c>
      <c r="R872" s="2" t="inlineStr"/>
    </row>
    <row r="873" ht="15" customHeight="1">
      <c r="A873" t="inlineStr">
        <is>
          <t>A 481-2024</t>
        </is>
      </c>
      <c r="B873" s="1" t="n">
        <v>45298</v>
      </c>
      <c r="C873" s="1" t="n">
        <v>45347</v>
      </c>
      <c r="D873" t="inlineStr">
        <is>
          <t>DALARNAS LÄN</t>
        </is>
      </c>
      <c r="E873" t="inlineStr">
        <is>
          <t>LEKSAND</t>
        </is>
      </c>
      <c r="G873" t="n">
        <v>7</v>
      </c>
      <c r="H873" t="n">
        <v>0</v>
      </c>
      <c r="I873" t="n">
        <v>0</v>
      </c>
      <c r="J873" t="n">
        <v>0</v>
      </c>
      <c r="K873" t="n">
        <v>0</v>
      </c>
      <c r="L873" t="n">
        <v>0</v>
      </c>
      <c r="M873" t="n">
        <v>0</v>
      </c>
      <c r="N873" t="n">
        <v>0</v>
      </c>
      <c r="O873" t="n">
        <v>0</v>
      </c>
      <c r="P873" t="n">
        <v>0</v>
      </c>
      <c r="Q873" t="n">
        <v>0</v>
      </c>
      <c r="R873" s="2" t="inlineStr"/>
    </row>
    <row r="874" ht="15" customHeight="1">
      <c r="A874" t="inlineStr">
        <is>
          <t>A 613-2024</t>
        </is>
      </c>
      <c r="B874" s="1" t="n">
        <v>45299</v>
      </c>
      <c r="C874" s="1" t="n">
        <v>45347</v>
      </c>
      <c r="D874" t="inlineStr">
        <is>
          <t>DALARNAS LÄN</t>
        </is>
      </c>
      <c r="E874" t="inlineStr">
        <is>
          <t>LEKSAND</t>
        </is>
      </c>
      <c r="G874" t="n">
        <v>1.4</v>
      </c>
      <c r="H874" t="n">
        <v>0</v>
      </c>
      <c r="I874" t="n">
        <v>0</v>
      </c>
      <c r="J874" t="n">
        <v>0</v>
      </c>
      <c r="K874" t="n">
        <v>0</v>
      </c>
      <c r="L874" t="n">
        <v>0</v>
      </c>
      <c r="M874" t="n">
        <v>0</v>
      </c>
      <c r="N874" t="n">
        <v>0</v>
      </c>
      <c r="O874" t="n">
        <v>0</v>
      </c>
      <c r="P874" t="n">
        <v>0</v>
      </c>
      <c r="Q874" t="n">
        <v>0</v>
      </c>
      <c r="R874" s="2" t="inlineStr"/>
    </row>
    <row r="875" ht="15" customHeight="1">
      <c r="A875" t="inlineStr">
        <is>
          <t>A 511-2024</t>
        </is>
      </c>
      <c r="B875" s="1" t="n">
        <v>45299</v>
      </c>
      <c r="C875" s="1" t="n">
        <v>45347</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962-2024</t>
        </is>
      </c>
      <c r="B876" s="1" t="n">
        <v>45301</v>
      </c>
      <c r="C876" s="1" t="n">
        <v>45347</v>
      </c>
      <c r="D876" t="inlineStr">
        <is>
          <t>DALARNAS LÄN</t>
        </is>
      </c>
      <c r="E876" t="inlineStr">
        <is>
          <t>LEKSAND</t>
        </is>
      </c>
      <c r="G876" t="n">
        <v>3.8</v>
      </c>
      <c r="H876" t="n">
        <v>0</v>
      </c>
      <c r="I876" t="n">
        <v>0</v>
      </c>
      <c r="J876" t="n">
        <v>0</v>
      </c>
      <c r="K876" t="n">
        <v>0</v>
      </c>
      <c r="L876" t="n">
        <v>0</v>
      </c>
      <c r="M876" t="n">
        <v>0</v>
      </c>
      <c r="N876" t="n">
        <v>0</v>
      </c>
      <c r="O876" t="n">
        <v>0</v>
      </c>
      <c r="P876" t="n">
        <v>0</v>
      </c>
      <c r="Q876" t="n">
        <v>0</v>
      </c>
      <c r="R876" s="2" t="inlineStr"/>
    </row>
    <row r="877" ht="15" customHeight="1">
      <c r="A877" t="inlineStr">
        <is>
          <t>A 1179-2024</t>
        </is>
      </c>
      <c r="B877" s="1" t="n">
        <v>45302</v>
      </c>
      <c r="C877" s="1" t="n">
        <v>45347</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1215-2024</t>
        </is>
      </c>
      <c r="B878" s="1" t="n">
        <v>45302</v>
      </c>
      <c r="C878" s="1" t="n">
        <v>45347</v>
      </c>
      <c r="D878" t="inlineStr">
        <is>
          <t>DALARNAS LÄN</t>
        </is>
      </c>
      <c r="E878" t="inlineStr">
        <is>
          <t>LEKSAND</t>
        </is>
      </c>
      <c r="G878" t="n">
        <v>1.3</v>
      </c>
      <c r="H878" t="n">
        <v>0</v>
      </c>
      <c r="I878" t="n">
        <v>0</v>
      </c>
      <c r="J878" t="n">
        <v>0</v>
      </c>
      <c r="K878" t="n">
        <v>0</v>
      </c>
      <c r="L878" t="n">
        <v>0</v>
      </c>
      <c r="M878" t="n">
        <v>0</v>
      </c>
      <c r="N878" t="n">
        <v>0</v>
      </c>
      <c r="O878" t="n">
        <v>0</v>
      </c>
      <c r="P878" t="n">
        <v>0</v>
      </c>
      <c r="Q878" t="n">
        <v>0</v>
      </c>
      <c r="R878" s="2" t="inlineStr"/>
    </row>
    <row r="879" ht="15" customHeight="1">
      <c r="A879" t="inlineStr">
        <is>
          <t>A 1457-2024</t>
        </is>
      </c>
      <c r="B879" s="1" t="n">
        <v>45303</v>
      </c>
      <c r="C879" s="1" t="n">
        <v>45347</v>
      </c>
      <c r="D879" t="inlineStr">
        <is>
          <t>DALARNAS LÄN</t>
        </is>
      </c>
      <c r="E879" t="inlineStr">
        <is>
          <t>LEKSAND</t>
        </is>
      </c>
      <c r="G879" t="n">
        <v>4.4</v>
      </c>
      <c r="H879" t="n">
        <v>0</v>
      </c>
      <c r="I879" t="n">
        <v>0</v>
      </c>
      <c r="J879" t="n">
        <v>0</v>
      </c>
      <c r="K879" t="n">
        <v>0</v>
      </c>
      <c r="L879" t="n">
        <v>0</v>
      </c>
      <c r="M879" t="n">
        <v>0</v>
      </c>
      <c r="N879" t="n">
        <v>0</v>
      </c>
      <c r="O879" t="n">
        <v>0</v>
      </c>
      <c r="P879" t="n">
        <v>0</v>
      </c>
      <c r="Q879" t="n">
        <v>0</v>
      </c>
      <c r="R879" s="2" t="inlineStr"/>
    </row>
    <row r="880" ht="15" customHeight="1">
      <c r="A880" t="inlineStr">
        <is>
          <t>A 1461-2024</t>
        </is>
      </c>
      <c r="B880" s="1" t="n">
        <v>45303</v>
      </c>
      <c r="C880" s="1" t="n">
        <v>45347</v>
      </c>
      <c r="D880" t="inlineStr">
        <is>
          <t>DALARNAS LÄN</t>
        </is>
      </c>
      <c r="E880" t="inlineStr">
        <is>
          <t>LEKSAND</t>
        </is>
      </c>
      <c r="G880" t="n">
        <v>2.4</v>
      </c>
      <c r="H880" t="n">
        <v>0</v>
      </c>
      <c r="I880" t="n">
        <v>0</v>
      </c>
      <c r="J880" t="n">
        <v>0</v>
      </c>
      <c r="K880" t="n">
        <v>0</v>
      </c>
      <c r="L880" t="n">
        <v>0</v>
      </c>
      <c r="M880" t="n">
        <v>0</v>
      </c>
      <c r="N880" t="n">
        <v>0</v>
      </c>
      <c r="O880" t="n">
        <v>0</v>
      </c>
      <c r="P880" t="n">
        <v>0</v>
      </c>
      <c r="Q880" t="n">
        <v>0</v>
      </c>
      <c r="R880" s="2" t="inlineStr"/>
    </row>
    <row r="881" ht="15" customHeight="1">
      <c r="A881" t="inlineStr">
        <is>
          <t>A 1458-2024</t>
        </is>
      </c>
      <c r="B881" s="1" t="n">
        <v>45303</v>
      </c>
      <c r="C881" s="1" t="n">
        <v>45347</v>
      </c>
      <c r="D881" t="inlineStr">
        <is>
          <t>DALARNAS LÄN</t>
        </is>
      </c>
      <c r="E881" t="inlineStr">
        <is>
          <t>LEKSAND</t>
        </is>
      </c>
      <c r="G881" t="n">
        <v>2</v>
      </c>
      <c r="H881" t="n">
        <v>0</v>
      </c>
      <c r="I881" t="n">
        <v>0</v>
      </c>
      <c r="J881" t="n">
        <v>0</v>
      </c>
      <c r="K881" t="n">
        <v>0</v>
      </c>
      <c r="L881" t="n">
        <v>0</v>
      </c>
      <c r="M881" t="n">
        <v>0</v>
      </c>
      <c r="N881" t="n">
        <v>0</v>
      </c>
      <c r="O881" t="n">
        <v>0</v>
      </c>
      <c r="P881" t="n">
        <v>0</v>
      </c>
      <c r="Q881" t="n">
        <v>0</v>
      </c>
      <c r="R881" s="2" t="inlineStr"/>
    </row>
    <row r="882" ht="15" customHeight="1">
      <c r="A882" t="inlineStr">
        <is>
          <t>A 1463-2024</t>
        </is>
      </c>
      <c r="B882" s="1" t="n">
        <v>45303</v>
      </c>
      <c r="C882" s="1" t="n">
        <v>45347</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1443-2024</t>
        </is>
      </c>
      <c r="B883" s="1" t="n">
        <v>45303</v>
      </c>
      <c r="C883" s="1" t="n">
        <v>45347</v>
      </c>
      <c r="D883" t="inlineStr">
        <is>
          <t>DALARNAS LÄN</t>
        </is>
      </c>
      <c r="E883" t="inlineStr">
        <is>
          <t>LEKSAND</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1476-2024</t>
        </is>
      </c>
      <c r="B884" s="1" t="n">
        <v>45304</v>
      </c>
      <c r="C884" s="1" t="n">
        <v>45347</v>
      </c>
      <c r="D884" t="inlineStr">
        <is>
          <t>DALARNAS LÄN</t>
        </is>
      </c>
      <c r="E884" t="inlineStr">
        <is>
          <t>LEKSAND</t>
        </is>
      </c>
      <c r="G884" t="n">
        <v>4.3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45347</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1616-2024</t>
        </is>
      </c>
      <c r="B886" s="1" t="n">
        <v>45306</v>
      </c>
      <c r="C886" s="1" t="n">
        <v>45347</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1849-2024</t>
        </is>
      </c>
      <c r="B887" s="1" t="n">
        <v>45307</v>
      </c>
      <c r="C887" s="1" t="n">
        <v>45347</v>
      </c>
      <c r="D887" t="inlineStr">
        <is>
          <t>DALARNAS LÄN</t>
        </is>
      </c>
      <c r="E887" t="inlineStr">
        <is>
          <t>LEKSAND</t>
        </is>
      </c>
      <c r="F887" t="inlineStr">
        <is>
          <t>Kommuner</t>
        </is>
      </c>
      <c r="G887" t="n">
        <v>5</v>
      </c>
      <c r="H887" t="n">
        <v>0</v>
      </c>
      <c r="I887" t="n">
        <v>0</v>
      </c>
      <c r="J887" t="n">
        <v>0</v>
      </c>
      <c r="K887" t="n">
        <v>0</v>
      </c>
      <c r="L887" t="n">
        <v>0</v>
      </c>
      <c r="M887" t="n">
        <v>0</v>
      </c>
      <c r="N887" t="n">
        <v>0</v>
      </c>
      <c r="O887" t="n">
        <v>0</v>
      </c>
      <c r="P887" t="n">
        <v>0</v>
      </c>
      <c r="Q887" t="n">
        <v>0</v>
      </c>
      <c r="R887" s="2" t="inlineStr"/>
    </row>
    <row r="888" ht="15" customHeight="1">
      <c r="A888" t="inlineStr">
        <is>
          <t>A 1719-2024</t>
        </is>
      </c>
      <c r="B888" s="1" t="n">
        <v>45307</v>
      </c>
      <c r="C888" s="1" t="n">
        <v>45347</v>
      </c>
      <c r="D888" t="inlineStr">
        <is>
          <t>DALARNAS LÄN</t>
        </is>
      </c>
      <c r="E888" t="inlineStr">
        <is>
          <t>LEKSAND</t>
        </is>
      </c>
      <c r="G888" t="n">
        <v>2.8</v>
      </c>
      <c r="H888" t="n">
        <v>0</v>
      </c>
      <c r="I888" t="n">
        <v>0</v>
      </c>
      <c r="J888" t="n">
        <v>0</v>
      </c>
      <c r="K888" t="n">
        <v>0</v>
      </c>
      <c r="L888" t="n">
        <v>0</v>
      </c>
      <c r="M888" t="n">
        <v>0</v>
      </c>
      <c r="N888" t="n">
        <v>0</v>
      </c>
      <c r="O888" t="n">
        <v>0</v>
      </c>
      <c r="P888" t="n">
        <v>0</v>
      </c>
      <c r="Q888" t="n">
        <v>0</v>
      </c>
      <c r="R888" s="2" t="inlineStr"/>
    </row>
    <row r="889" ht="15" customHeight="1">
      <c r="A889" t="inlineStr">
        <is>
          <t>A 1706-2024</t>
        </is>
      </c>
      <c r="B889" s="1" t="n">
        <v>45307</v>
      </c>
      <c r="C889" s="1" t="n">
        <v>45347</v>
      </c>
      <c r="D889" t="inlineStr">
        <is>
          <t>DALARNAS LÄN</t>
        </is>
      </c>
      <c r="E889" t="inlineStr">
        <is>
          <t>LEKSAND</t>
        </is>
      </c>
      <c r="G889" t="n">
        <v>0.7</v>
      </c>
      <c r="H889" t="n">
        <v>0</v>
      </c>
      <c r="I889" t="n">
        <v>0</v>
      </c>
      <c r="J889" t="n">
        <v>0</v>
      </c>
      <c r="K889" t="n">
        <v>0</v>
      </c>
      <c r="L889" t="n">
        <v>0</v>
      </c>
      <c r="M889" t="n">
        <v>0</v>
      </c>
      <c r="N889" t="n">
        <v>0</v>
      </c>
      <c r="O889" t="n">
        <v>0</v>
      </c>
      <c r="P889" t="n">
        <v>0</v>
      </c>
      <c r="Q889" t="n">
        <v>0</v>
      </c>
      <c r="R889" s="2" t="inlineStr"/>
    </row>
    <row r="890" ht="15" customHeight="1">
      <c r="A890" t="inlineStr">
        <is>
          <t>A 1946-2024</t>
        </is>
      </c>
      <c r="B890" s="1" t="n">
        <v>45308</v>
      </c>
      <c r="C890" s="1" t="n">
        <v>45347</v>
      </c>
      <c r="D890" t="inlineStr">
        <is>
          <t>DALARNAS LÄN</t>
        </is>
      </c>
      <c r="E890" t="inlineStr">
        <is>
          <t>LEKSAND</t>
        </is>
      </c>
      <c r="G890" t="n">
        <v>2.3</v>
      </c>
      <c r="H890" t="n">
        <v>0</v>
      </c>
      <c r="I890" t="n">
        <v>0</v>
      </c>
      <c r="J890" t="n">
        <v>0</v>
      </c>
      <c r="K890" t="n">
        <v>0</v>
      </c>
      <c r="L890" t="n">
        <v>0</v>
      </c>
      <c r="M890" t="n">
        <v>0</v>
      </c>
      <c r="N890" t="n">
        <v>0</v>
      </c>
      <c r="O890" t="n">
        <v>0</v>
      </c>
      <c r="P890" t="n">
        <v>0</v>
      </c>
      <c r="Q890" t="n">
        <v>0</v>
      </c>
      <c r="R890" s="2" t="inlineStr"/>
    </row>
    <row r="891" ht="15" customHeight="1">
      <c r="A891" t="inlineStr">
        <is>
          <t>A 2158-2024</t>
        </is>
      </c>
      <c r="B891" s="1" t="n">
        <v>45309</v>
      </c>
      <c r="C891" s="1" t="n">
        <v>45347</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2140-2024</t>
        </is>
      </c>
      <c r="B892" s="1" t="n">
        <v>45309</v>
      </c>
      <c r="C892" s="1" t="n">
        <v>45347</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2536-2024</t>
        </is>
      </c>
      <c r="B893" s="1" t="n">
        <v>45313</v>
      </c>
      <c r="C893" s="1" t="n">
        <v>45347</v>
      </c>
      <c r="D893" t="inlineStr">
        <is>
          <t>DALARNAS LÄN</t>
        </is>
      </c>
      <c r="E893" t="inlineStr">
        <is>
          <t>LEKSAND</t>
        </is>
      </c>
      <c r="G893" t="n">
        <v>2.2</v>
      </c>
      <c r="H893" t="n">
        <v>0</v>
      </c>
      <c r="I893" t="n">
        <v>0</v>
      </c>
      <c r="J893" t="n">
        <v>0</v>
      </c>
      <c r="K893" t="n">
        <v>0</v>
      </c>
      <c r="L893" t="n">
        <v>0</v>
      </c>
      <c r="M893" t="n">
        <v>0</v>
      </c>
      <c r="N893" t="n">
        <v>0</v>
      </c>
      <c r="O893" t="n">
        <v>0</v>
      </c>
      <c r="P893" t="n">
        <v>0</v>
      </c>
      <c r="Q893" t="n">
        <v>0</v>
      </c>
      <c r="R893" s="2" t="inlineStr"/>
    </row>
    <row r="894" ht="15" customHeight="1">
      <c r="A894" t="inlineStr">
        <is>
          <t>A 2517-2024</t>
        </is>
      </c>
      <c r="B894" s="1" t="n">
        <v>45313</v>
      </c>
      <c r="C894" s="1" t="n">
        <v>45347</v>
      </c>
      <c r="D894" t="inlineStr">
        <is>
          <t>DALARNAS LÄN</t>
        </is>
      </c>
      <c r="E894" t="inlineStr">
        <is>
          <t>LEKSAND</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2820-2024</t>
        </is>
      </c>
      <c r="B895" s="1" t="n">
        <v>45314</v>
      </c>
      <c r="C895" s="1" t="n">
        <v>45347</v>
      </c>
      <c r="D895" t="inlineStr">
        <is>
          <t>DALARNAS LÄN</t>
        </is>
      </c>
      <c r="E895" t="inlineStr">
        <is>
          <t>LEKSAND</t>
        </is>
      </c>
      <c r="G895" t="n">
        <v>1.7</v>
      </c>
      <c r="H895" t="n">
        <v>0</v>
      </c>
      <c r="I895" t="n">
        <v>0</v>
      </c>
      <c r="J895" t="n">
        <v>0</v>
      </c>
      <c r="K895" t="n">
        <v>0</v>
      </c>
      <c r="L895" t="n">
        <v>0</v>
      </c>
      <c r="M895" t="n">
        <v>0</v>
      </c>
      <c r="N895" t="n">
        <v>0</v>
      </c>
      <c r="O895" t="n">
        <v>0</v>
      </c>
      <c r="P895" t="n">
        <v>0</v>
      </c>
      <c r="Q895" t="n">
        <v>0</v>
      </c>
      <c r="R895" s="2" t="inlineStr"/>
    </row>
    <row r="896" ht="15" customHeight="1">
      <c r="A896" t="inlineStr">
        <is>
          <t>A 2822-2024</t>
        </is>
      </c>
      <c r="B896" s="1" t="n">
        <v>45314</v>
      </c>
      <c r="C896" s="1" t="n">
        <v>45347</v>
      </c>
      <c r="D896" t="inlineStr">
        <is>
          <t>DALARNAS LÄN</t>
        </is>
      </c>
      <c r="E896" t="inlineStr">
        <is>
          <t>LEKSAND</t>
        </is>
      </c>
      <c r="G896" t="n">
        <v>1.6</v>
      </c>
      <c r="H896" t="n">
        <v>0</v>
      </c>
      <c r="I896" t="n">
        <v>0</v>
      </c>
      <c r="J896" t="n">
        <v>0</v>
      </c>
      <c r="K896" t="n">
        <v>0</v>
      </c>
      <c r="L896" t="n">
        <v>0</v>
      </c>
      <c r="M896" t="n">
        <v>0</v>
      </c>
      <c r="N896" t="n">
        <v>0</v>
      </c>
      <c r="O896" t="n">
        <v>0</v>
      </c>
      <c r="P896" t="n">
        <v>0</v>
      </c>
      <c r="Q896" t="n">
        <v>0</v>
      </c>
      <c r="R896" s="2" t="inlineStr"/>
    </row>
    <row r="897" ht="15" customHeight="1">
      <c r="A897" t="inlineStr">
        <is>
          <t>A 3048-2024</t>
        </is>
      </c>
      <c r="B897" s="1" t="n">
        <v>45316</v>
      </c>
      <c r="C897" s="1" t="n">
        <v>45347</v>
      </c>
      <c r="D897" t="inlineStr">
        <is>
          <t>DALARNAS LÄN</t>
        </is>
      </c>
      <c r="E897" t="inlineStr">
        <is>
          <t>LEKSAND</t>
        </is>
      </c>
      <c r="G897" t="n">
        <v>1.3</v>
      </c>
      <c r="H897" t="n">
        <v>0</v>
      </c>
      <c r="I897" t="n">
        <v>0</v>
      </c>
      <c r="J897" t="n">
        <v>0</v>
      </c>
      <c r="K897" t="n">
        <v>0</v>
      </c>
      <c r="L897" t="n">
        <v>0</v>
      </c>
      <c r="M897" t="n">
        <v>0</v>
      </c>
      <c r="N897" t="n">
        <v>0</v>
      </c>
      <c r="O897" t="n">
        <v>0</v>
      </c>
      <c r="P897" t="n">
        <v>0</v>
      </c>
      <c r="Q897" t="n">
        <v>0</v>
      </c>
      <c r="R897" s="2" t="inlineStr"/>
    </row>
    <row r="898" ht="15" customHeight="1">
      <c r="A898" t="inlineStr">
        <is>
          <t>A 3202-2024</t>
        </is>
      </c>
      <c r="B898" s="1" t="n">
        <v>45316</v>
      </c>
      <c r="C898" s="1" t="n">
        <v>45347</v>
      </c>
      <c r="D898" t="inlineStr">
        <is>
          <t>DALARNAS LÄN</t>
        </is>
      </c>
      <c r="E898" t="inlineStr">
        <is>
          <t>LEKSAND</t>
        </is>
      </c>
      <c r="G898" t="n">
        <v>3.3</v>
      </c>
      <c r="H898" t="n">
        <v>0</v>
      </c>
      <c r="I898" t="n">
        <v>0</v>
      </c>
      <c r="J898" t="n">
        <v>0</v>
      </c>
      <c r="K898" t="n">
        <v>0</v>
      </c>
      <c r="L898" t="n">
        <v>0</v>
      </c>
      <c r="M898" t="n">
        <v>0</v>
      </c>
      <c r="N898" t="n">
        <v>0</v>
      </c>
      <c r="O898" t="n">
        <v>0</v>
      </c>
      <c r="P898" t="n">
        <v>0</v>
      </c>
      <c r="Q898" t="n">
        <v>0</v>
      </c>
      <c r="R898" s="2" t="inlineStr"/>
    </row>
    <row r="899" ht="15" customHeight="1">
      <c r="A899" t="inlineStr">
        <is>
          <t>A 3138-2024</t>
        </is>
      </c>
      <c r="B899" s="1" t="n">
        <v>45316</v>
      </c>
      <c r="C899" s="1" t="n">
        <v>45347</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3205-2024</t>
        </is>
      </c>
      <c r="B900" s="1" t="n">
        <v>45316</v>
      </c>
      <c r="C900" s="1" t="n">
        <v>45347</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3352-2024</t>
        </is>
      </c>
      <c r="B901" s="1" t="n">
        <v>45317</v>
      </c>
      <c r="C901" s="1" t="n">
        <v>45347</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3901-2024</t>
        </is>
      </c>
      <c r="B902" s="1" t="n">
        <v>45322</v>
      </c>
      <c r="C902" s="1" t="n">
        <v>45347</v>
      </c>
      <c r="D902" t="inlineStr">
        <is>
          <t>DALARNAS LÄN</t>
        </is>
      </c>
      <c r="E902" t="inlineStr">
        <is>
          <t>LEKSAND</t>
        </is>
      </c>
      <c r="G902" t="n">
        <v>3.3</v>
      </c>
      <c r="H902" t="n">
        <v>0</v>
      </c>
      <c r="I902" t="n">
        <v>0</v>
      </c>
      <c r="J902" t="n">
        <v>0</v>
      </c>
      <c r="K902" t="n">
        <v>0</v>
      </c>
      <c r="L902" t="n">
        <v>0</v>
      </c>
      <c r="M902" t="n">
        <v>0</v>
      </c>
      <c r="N902" t="n">
        <v>0</v>
      </c>
      <c r="O902" t="n">
        <v>0</v>
      </c>
      <c r="P902" t="n">
        <v>0</v>
      </c>
      <c r="Q902" t="n">
        <v>0</v>
      </c>
      <c r="R902" s="2" t="inlineStr"/>
    </row>
    <row r="903" ht="15" customHeight="1">
      <c r="A903" t="inlineStr">
        <is>
          <t>A 3970-2024</t>
        </is>
      </c>
      <c r="B903" s="1" t="n">
        <v>45322</v>
      </c>
      <c r="C903" s="1" t="n">
        <v>45347</v>
      </c>
      <c r="D903" t="inlineStr">
        <is>
          <t>DALARNAS LÄN</t>
        </is>
      </c>
      <c r="E903" t="inlineStr">
        <is>
          <t>LEKSAND</t>
        </is>
      </c>
      <c r="G903" t="n">
        <v>2.4</v>
      </c>
      <c r="H903" t="n">
        <v>0</v>
      </c>
      <c r="I903" t="n">
        <v>0</v>
      </c>
      <c r="J903" t="n">
        <v>0</v>
      </c>
      <c r="K903" t="n">
        <v>0</v>
      </c>
      <c r="L903" t="n">
        <v>0</v>
      </c>
      <c r="M903" t="n">
        <v>0</v>
      </c>
      <c r="N903" t="n">
        <v>0</v>
      </c>
      <c r="O903" t="n">
        <v>0</v>
      </c>
      <c r="P903" t="n">
        <v>0</v>
      </c>
      <c r="Q903" t="n">
        <v>0</v>
      </c>
      <c r="R903" s="2" t="inlineStr"/>
    </row>
    <row r="904" ht="15" customHeight="1">
      <c r="A904" t="inlineStr">
        <is>
          <t>A 3974-2024</t>
        </is>
      </c>
      <c r="B904" s="1" t="n">
        <v>45322</v>
      </c>
      <c r="C904" s="1" t="n">
        <v>45347</v>
      </c>
      <c r="D904" t="inlineStr">
        <is>
          <t>DALARNAS LÄN</t>
        </is>
      </c>
      <c r="E904" t="inlineStr">
        <is>
          <t>LEKSAND</t>
        </is>
      </c>
      <c r="G904" t="n">
        <v>3.3</v>
      </c>
      <c r="H904" t="n">
        <v>0</v>
      </c>
      <c r="I904" t="n">
        <v>0</v>
      </c>
      <c r="J904" t="n">
        <v>0</v>
      </c>
      <c r="K904" t="n">
        <v>0</v>
      </c>
      <c r="L904" t="n">
        <v>0</v>
      </c>
      <c r="M904" t="n">
        <v>0</v>
      </c>
      <c r="N904" t="n">
        <v>0</v>
      </c>
      <c r="O904" t="n">
        <v>0</v>
      </c>
      <c r="P904" t="n">
        <v>0</v>
      </c>
      <c r="Q904" t="n">
        <v>0</v>
      </c>
      <c r="R904" s="2" t="inlineStr"/>
    </row>
    <row r="905" ht="15" customHeight="1">
      <c r="A905" t="inlineStr">
        <is>
          <t>A 4121-2024</t>
        </is>
      </c>
      <c r="B905" s="1" t="n">
        <v>45323</v>
      </c>
      <c r="C905" s="1" t="n">
        <v>45347</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4248-2024</t>
        </is>
      </c>
      <c r="B906" s="1" t="n">
        <v>45324</v>
      </c>
      <c r="C906" s="1" t="n">
        <v>45347</v>
      </c>
      <c r="D906" t="inlineStr">
        <is>
          <t>DALARNAS LÄN</t>
        </is>
      </c>
      <c r="E906" t="inlineStr">
        <is>
          <t>LEKSAND</t>
        </is>
      </c>
      <c r="G906" t="n">
        <v>3.6</v>
      </c>
      <c r="H906" t="n">
        <v>0</v>
      </c>
      <c r="I906" t="n">
        <v>0</v>
      </c>
      <c r="J906" t="n">
        <v>0</v>
      </c>
      <c r="K906" t="n">
        <v>0</v>
      </c>
      <c r="L906" t="n">
        <v>0</v>
      </c>
      <c r="M906" t="n">
        <v>0</v>
      </c>
      <c r="N906" t="n">
        <v>0</v>
      </c>
      <c r="O906" t="n">
        <v>0</v>
      </c>
      <c r="P906" t="n">
        <v>0</v>
      </c>
      <c r="Q906" t="n">
        <v>0</v>
      </c>
      <c r="R906" s="2" t="inlineStr"/>
    </row>
    <row r="907" ht="15" customHeight="1">
      <c r="A907" t="inlineStr">
        <is>
          <t>A 4956-2024</t>
        </is>
      </c>
      <c r="B907" s="1" t="n">
        <v>45329</v>
      </c>
      <c r="C907" s="1" t="n">
        <v>45347</v>
      </c>
      <c r="D907" t="inlineStr">
        <is>
          <t>DALARNAS LÄN</t>
        </is>
      </c>
      <c r="E907" t="inlineStr">
        <is>
          <t>LEKSAND</t>
        </is>
      </c>
      <c r="F907" t="inlineStr">
        <is>
          <t>Kommuner</t>
        </is>
      </c>
      <c r="G907" t="n">
        <v>1.1</v>
      </c>
      <c r="H907" t="n">
        <v>0</v>
      </c>
      <c r="I907" t="n">
        <v>0</v>
      </c>
      <c r="J907" t="n">
        <v>0</v>
      </c>
      <c r="K907" t="n">
        <v>0</v>
      </c>
      <c r="L907" t="n">
        <v>0</v>
      </c>
      <c r="M907" t="n">
        <v>0</v>
      </c>
      <c r="N907" t="n">
        <v>0</v>
      </c>
      <c r="O907" t="n">
        <v>0</v>
      </c>
      <c r="P907" t="n">
        <v>0</v>
      </c>
      <c r="Q907" t="n">
        <v>0</v>
      </c>
      <c r="R907" s="2" t="inlineStr"/>
    </row>
    <row r="908" ht="15" customHeight="1">
      <c r="A908" t="inlineStr">
        <is>
          <t>A 4938-2024</t>
        </is>
      </c>
      <c r="B908" s="1" t="n">
        <v>45329</v>
      </c>
      <c r="C908" s="1" t="n">
        <v>45347</v>
      </c>
      <c r="D908" t="inlineStr">
        <is>
          <t>DALARNAS LÄN</t>
        </is>
      </c>
      <c r="E908" t="inlineStr">
        <is>
          <t>LEKSAND</t>
        </is>
      </c>
      <c r="G908" t="n">
        <v>7.7</v>
      </c>
      <c r="H908" t="n">
        <v>0</v>
      </c>
      <c r="I908" t="n">
        <v>0</v>
      </c>
      <c r="J908" t="n">
        <v>0</v>
      </c>
      <c r="K908" t="n">
        <v>0</v>
      </c>
      <c r="L908" t="n">
        <v>0</v>
      </c>
      <c r="M908" t="n">
        <v>0</v>
      </c>
      <c r="N908" t="n">
        <v>0</v>
      </c>
      <c r="O908" t="n">
        <v>0</v>
      </c>
      <c r="P908" t="n">
        <v>0</v>
      </c>
      <c r="Q908" t="n">
        <v>0</v>
      </c>
      <c r="R908" s="2" t="inlineStr"/>
    </row>
    <row r="909" ht="15" customHeight="1">
      <c r="A909" t="inlineStr">
        <is>
          <t>A 5231-2024</t>
        </is>
      </c>
      <c r="B909" s="1" t="n">
        <v>45330</v>
      </c>
      <c r="C909" s="1" t="n">
        <v>45347</v>
      </c>
      <c r="D909" t="inlineStr">
        <is>
          <t>DALARNAS LÄN</t>
        </is>
      </c>
      <c r="E909" t="inlineStr">
        <is>
          <t>LEKSAND</t>
        </is>
      </c>
      <c r="F909" t="inlineStr">
        <is>
          <t>Bergvik skog väst AB</t>
        </is>
      </c>
      <c r="G909" t="n">
        <v>11.2</v>
      </c>
      <c r="H909" t="n">
        <v>0</v>
      </c>
      <c r="I909" t="n">
        <v>0</v>
      </c>
      <c r="J909" t="n">
        <v>0</v>
      </c>
      <c r="K909" t="n">
        <v>0</v>
      </c>
      <c r="L909" t="n">
        <v>0</v>
      </c>
      <c r="M909" t="n">
        <v>0</v>
      </c>
      <c r="N909" t="n">
        <v>0</v>
      </c>
      <c r="O909" t="n">
        <v>0</v>
      </c>
      <c r="P909" t="n">
        <v>0</v>
      </c>
      <c r="Q909" t="n">
        <v>0</v>
      </c>
      <c r="R909" s="2" t="inlineStr"/>
    </row>
    <row r="910" ht="15" customHeight="1">
      <c r="A910" t="inlineStr">
        <is>
          <t>A 5369-2024</t>
        </is>
      </c>
      <c r="B910" s="1" t="n">
        <v>45331</v>
      </c>
      <c r="C910" s="1" t="n">
        <v>45347</v>
      </c>
      <c r="D910" t="inlineStr">
        <is>
          <t>DALARNAS LÄN</t>
        </is>
      </c>
      <c r="E910" t="inlineStr">
        <is>
          <t>LEKSAND</t>
        </is>
      </c>
      <c r="F910" t="inlineStr">
        <is>
          <t>Kommuner</t>
        </is>
      </c>
      <c r="G910" t="n">
        <v>2.9</v>
      </c>
      <c r="H910" t="n">
        <v>0</v>
      </c>
      <c r="I910" t="n">
        <v>0</v>
      </c>
      <c r="J910" t="n">
        <v>0</v>
      </c>
      <c r="K910" t="n">
        <v>0</v>
      </c>
      <c r="L910" t="n">
        <v>0</v>
      </c>
      <c r="M910" t="n">
        <v>0</v>
      </c>
      <c r="N910" t="n">
        <v>0</v>
      </c>
      <c r="O910" t="n">
        <v>0</v>
      </c>
      <c r="P910" t="n">
        <v>0</v>
      </c>
      <c r="Q910" t="n">
        <v>0</v>
      </c>
      <c r="R910" s="2" t="inlineStr"/>
    </row>
    <row r="911" ht="15" customHeight="1">
      <c r="A911" t="inlineStr">
        <is>
          <t>A 5570-2024</t>
        </is>
      </c>
      <c r="B911" s="1" t="n">
        <v>45334</v>
      </c>
      <c r="C911" s="1" t="n">
        <v>45347</v>
      </c>
      <c r="D911" t="inlineStr">
        <is>
          <t>DALARNAS LÄN</t>
        </is>
      </c>
      <c r="E911" t="inlineStr">
        <is>
          <t>LEKSAND</t>
        </is>
      </c>
      <c r="G911" t="n">
        <v>0.3</v>
      </c>
      <c r="H911" t="n">
        <v>0</v>
      </c>
      <c r="I911" t="n">
        <v>0</v>
      </c>
      <c r="J911" t="n">
        <v>0</v>
      </c>
      <c r="K911" t="n">
        <v>0</v>
      </c>
      <c r="L911" t="n">
        <v>0</v>
      </c>
      <c r="M911" t="n">
        <v>0</v>
      </c>
      <c r="N911" t="n">
        <v>0</v>
      </c>
      <c r="O911" t="n">
        <v>0</v>
      </c>
      <c r="P911" t="n">
        <v>0</v>
      </c>
      <c r="Q911" t="n">
        <v>0</v>
      </c>
      <c r="R911" s="2" t="inlineStr"/>
    </row>
    <row r="912" ht="15" customHeight="1">
      <c r="A912" t="inlineStr">
        <is>
          <t>A 5574-2024</t>
        </is>
      </c>
      <c r="B912" s="1" t="n">
        <v>45334</v>
      </c>
      <c r="C912" s="1" t="n">
        <v>45347</v>
      </c>
      <c r="D912" t="inlineStr">
        <is>
          <t>DALARNAS LÄN</t>
        </is>
      </c>
      <c r="E912" t="inlineStr">
        <is>
          <t>LEKSAND</t>
        </is>
      </c>
      <c r="G912" t="n">
        <v>0.4</v>
      </c>
      <c r="H912" t="n">
        <v>0</v>
      </c>
      <c r="I912" t="n">
        <v>0</v>
      </c>
      <c r="J912" t="n">
        <v>0</v>
      </c>
      <c r="K912" t="n">
        <v>0</v>
      </c>
      <c r="L912" t="n">
        <v>0</v>
      </c>
      <c r="M912" t="n">
        <v>0</v>
      </c>
      <c r="N912" t="n">
        <v>0</v>
      </c>
      <c r="O912" t="n">
        <v>0</v>
      </c>
      <c r="P912" t="n">
        <v>0</v>
      </c>
      <c r="Q912" t="n">
        <v>0</v>
      </c>
      <c r="R912" s="2" t="inlineStr"/>
    </row>
    <row r="913" ht="15" customHeight="1">
      <c r="A913" t="inlineStr">
        <is>
          <t>A 5582-2024</t>
        </is>
      </c>
      <c r="B913" s="1" t="n">
        <v>45334</v>
      </c>
      <c r="C913" s="1" t="n">
        <v>45347</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5584-2024</t>
        </is>
      </c>
      <c r="B914" s="1" t="n">
        <v>45334</v>
      </c>
      <c r="C914" s="1" t="n">
        <v>45347</v>
      </c>
      <c r="D914" t="inlineStr">
        <is>
          <t>DALARNAS LÄN</t>
        </is>
      </c>
      <c r="E914" t="inlineStr">
        <is>
          <t>LEKSAND</t>
        </is>
      </c>
      <c r="F914" t="inlineStr">
        <is>
          <t>Kyrkan</t>
        </is>
      </c>
      <c r="G914" t="n">
        <v>0.4</v>
      </c>
      <c r="H914" t="n">
        <v>0</v>
      </c>
      <c r="I914" t="n">
        <v>0</v>
      </c>
      <c r="J914" t="n">
        <v>0</v>
      </c>
      <c r="K914" t="n">
        <v>0</v>
      </c>
      <c r="L914" t="n">
        <v>0</v>
      </c>
      <c r="M914" t="n">
        <v>0</v>
      </c>
      <c r="N914" t="n">
        <v>0</v>
      </c>
      <c r="O914" t="n">
        <v>0</v>
      </c>
      <c r="P914" t="n">
        <v>0</v>
      </c>
      <c r="Q914" t="n">
        <v>0</v>
      </c>
      <c r="R914" s="2" t="inlineStr"/>
    </row>
    <row r="915" ht="15" customHeight="1">
      <c r="A915" t="inlineStr">
        <is>
          <t>A 5514-2024</t>
        </is>
      </c>
      <c r="B915" s="1" t="n">
        <v>45334</v>
      </c>
      <c r="C915" s="1" t="n">
        <v>45347</v>
      </c>
      <c r="D915" t="inlineStr">
        <is>
          <t>DALARNAS LÄN</t>
        </is>
      </c>
      <c r="E915" t="inlineStr">
        <is>
          <t>LEKSAND</t>
        </is>
      </c>
      <c r="G915" t="n">
        <v>2.9</v>
      </c>
      <c r="H915" t="n">
        <v>0</v>
      </c>
      <c r="I915" t="n">
        <v>0</v>
      </c>
      <c r="J915" t="n">
        <v>0</v>
      </c>
      <c r="K915" t="n">
        <v>0</v>
      </c>
      <c r="L915" t="n">
        <v>0</v>
      </c>
      <c r="M915" t="n">
        <v>0</v>
      </c>
      <c r="N915" t="n">
        <v>0</v>
      </c>
      <c r="O915" t="n">
        <v>0</v>
      </c>
      <c r="P915" t="n">
        <v>0</v>
      </c>
      <c r="Q915" t="n">
        <v>0</v>
      </c>
      <c r="R915" s="2" t="inlineStr"/>
    </row>
    <row r="916" ht="15" customHeight="1">
      <c r="A916" t="inlineStr">
        <is>
          <t>A 5583-2024</t>
        </is>
      </c>
      <c r="B916" s="1" t="n">
        <v>45334</v>
      </c>
      <c r="C916" s="1" t="n">
        <v>45347</v>
      </c>
      <c r="D916" t="inlineStr">
        <is>
          <t>DALARNAS LÄN</t>
        </is>
      </c>
      <c r="E916" t="inlineStr">
        <is>
          <t>LEKSAND</t>
        </is>
      </c>
      <c r="F916" t="inlineStr">
        <is>
          <t>Kyrkan</t>
        </is>
      </c>
      <c r="G916" t="n">
        <v>0.4</v>
      </c>
      <c r="H916" t="n">
        <v>0</v>
      </c>
      <c r="I916" t="n">
        <v>0</v>
      </c>
      <c r="J916" t="n">
        <v>0</v>
      </c>
      <c r="K916" t="n">
        <v>0</v>
      </c>
      <c r="L916" t="n">
        <v>0</v>
      </c>
      <c r="M916" t="n">
        <v>0</v>
      </c>
      <c r="N916" t="n">
        <v>0</v>
      </c>
      <c r="O916" t="n">
        <v>0</v>
      </c>
      <c r="P916" t="n">
        <v>0</v>
      </c>
      <c r="Q916" t="n">
        <v>0</v>
      </c>
      <c r="R916" s="2" t="inlineStr"/>
    </row>
    <row r="917" ht="15" customHeight="1">
      <c r="A917" t="inlineStr">
        <is>
          <t>A 5900-2024</t>
        </is>
      </c>
      <c r="B917" s="1" t="n">
        <v>45335</v>
      </c>
      <c r="C917" s="1" t="n">
        <v>45347</v>
      </c>
      <c r="D917" t="inlineStr">
        <is>
          <t>DALARNAS LÄN</t>
        </is>
      </c>
      <c r="E917" t="inlineStr">
        <is>
          <t>LEKSAND</t>
        </is>
      </c>
      <c r="G917" t="n">
        <v>0.8</v>
      </c>
      <c r="H917" t="n">
        <v>0</v>
      </c>
      <c r="I917" t="n">
        <v>0</v>
      </c>
      <c r="J917" t="n">
        <v>0</v>
      </c>
      <c r="K917" t="n">
        <v>0</v>
      </c>
      <c r="L917" t="n">
        <v>0</v>
      </c>
      <c r="M917" t="n">
        <v>0</v>
      </c>
      <c r="N917" t="n">
        <v>0</v>
      </c>
      <c r="O917" t="n">
        <v>0</v>
      </c>
      <c r="P917" t="n">
        <v>0</v>
      </c>
      <c r="Q917" t="n">
        <v>0</v>
      </c>
      <c r="R917" s="2" t="inlineStr"/>
    </row>
    <row r="918" ht="15" customHeight="1">
      <c r="A918" t="inlineStr">
        <is>
          <t>A 6758-2024</t>
        </is>
      </c>
      <c r="B918" s="1" t="n">
        <v>45342</v>
      </c>
      <c r="C918" s="1" t="n">
        <v>45347</v>
      </c>
      <c r="D918" t="inlineStr">
        <is>
          <t>DALARNAS LÄN</t>
        </is>
      </c>
      <c r="E918" t="inlineStr">
        <is>
          <t>LEKSAND</t>
        </is>
      </c>
      <c r="F918" t="inlineStr">
        <is>
          <t>Bergvik skog väst AB</t>
        </is>
      </c>
      <c r="G918" t="n">
        <v>6.2</v>
      </c>
      <c r="H918" t="n">
        <v>0</v>
      </c>
      <c r="I918" t="n">
        <v>0</v>
      </c>
      <c r="J918" t="n">
        <v>0</v>
      </c>
      <c r="K918" t="n">
        <v>0</v>
      </c>
      <c r="L918" t="n">
        <v>0</v>
      </c>
      <c r="M918" t="n">
        <v>0</v>
      </c>
      <c r="N918" t="n">
        <v>0</v>
      </c>
      <c r="O918" t="n">
        <v>0</v>
      </c>
      <c r="P918" t="n">
        <v>0</v>
      </c>
      <c r="Q918" t="n">
        <v>0</v>
      </c>
      <c r="R918" s="2" t="inlineStr"/>
    </row>
    <row r="919">
      <c r="A919" t="inlineStr">
        <is>
          <t>A 7417-2024</t>
        </is>
      </c>
      <c r="B919" s="1" t="n">
        <v>45345</v>
      </c>
      <c r="C919" s="1" t="n">
        <v>45347</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2024-02-25T12:45:30Z</dcterms:created>
  <dcterms:modified xmlns:dcterms="http://purl.org/dc/terms/" xmlns:xsi="http://www.w3.org/2001/XMLSchema-instance" xsi:type="dcterms:W3CDTF">2024-02-25T12:45:31Z</dcterms:modified>
</cp:coreProperties>
</file>