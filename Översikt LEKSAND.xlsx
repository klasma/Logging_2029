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45508</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45508</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45508</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45508</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45508</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45508</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45508</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45508</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45508</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45508</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45508</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45508</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45508</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45508</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45508</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45508</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45508</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45508</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45508</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45508</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45508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45508</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45508</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45508</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45508</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45508</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45508</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45508</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45508</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45508</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45508</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45508</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45508</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45508</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45508</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45508</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45508</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45508</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45508</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45508</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45508</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45508</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45508</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45508</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17822-2019</t>
        </is>
      </c>
      <c r="B47" s="1" t="n">
        <v>43556</v>
      </c>
      <c r="C47" s="1" t="n">
        <v>45508</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17967-2019</t>
        </is>
      </c>
      <c r="B48" s="1" t="n">
        <v>43557</v>
      </c>
      <c r="C48" s="1" t="n">
        <v>45508</v>
      </c>
      <c r="D48" t="inlineStr">
        <is>
          <t>DALARNAS LÄN</t>
        </is>
      </c>
      <c r="E48" t="inlineStr">
        <is>
          <t>LEKSAND</t>
        </is>
      </c>
      <c r="G48" t="n">
        <v>0.6</v>
      </c>
      <c r="H48" t="n">
        <v>0</v>
      </c>
      <c r="I48" t="n">
        <v>0</v>
      </c>
      <c r="J48" t="n">
        <v>0</v>
      </c>
      <c r="K48" t="n">
        <v>0</v>
      </c>
      <c r="L48" t="n">
        <v>0</v>
      </c>
      <c r="M48" t="n">
        <v>0</v>
      </c>
      <c r="N48" t="n">
        <v>0</v>
      </c>
      <c r="O48" t="n">
        <v>0</v>
      </c>
      <c r="P48" t="n">
        <v>0</v>
      </c>
      <c r="Q48" t="n">
        <v>0</v>
      </c>
      <c r="R48" s="2" t="inlineStr"/>
    </row>
    <row r="49" ht="15" customHeight="1">
      <c r="A49" t="inlineStr">
        <is>
          <t>A 17970-2019</t>
        </is>
      </c>
      <c r="B49" s="1" t="n">
        <v>43557</v>
      </c>
      <c r="C49" s="1" t="n">
        <v>45508</v>
      </c>
      <c r="D49" t="inlineStr">
        <is>
          <t>DALARNAS LÄN</t>
        </is>
      </c>
      <c r="E49" t="inlineStr">
        <is>
          <t>LEKSAND</t>
        </is>
      </c>
      <c r="G49" t="n">
        <v>2.5</v>
      </c>
      <c r="H49" t="n">
        <v>0</v>
      </c>
      <c r="I49" t="n">
        <v>0</v>
      </c>
      <c r="J49" t="n">
        <v>0</v>
      </c>
      <c r="K49" t="n">
        <v>0</v>
      </c>
      <c r="L49" t="n">
        <v>0</v>
      </c>
      <c r="M49" t="n">
        <v>0</v>
      </c>
      <c r="N49" t="n">
        <v>0</v>
      </c>
      <c r="O49" t="n">
        <v>0</v>
      </c>
      <c r="P49" t="n">
        <v>0</v>
      </c>
      <c r="Q49" t="n">
        <v>0</v>
      </c>
      <c r="R49" s="2" t="inlineStr"/>
    </row>
    <row r="50" ht="15" customHeight="1">
      <c r="A50" t="inlineStr">
        <is>
          <t>A 18238-2019</t>
        </is>
      </c>
      <c r="B50" s="1" t="n">
        <v>43558</v>
      </c>
      <c r="C50" s="1" t="n">
        <v>45508</v>
      </c>
      <c r="D50" t="inlineStr">
        <is>
          <t>DALARNAS LÄN</t>
        </is>
      </c>
      <c r="E50" t="inlineStr">
        <is>
          <t>LEKSAND</t>
        </is>
      </c>
      <c r="G50" t="n">
        <v>3.3</v>
      </c>
      <c r="H50" t="n">
        <v>0</v>
      </c>
      <c r="I50" t="n">
        <v>0</v>
      </c>
      <c r="J50" t="n">
        <v>0</v>
      </c>
      <c r="K50" t="n">
        <v>0</v>
      </c>
      <c r="L50" t="n">
        <v>0</v>
      </c>
      <c r="M50" t="n">
        <v>0</v>
      </c>
      <c r="N50" t="n">
        <v>0</v>
      </c>
      <c r="O50" t="n">
        <v>0</v>
      </c>
      <c r="P50" t="n">
        <v>0</v>
      </c>
      <c r="Q50" t="n">
        <v>0</v>
      </c>
      <c r="R50" s="2" t="inlineStr"/>
    </row>
    <row r="51" ht="15" customHeight="1">
      <c r="A51" t="inlineStr">
        <is>
          <t>A 19703-2019</t>
        </is>
      </c>
      <c r="B51" s="1" t="n">
        <v>43566</v>
      </c>
      <c r="C51" s="1" t="n">
        <v>45508</v>
      </c>
      <c r="D51" t="inlineStr">
        <is>
          <t>DALARNAS LÄN</t>
        </is>
      </c>
      <c r="E51" t="inlineStr">
        <is>
          <t>LEKSAND</t>
        </is>
      </c>
      <c r="G51" t="n">
        <v>0.4</v>
      </c>
      <c r="H51" t="n">
        <v>0</v>
      </c>
      <c r="I51" t="n">
        <v>0</v>
      </c>
      <c r="J51" t="n">
        <v>0</v>
      </c>
      <c r="K51" t="n">
        <v>0</v>
      </c>
      <c r="L51" t="n">
        <v>0</v>
      </c>
      <c r="M51" t="n">
        <v>0</v>
      </c>
      <c r="N51" t="n">
        <v>0</v>
      </c>
      <c r="O51" t="n">
        <v>0</v>
      </c>
      <c r="P51" t="n">
        <v>0</v>
      </c>
      <c r="Q51" t="n">
        <v>0</v>
      </c>
      <c r="R51" s="2" t="inlineStr"/>
    </row>
    <row r="52" ht="15" customHeight="1">
      <c r="A52" t="inlineStr">
        <is>
          <t>A 19790-2019</t>
        </is>
      </c>
      <c r="B52" s="1" t="n">
        <v>43566</v>
      </c>
      <c r="C52" s="1" t="n">
        <v>45508</v>
      </c>
      <c r="D52" t="inlineStr">
        <is>
          <t>DALARNAS LÄN</t>
        </is>
      </c>
      <c r="E52" t="inlineStr">
        <is>
          <t>LEKSAND</t>
        </is>
      </c>
      <c r="G52" t="n">
        <v>11.4</v>
      </c>
      <c r="H52" t="n">
        <v>0</v>
      </c>
      <c r="I52" t="n">
        <v>0</v>
      </c>
      <c r="J52" t="n">
        <v>0</v>
      </c>
      <c r="K52" t="n">
        <v>0</v>
      </c>
      <c r="L52" t="n">
        <v>0</v>
      </c>
      <c r="M52" t="n">
        <v>0</v>
      </c>
      <c r="N52" t="n">
        <v>0</v>
      </c>
      <c r="O52" t="n">
        <v>0</v>
      </c>
      <c r="P52" t="n">
        <v>0</v>
      </c>
      <c r="Q52" t="n">
        <v>0</v>
      </c>
      <c r="R52" s="2" t="inlineStr"/>
    </row>
    <row r="53" ht="15" customHeight="1">
      <c r="A53" t="inlineStr">
        <is>
          <t>A 22975-2019</t>
        </is>
      </c>
      <c r="B53" s="1" t="n">
        <v>43591</v>
      </c>
      <c r="C53" s="1" t="n">
        <v>45508</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24300-2019</t>
        </is>
      </c>
      <c r="B54" s="1" t="n">
        <v>43598</v>
      </c>
      <c r="C54" s="1" t="n">
        <v>45508</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24051-2019</t>
        </is>
      </c>
      <c r="B55" s="1" t="n">
        <v>43598</v>
      </c>
      <c r="C55" s="1" t="n">
        <v>45508</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24542-2019</t>
        </is>
      </c>
      <c r="B56" s="1" t="n">
        <v>43600</v>
      </c>
      <c r="C56" s="1" t="n">
        <v>45508</v>
      </c>
      <c r="D56" t="inlineStr">
        <is>
          <t>DALARNAS LÄN</t>
        </is>
      </c>
      <c r="E56" t="inlineStr">
        <is>
          <t>LEKSAND</t>
        </is>
      </c>
      <c r="G56" t="n">
        <v>1.1</v>
      </c>
      <c r="H56" t="n">
        <v>0</v>
      </c>
      <c r="I56" t="n">
        <v>0</v>
      </c>
      <c r="J56" t="n">
        <v>0</v>
      </c>
      <c r="K56" t="n">
        <v>0</v>
      </c>
      <c r="L56" t="n">
        <v>0</v>
      </c>
      <c r="M56" t="n">
        <v>0</v>
      </c>
      <c r="N56" t="n">
        <v>0</v>
      </c>
      <c r="O56" t="n">
        <v>0</v>
      </c>
      <c r="P56" t="n">
        <v>0</v>
      </c>
      <c r="Q56" t="n">
        <v>0</v>
      </c>
      <c r="R56" s="2" t="inlineStr"/>
    </row>
    <row r="57" ht="15" customHeight="1">
      <c r="A57" t="inlineStr">
        <is>
          <t>A 32532-2019</t>
        </is>
      </c>
      <c r="B57" s="1" t="n">
        <v>43646</v>
      </c>
      <c r="C57" s="1" t="n">
        <v>45508</v>
      </c>
      <c r="D57" t="inlineStr">
        <is>
          <t>DALARNAS LÄN</t>
        </is>
      </c>
      <c r="E57" t="inlineStr">
        <is>
          <t>LEKSAND</t>
        </is>
      </c>
      <c r="G57" t="n">
        <v>3.1</v>
      </c>
      <c r="H57" t="n">
        <v>0</v>
      </c>
      <c r="I57" t="n">
        <v>0</v>
      </c>
      <c r="J57" t="n">
        <v>0</v>
      </c>
      <c r="K57" t="n">
        <v>0</v>
      </c>
      <c r="L57" t="n">
        <v>0</v>
      </c>
      <c r="M57" t="n">
        <v>0</v>
      </c>
      <c r="N57" t="n">
        <v>0</v>
      </c>
      <c r="O57" t="n">
        <v>0</v>
      </c>
      <c r="P57" t="n">
        <v>0</v>
      </c>
      <c r="Q57" t="n">
        <v>0</v>
      </c>
      <c r="R57" s="2" t="inlineStr"/>
    </row>
    <row r="58" ht="15" customHeight="1">
      <c r="A58" t="inlineStr">
        <is>
          <t>A 33903-2019</t>
        </is>
      </c>
      <c r="B58" s="1" t="n">
        <v>43654</v>
      </c>
      <c r="C58" s="1" t="n">
        <v>45508</v>
      </c>
      <c r="D58" t="inlineStr">
        <is>
          <t>DALARNAS LÄN</t>
        </is>
      </c>
      <c r="E58" t="inlineStr">
        <is>
          <t>LEKSAND</t>
        </is>
      </c>
      <c r="G58" t="n">
        <v>1.7</v>
      </c>
      <c r="H58" t="n">
        <v>0</v>
      </c>
      <c r="I58" t="n">
        <v>0</v>
      </c>
      <c r="J58" t="n">
        <v>0</v>
      </c>
      <c r="K58" t="n">
        <v>0</v>
      </c>
      <c r="L58" t="n">
        <v>0</v>
      </c>
      <c r="M58" t="n">
        <v>0</v>
      </c>
      <c r="N58" t="n">
        <v>0</v>
      </c>
      <c r="O58" t="n">
        <v>0</v>
      </c>
      <c r="P58" t="n">
        <v>0</v>
      </c>
      <c r="Q58" t="n">
        <v>0</v>
      </c>
      <c r="R58" s="2" t="inlineStr"/>
    </row>
    <row r="59" ht="15" customHeight="1">
      <c r="A59" t="inlineStr">
        <is>
          <t>A 36014-2019</t>
        </is>
      </c>
      <c r="B59" s="1" t="n">
        <v>43657</v>
      </c>
      <c r="C59" s="1" t="n">
        <v>45508</v>
      </c>
      <c r="D59" t="inlineStr">
        <is>
          <t>DALARNAS LÄN</t>
        </is>
      </c>
      <c r="E59" t="inlineStr">
        <is>
          <t>LEKSAND</t>
        </is>
      </c>
      <c r="G59" t="n">
        <v>1.8</v>
      </c>
      <c r="H59" t="n">
        <v>0</v>
      </c>
      <c r="I59" t="n">
        <v>0</v>
      </c>
      <c r="J59" t="n">
        <v>0</v>
      </c>
      <c r="K59" t="n">
        <v>0</v>
      </c>
      <c r="L59" t="n">
        <v>0</v>
      </c>
      <c r="M59" t="n">
        <v>0</v>
      </c>
      <c r="N59" t="n">
        <v>0</v>
      </c>
      <c r="O59" t="n">
        <v>0</v>
      </c>
      <c r="P59" t="n">
        <v>0</v>
      </c>
      <c r="Q59" t="n">
        <v>0</v>
      </c>
      <c r="R59" s="2" t="inlineStr"/>
    </row>
    <row r="60" ht="15" customHeight="1">
      <c r="A60" t="inlineStr">
        <is>
          <t>A 36023-2019</t>
        </is>
      </c>
      <c r="B60" s="1" t="n">
        <v>43657</v>
      </c>
      <c r="C60" s="1" t="n">
        <v>45508</v>
      </c>
      <c r="D60" t="inlineStr">
        <is>
          <t>DALARNAS LÄN</t>
        </is>
      </c>
      <c r="E60" t="inlineStr">
        <is>
          <t>LEKSAND</t>
        </is>
      </c>
      <c r="G60" t="n">
        <v>1.5</v>
      </c>
      <c r="H60" t="n">
        <v>0</v>
      </c>
      <c r="I60" t="n">
        <v>0</v>
      </c>
      <c r="J60" t="n">
        <v>0</v>
      </c>
      <c r="K60" t="n">
        <v>0</v>
      </c>
      <c r="L60" t="n">
        <v>0</v>
      </c>
      <c r="M60" t="n">
        <v>0</v>
      </c>
      <c r="N60" t="n">
        <v>0</v>
      </c>
      <c r="O60" t="n">
        <v>0</v>
      </c>
      <c r="P60" t="n">
        <v>0</v>
      </c>
      <c r="Q60" t="n">
        <v>0</v>
      </c>
      <c r="R60" s="2" t="inlineStr"/>
    </row>
    <row r="61" ht="15" customHeight="1">
      <c r="A61" t="inlineStr">
        <is>
          <t>A 36287-2019</t>
        </is>
      </c>
      <c r="B61" s="1" t="n">
        <v>43669</v>
      </c>
      <c r="C61" s="1" t="n">
        <v>45508</v>
      </c>
      <c r="D61" t="inlineStr">
        <is>
          <t>DALARNAS LÄN</t>
        </is>
      </c>
      <c r="E61" t="inlineStr">
        <is>
          <t>LEKSAND</t>
        </is>
      </c>
      <c r="G61" t="n">
        <v>1.1</v>
      </c>
      <c r="H61" t="n">
        <v>0</v>
      </c>
      <c r="I61" t="n">
        <v>0</v>
      </c>
      <c r="J61" t="n">
        <v>0</v>
      </c>
      <c r="K61" t="n">
        <v>0</v>
      </c>
      <c r="L61" t="n">
        <v>0</v>
      </c>
      <c r="M61" t="n">
        <v>0</v>
      </c>
      <c r="N61" t="n">
        <v>0</v>
      </c>
      <c r="O61" t="n">
        <v>0</v>
      </c>
      <c r="P61" t="n">
        <v>0</v>
      </c>
      <c r="Q61" t="n">
        <v>0</v>
      </c>
      <c r="R61" s="2" t="inlineStr"/>
    </row>
    <row r="62" ht="15" customHeight="1">
      <c r="A62" t="inlineStr">
        <is>
          <t>A 37733-2019</t>
        </is>
      </c>
      <c r="B62" s="1" t="n">
        <v>43682</v>
      </c>
      <c r="C62" s="1" t="n">
        <v>45508</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37822-2019</t>
        </is>
      </c>
      <c r="B63" s="1" t="n">
        <v>43682</v>
      </c>
      <c r="C63" s="1" t="n">
        <v>45508</v>
      </c>
      <c r="D63" t="inlineStr">
        <is>
          <t>DALARNAS LÄN</t>
        </is>
      </c>
      <c r="E63" t="inlineStr">
        <is>
          <t>LEKSAND</t>
        </is>
      </c>
      <c r="G63" t="n">
        <v>8.9</v>
      </c>
      <c r="H63" t="n">
        <v>0</v>
      </c>
      <c r="I63" t="n">
        <v>0</v>
      </c>
      <c r="J63" t="n">
        <v>0</v>
      </c>
      <c r="K63" t="n">
        <v>0</v>
      </c>
      <c r="L63" t="n">
        <v>0</v>
      </c>
      <c r="M63" t="n">
        <v>0</v>
      </c>
      <c r="N63" t="n">
        <v>0</v>
      </c>
      <c r="O63" t="n">
        <v>0</v>
      </c>
      <c r="P63" t="n">
        <v>0</v>
      </c>
      <c r="Q63" t="n">
        <v>0</v>
      </c>
      <c r="R63" s="2" t="inlineStr"/>
    </row>
    <row r="64" ht="15" customHeight="1">
      <c r="A64" t="inlineStr">
        <is>
          <t>A 38350-2019</t>
        </is>
      </c>
      <c r="B64" s="1" t="n">
        <v>43685</v>
      </c>
      <c r="C64" s="1" t="n">
        <v>45508</v>
      </c>
      <c r="D64" t="inlineStr">
        <is>
          <t>DALARNAS LÄN</t>
        </is>
      </c>
      <c r="E64" t="inlineStr">
        <is>
          <t>LEKSAND</t>
        </is>
      </c>
      <c r="G64" t="n">
        <v>0.5</v>
      </c>
      <c r="H64" t="n">
        <v>0</v>
      </c>
      <c r="I64" t="n">
        <v>0</v>
      </c>
      <c r="J64" t="n">
        <v>0</v>
      </c>
      <c r="K64" t="n">
        <v>0</v>
      </c>
      <c r="L64" t="n">
        <v>0</v>
      </c>
      <c r="M64" t="n">
        <v>0</v>
      </c>
      <c r="N64" t="n">
        <v>0</v>
      </c>
      <c r="O64" t="n">
        <v>0</v>
      </c>
      <c r="P64" t="n">
        <v>0</v>
      </c>
      <c r="Q64" t="n">
        <v>0</v>
      </c>
      <c r="R64" s="2" t="inlineStr"/>
    </row>
    <row r="65" ht="15" customHeight="1">
      <c r="A65" t="inlineStr">
        <is>
          <t>A 39025-2019</t>
        </is>
      </c>
      <c r="B65" s="1" t="n">
        <v>43689</v>
      </c>
      <c r="C65" s="1" t="n">
        <v>45508</v>
      </c>
      <c r="D65" t="inlineStr">
        <is>
          <t>DALARNAS LÄN</t>
        </is>
      </c>
      <c r="E65" t="inlineStr">
        <is>
          <t>LEKSAND</t>
        </is>
      </c>
      <c r="F65" t="inlineStr">
        <is>
          <t>Bergvik skog väst AB</t>
        </is>
      </c>
      <c r="G65" t="n">
        <v>10.1</v>
      </c>
      <c r="H65" t="n">
        <v>0</v>
      </c>
      <c r="I65" t="n">
        <v>0</v>
      </c>
      <c r="J65" t="n">
        <v>0</v>
      </c>
      <c r="K65" t="n">
        <v>0</v>
      </c>
      <c r="L65" t="n">
        <v>0</v>
      </c>
      <c r="M65" t="n">
        <v>0</v>
      </c>
      <c r="N65" t="n">
        <v>0</v>
      </c>
      <c r="O65" t="n">
        <v>0</v>
      </c>
      <c r="P65" t="n">
        <v>0</v>
      </c>
      <c r="Q65" t="n">
        <v>0</v>
      </c>
      <c r="R65" s="2" t="inlineStr"/>
    </row>
    <row r="66" ht="15" customHeight="1">
      <c r="A66" t="inlineStr">
        <is>
          <t>A 41329-2019</t>
        </is>
      </c>
      <c r="B66" s="1" t="n">
        <v>43698</v>
      </c>
      <c r="C66" s="1" t="n">
        <v>45508</v>
      </c>
      <c r="D66" t="inlineStr">
        <is>
          <t>DALARNAS LÄN</t>
        </is>
      </c>
      <c r="E66" t="inlineStr">
        <is>
          <t>LEKSAND</t>
        </is>
      </c>
      <c r="G66" t="n">
        <v>2</v>
      </c>
      <c r="H66" t="n">
        <v>0</v>
      </c>
      <c r="I66" t="n">
        <v>0</v>
      </c>
      <c r="J66" t="n">
        <v>0</v>
      </c>
      <c r="K66" t="n">
        <v>0</v>
      </c>
      <c r="L66" t="n">
        <v>0</v>
      </c>
      <c r="M66" t="n">
        <v>0</v>
      </c>
      <c r="N66" t="n">
        <v>0</v>
      </c>
      <c r="O66" t="n">
        <v>0</v>
      </c>
      <c r="P66" t="n">
        <v>0</v>
      </c>
      <c r="Q66" t="n">
        <v>0</v>
      </c>
      <c r="R66" s="2" t="inlineStr"/>
    </row>
    <row r="67" ht="15" customHeight="1">
      <c r="A67" t="inlineStr">
        <is>
          <t>A 43082-2019</t>
        </is>
      </c>
      <c r="B67" s="1" t="n">
        <v>43705</v>
      </c>
      <c r="C67" s="1" t="n">
        <v>45508</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43887-2019</t>
        </is>
      </c>
      <c r="B68" s="1" t="n">
        <v>43707</v>
      </c>
      <c r="C68" s="1" t="n">
        <v>45508</v>
      </c>
      <c r="D68" t="inlineStr">
        <is>
          <t>DALARNAS LÄN</t>
        </is>
      </c>
      <c r="E68" t="inlineStr">
        <is>
          <t>LEKSAND</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43884-2019</t>
        </is>
      </c>
      <c r="B69" s="1" t="n">
        <v>43707</v>
      </c>
      <c r="C69" s="1" t="n">
        <v>45508</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44058-2019</t>
        </is>
      </c>
      <c r="B70" s="1" t="n">
        <v>43710</v>
      </c>
      <c r="C70" s="1" t="n">
        <v>45508</v>
      </c>
      <c r="D70" t="inlineStr">
        <is>
          <t>DALARNAS LÄN</t>
        </is>
      </c>
      <c r="E70" t="inlineStr">
        <is>
          <t>LEKSAND</t>
        </is>
      </c>
      <c r="F70" t="inlineStr">
        <is>
          <t>Kyrkan</t>
        </is>
      </c>
      <c r="G70" t="n">
        <v>1.3</v>
      </c>
      <c r="H70" t="n">
        <v>0</v>
      </c>
      <c r="I70" t="n">
        <v>0</v>
      </c>
      <c r="J70" t="n">
        <v>0</v>
      </c>
      <c r="K70" t="n">
        <v>0</v>
      </c>
      <c r="L70" t="n">
        <v>0</v>
      </c>
      <c r="M70" t="n">
        <v>0</v>
      </c>
      <c r="N70" t="n">
        <v>0</v>
      </c>
      <c r="O70" t="n">
        <v>0</v>
      </c>
      <c r="P70" t="n">
        <v>0</v>
      </c>
      <c r="Q70" t="n">
        <v>0</v>
      </c>
      <c r="R70" s="2" t="inlineStr"/>
    </row>
    <row r="71" ht="15" customHeight="1">
      <c r="A71" t="inlineStr">
        <is>
          <t>A 45526-2019</t>
        </is>
      </c>
      <c r="B71" s="1" t="n">
        <v>43714</v>
      </c>
      <c r="C71" s="1" t="n">
        <v>45508</v>
      </c>
      <c r="D71" t="inlineStr">
        <is>
          <t>DALARNAS LÄN</t>
        </is>
      </c>
      <c r="E71" t="inlineStr">
        <is>
          <t>LEKSAND</t>
        </is>
      </c>
      <c r="F71" t="inlineStr">
        <is>
          <t>Bergvik skog väst AB</t>
        </is>
      </c>
      <c r="G71" t="n">
        <v>5.9</v>
      </c>
      <c r="H71" t="n">
        <v>0</v>
      </c>
      <c r="I71" t="n">
        <v>0</v>
      </c>
      <c r="J71" t="n">
        <v>0</v>
      </c>
      <c r="K71" t="n">
        <v>0</v>
      </c>
      <c r="L71" t="n">
        <v>0</v>
      </c>
      <c r="M71" t="n">
        <v>0</v>
      </c>
      <c r="N71" t="n">
        <v>0</v>
      </c>
      <c r="O71" t="n">
        <v>0</v>
      </c>
      <c r="P71" t="n">
        <v>0</v>
      </c>
      <c r="Q71" t="n">
        <v>0</v>
      </c>
      <c r="R71" s="2" t="inlineStr"/>
    </row>
    <row r="72" ht="15" customHeight="1">
      <c r="A72" t="inlineStr">
        <is>
          <t>A 45572-2019</t>
        </is>
      </c>
      <c r="B72" s="1" t="n">
        <v>43716</v>
      </c>
      <c r="C72" s="1" t="n">
        <v>45508</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46739-2019</t>
        </is>
      </c>
      <c r="B73" s="1" t="n">
        <v>43719</v>
      </c>
      <c r="C73" s="1" t="n">
        <v>45508</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46740-2019</t>
        </is>
      </c>
      <c r="B74" s="1" t="n">
        <v>43719</v>
      </c>
      <c r="C74" s="1" t="n">
        <v>45508</v>
      </c>
      <c r="D74" t="inlineStr">
        <is>
          <t>DALARNAS LÄN</t>
        </is>
      </c>
      <c r="E74" t="inlineStr">
        <is>
          <t>LEKSAND</t>
        </is>
      </c>
      <c r="G74" t="n">
        <v>0.3</v>
      </c>
      <c r="H74" t="n">
        <v>0</v>
      </c>
      <c r="I74" t="n">
        <v>0</v>
      </c>
      <c r="J74" t="n">
        <v>0</v>
      </c>
      <c r="K74" t="n">
        <v>0</v>
      </c>
      <c r="L74" t="n">
        <v>0</v>
      </c>
      <c r="M74" t="n">
        <v>0</v>
      </c>
      <c r="N74" t="n">
        <v>0</v>
      </c>
      <c r="O74" t="n">
        <v>0</v>
      </c>
      <c r="P74" t="n">
        <v>0</v>
      </c>
      <c r="Q74" t="n">
        <v>0</v>
      </c>
      <c r="R74" s="2" t="inlineStr"/>
    </row>
    <row r="75" ht="15" customHeight="1">
      <c r="A75" t="inlineStr">
        <is>
          <t>A 47532-2019</t>
        </is>
      </c>
      <c r="B75" s="1" t="n">
        <v>43724</v>
      </c>
      <c r="C75" s="1" t="n">
        <v>45508</v>
      </c>
      <c r="D75" t="inlineStr">
        <is>
          <t>DALARNAS LÄN</t>
        </is>
      </c>
      <c r="E75" t="inlineStr">
        <is>
          <t>LEKSAND</t>
        </is>
      </c>
      <c r="G75" t="n">
        <v>2.3</v>
      </c>
      <c r="H75" t="n">
        <v>0</v>
      </c>
      <c r="I75" t="n">
        <v>0</v>
      </c>
      <c r="J75" t="n">
        <v>0</v>
      </c>
      <c r="K75" t="n">
        <v>0</v>
      </c>
      <c r="L75" t="n">
        <v>0</v>
      </c>
      <c r="M75" t="n">
        <v>0</v>
      </c>
      <c r="N75" t="n">
        <v>0</v>
      </c>
      <c r="O75" t="n">
        <v>0</v>
      </c>
      <c r="P75" t="n">
        <v>0</v>
      </c>
      <c r="Q75" t="n">
        <v>0</v>
      </c>
      <c r="R75" s="2" t="inlineStr"/>
    </row>
    <row r="76" ht="15" customHeight="1">
      <c r="A76" t="inlineStr">
        <is>
          <t>A 49132-2019</t>
        </is>
      </c>
      <c r="B76" s="1" t="n">
        <v>43728</v>
      </c>
      <c r="C76" s="1" t="n">
        <v>45508</v>
      </c>
      <c r="D76" t="inlineStr">
        <is>
          <t>DALARNAS LÄN</t>
        </is>
      </c>
      <c r="E76" t="inlineStr">
        <is>
          <t>LEKSAND</t>
        </is>
      </c>
      <c r="G76" t="n">
        <v>1.9</v>
      </c>
      <c r="H76" t="n">
        <v>0</v>
      </c>
      <c r="I76" t="n">
        <v>0</v>
      </c>
      <c r="J76" t="n">
        <v>0</v>
      </c>
      <c r="K76" t="n">
        <v>0</v>
      </c>
      <c r="L76" t="n">
        <v>0</v>
      </c>
      <c r="M76" t="n">
        <v>0</v>
      </c>
      <c r="N76" t="n">
        <v>0</v>
      </c>
      <c r="O76" t="n">
        <v>0</v>
      </c>
      <c r="P76" t="n">
        <v>0</v>
      </c>
      <c r="Q76" t="n">
        <v>0</v>
      </c>
      <c r="R76" s="2" t="inlineStr"/>
    </row>
    <row r="77" ht="15" customHeight="1">
      <c r="A77" t="inlineStr">
        <is>
          <t>A 51390-2019</t>
        </is>
      </c>
      <c r="B77" s="1" t="n">
        <v>43733</v>
      </c>
      <c r="C77" s="1" t="n">
        <v>45508</v>
      </c>
      <c r="D77" t="inlineStr">
        <is>
          <t>DALARNAS LÄN</t>
        </is>
      </c>
      <c r="E77" t="inlineStr">
        <is>
          <t>LEKSAND</t>
        </is>
      </c>
      <c r="G77" t="n">
        <v>4.7</v>
      </c>
      <c r="H77" t="n">
        <v>0</v>
      </c>
      <c r="I77" t="n">
        <v>0</v>
      </c>
      <c r="J77" t="n">
        <v>0</v>
      </c>
      <c r="K77" t="n">
        <v>0</v>
      </c>
      <c r="L77" t="n">
        <v>0</v>
      </c>
      <c r="M77" t="n">
        <v>0</v>
      </c>
      <c r="N77" t="n">
        <v>0</v>
      </c>
      <c r="O77" t="n">
        <v>0</v>
      </c>
      <c r="P77" t="n">
        <v>0</v>
      </c>
      <c r="Q77" t="n">
        <v>0</v>
      </c>
      <c r="R77" s="2" t="inlineStr"/>
    </row>
    <row r="78" ht="15" customHeight="1">
      <c r="A78" t="inlineStr">
        <is>
          <t>A 50532-2019</t>
        </is>
      </c>
      <c r="B78" s="1" t="n">
        <v>43735</v>
      </c>
      <c r="C78" s="1" t="n">
        <v>45508</v>
      </c>
      <c r="D78" t="inlineStr">
        <is>
          <t>DALARNAS LÄN</t>
        </is>
      </c>
      <c r="E78" t="inlineStr">
        <is>
          <t>LEKSAND</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52130-2019</t>
        </is>
      </c>
      <c r="B79" s="1" t="n">
        <v>43735</v>
      </c>
      <c r="C79" s="1" t="n">
        <v>45508</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52827-2019</t>
        </is>
      </c>
      <c r="B80" s="1" t="n">
        <v>43746</v>
      </c>
      <c r="C80" s="1" t="n">
        <v>45508</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52957-2019</t>
        </is>
      </c>
      <c r="B81" s="1" t="n">
        <v>43747</v>
      </c>
      <c r="C81" s="1" t="n">
        <v>45508</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53553-2019</t>
        </is>
      </c>
      <c r="B82" s="1" t="n">
        <v>43749</v>
      </c>
      <c r="C82" s="1" t="n">
        <v>45508</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56844-2019</t>
        </is>
      </c>
      <c r="B83" s="1" t="n">
        <v>43765</v>
      </c>
      <c r="C83" s="1" t="n">
        <v>45508</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57221-2019</t>
        </is>
      </c>
      <c r="B84" s="1" t="n">
        <v>43767</v>
      </c>
      <c r="C84" s="1" t="n">
        <v>45508</v>
      </c>
      <c r="D84" t="inlineStr">
        <is>
          <t>DALARNAS LÄN</t>
        </is>
      </c>
      <c r="E84" t="inlineStr">
        <is>
          <t>LEKSAND</t>
        </is>
      </c>
      <c r="G84" t="n">
        <v>1</v>
      </c>
      <c r="H84" t="n">
        <v>0</v>
      </c>
      <c r="I84" t="n">
        <v>0</v>
      </c>
      <c r="J84" t="n">
        <v>0</v>
      </c>
      <c r="K84" t="n">
        <v>0</v>
      </c>
      <c r="L84" t="n">
        <v>0</v>
      </c>
      <c r="M84" t="n">
        <v>0</v>
      </c>
      <c r="N84" t="n">
        <v>0</v>
      </c>
      <c r="O84" t="n">
        <v>0</v>
      </c>
      <c r="P84" t="n">
        <v>0</v>
      </c>
      <c r="Q84" t="n">
        <v>0</v>
      </c>
      <c r="R84" s="2" t="inlineStr"/>
    </row>
    <row r="85" ht="15" customHeight="1">
      <c r="A85" t="inlineStr">
        <is>
          <t>A 58237-2019</t>
        </is>
      </c>
      <c r="B85" s="1" t="n">
        <v>43770</v>
      </c>
      <c r="C85" s="1" t="n">
        <v>45508</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59714-2019</t>
        </is>
      </c>
      <c r="B86" s="1" t="n">
        <v>43776</v>
      </c>
      <c r="C86" s="1" t="n">
        <v>45508</v>
      </c>
      <c r="D86" t="inlineStr">
        <is>
          <t>DALARNAS LÄN</t>
        </is>
      </c>
      <c r="E86" t="inlineStr">
        <is>
          <t>LEKSAND</t>
        </is>
      </c>
      <c r="F86" t="inlineStr">
        <is>
          <t>Bergvik skog väst AB</t>
        </is>
      </c>
      <c r="G86" t="n">
        <v>4.8</v>
      </c>
      <c r="H86" t="n">
        <v>0</v>
      </c>
      <c r="I86" t="n">
        <v>0</v>
      </c>
      <c r="J86" t="n">
        <v>0</v>
      </c>
      <c r="K86" t="n">
        <v>0</v>
      </c>
      <c r="L86" t="n">
        <v>0</v>
      </c>
      <c r="M86" t="n">
        <v>0</v>
      </c>
      <c r="N86" t="n">
        <v>0</v>
      </c>
      <c r="O86" t="n">
        <v>0</v>
      </c>
      <c r="P86" t="n">
        <v>0</v>
      </c>
      <c r="Q86" t="n">
        <v>0</v>
      </c>
      <c r="R86" s="2" t="inlineStr"/>
    </row>
    <row r="87" ht="15" customHeight="1">
      <c r="A87" t="inlineStr">
        <is>
          <t>A 59721-2019</t>
        </is>
      </c>
      <c r="B87" s="1" t="n">
        <v>43776</v>
      </c>
      <c r="C87" s="1" t="n">
        <v>45508</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60809-2019</t>
        </is>
      </c>
      <c r="B88" s="1" t="n">
        <v>43780</v>
      </c>
      <c r="C88" s="1" t="n">
        <v>45508</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61111-2019</t>
        </is>
      </c>
      <c r="B89" s="1" t="n">
        <v>43782</v>
      </c>
      <c r="C89" s="1" t="n">
        <v>45508</v>
      </c>
      <c r="D89" t="inlineStr">
        <is>
          <t>DALARNAS LÄN</t>
        </is>
      </c>
      <c r="E89" t="inlineStr">
        <is>
          <t>LEKSAND</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61113-2019</t>
        </is>
      </c>
      <c r="B90" s="1" t="n">
        <v>43782</v>
      </c>
      <c r="C90" s="1" t="n">
        <v>45508</v>
      </c>
      <c r="D90" t="inlineStr">
        <is>
          <t>DALARNAS LÄN</t>
        </is>
      </c>
      <c r="E90" t="inlineStr">
        <is>
          <t>LEKSAND</t>
        </is>
      </c>
      <c r="F90" t="inlineStr">
        <is>
          <t>Bergvik skog väst AB</t>
        </is>
      </c>
      <c r="G90" t="n">
        <v>0.2</v>
      </c>
      <c r="H90" t="n">
        <v>0</v>
      </c>
      <c r="I90" t="n">
        <v>0</v>
      </c>
      <c r="J90" t="n">
        <v>0</v>
      </c>
      <c r="K90" t="n">
        <v>0</v>
      </c>
      <c r="L90" t="n">
        <v>0</v>
      </c>
      <c r="M90" t="n">
        <v>0</v>
      </c>
      <c r="N90" t="n">
        <v>0</v>
      </c>
      <c r="O90" t="n">
        <v>0</v>
      </c>
      <c r="P90" t="n">
        <v>0</v>
      </c>
      <c r="Q90" t="n">
        <v>0</v>
      </c>
      <c r="R90" s="2" t="inlineStr"/>
    </row>
    <row r="91" ht="15" customHeight="1">
      <c r="A91" t="inlineStr">
        <is>
          <t>A 64635-2019</t>
        </is>
      </c>
      <c r="B91" s="1" t="n">
        <v>43794</v>
      </c>
      <c r="C91" s="1" t="n">
        <v>45508</v>
      </c>
      <c r="D91" t="inlineStr">
        <is>
          <t>DALARNAS LÄN</t>
        </is>
      </c>
      <c r="E91" t="inlineStr">
        <is>
          <t>LEKSAND</t>
        </is>
      </c>
      <c r="G91" t="n">
        <v>5.4</v>
      </c>
      <c r="H91" t="n">
        <v>0</v>
      </c>
      <c r="I91" t="n">
        <v>0</v>
      </c>
      <c r="J91" t="n">
        <v>0</v>
      </c>
      <c r="K91" t="n">
        <v>0</v>
      </c>
      <c r="L91" t="n">
        <v>0</v>
      </c>
      <c r="M91" t="n">
        <v>0</v>
      </c>
      <c r="N91" t="n">
        <v>0</v>
      </c>
      <c r="O91" t="n">
        <v>0</v>
      </c>
      <c r="P91" t="n">
        <v>0</v>
      </c>
      <c r="Q91" t="n">
        <v>0</v>
      </c>
      <c r="R91" s="2" t="inlineStr"/>
    </row>
    <row r="92" ht="15" customHeight="1">
      <c r="A92" t="inlineStr">
        <is>
          <t>A 66288-2019</t>
        </is>
      </c>
      <c r="B92" s="1" t="n">
        <v>43808</v>
      </c>
      <c r="C92" s="1" t="n">
        <v>45508</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66822-2019</t>
        </is>
      </c>
      <c r="B93" s="1" t="n">
        <v>43810</v>
      </c>
      <c r="C93" s="1" t="n">
        <v>45508</v>
      </c>
      <c r="D93" t="inlineStr">
        <is>
          <t>DALARNAS LÄN</t>
        </is>
      </c>
      <c r="E93" t="inlineStr">
        <is>
          <t>LEKSAND</t>
        </is>
      </c>
      <c r="G93" t="n">
        <v>5.2</v>
      </c>
      <c r="H93" t="n">
        <v>0</v>
      </c>
      <c r="I93" t="n">
        <v>0</v>
      </c>
      <c r="J93" t="n">
        <v>0</v>
      </c>
      <c r="K93" t="n">
        <v>0</v>
      </c>
      <c r="L93" t="n">
        <v>0</v>
      </c>
      <c r="M93" t="n">
        <v>0</v>
      </c>
      <c r="N93" t="n">
        <v>0</v>
      </c>
      <c r="O93" t="n">
        <v>0</v>
      </c>
      <c r="P93" t="n">
        <v>0</v>
      </c>
      <c r="Q93" t="n">
        <v>0</v>
      </c>
      <c r="R93" s="2" t="inlineStr"/>
    </row>
    <row r="94" ht="15" customHeight="1">
      <c r="A94" t="inlineStr">
        <is>
          <t>A 67123-2019</t>
        </is>
      </c>
      <c r="B94" s="1" t="n">
        <v>43811</v>
      </c>
      <c r="C94" s="1" t="n">
        <v>45508</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68808-2019</t>
        </is>
      </c>
      <c r="B95" s="1" t="n">
        <v>43815</v>
      </c>
      <c r="C95" s="1" t="n">
        <v>45508</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1604-2020</t>
        </is>
      </c>
      <c r="B96" s="1" t="n">
        <v>43829</v>
      </c>
      <c r="C96" s="1" t="n">
        <v>45508</v>
      </c>
      <c r="D96" t="inlineStr">
        <is>
          <t>DALARNAS LÄN</t>
        </is>
      </c>
      <c r="E96" t="inlineStr">
        <is>
          <t>LEKSAND</t>
        </is>
      </c>
      <c r="G96" t="n">
        <v>1.3</v>
      </c>
      <c r="H96" t="n">
        <v>0</v>
      </c>
      <c r="I96" t="n">
        <v>0</v>
      </c>
      <c r="J96" t="n">
        <v>0</v>
      </c>
      <c r="K96" t="n">
        <v>0</v>
      </c>
      <c r="L96" t="n">
        <v>0</v>
      </c>
      <c r="M96" t="n">
        <v>0</v>
      </c>
      <c r="N96" t="n">
        <v>0</v>
      </c>
      <c r="O96" t="n">
        <v>0</v>
      </c>
      <c r="P96" t="n">
        <v>0</v>
      </c>
      <c r="Q96" t="n">
        <v>0</v>
      </c>
      <c r="R96" s="2" t="inlineStr"/>
    </row>
    <row r="97" ht="15" customHeight="1">
      <c r="A97" t="inlineStr">
        <is>
          <t>A 1915-2020</t>
        </is>
      </c>
      <c r="B97" s="1" t="n">
        <v>43837</v>
      </c>
      <c r="C97" s="1" t="n">
        <v>45508</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1778-2020</t>
        </is>
      </c>
      <c r="B98" s="1" t="n">
        <v>43844</v>
      </c>
      <c r="C98" s="1" t="n">
        <v>45508</v>
      </c>
      <c r="D98" t="inlineStr">
        <is>
          <t>DALARNAS LÄN</t>
        </is>
      </c>
      <c r="E98" t="inlineStr">
        <is>
          <t>LEKSAND</t>
        </is>
      </c>
      <c r="G98" t="n">
        <v>1.3</v>
      </c>
      <c r="H98" t="n">
        <v>0</v>
      </c>
      <c r="I98" t="n">
        <v>0</v>
      </c>
      <c r="J98" t="n">
        <v>0</v>
      </c>
      <c r="K98" t="n">
        <v>0</v>
      </c>
      <c r="L98" t="n">
        <v>0</v>
      </c>
      <c r="M98" t="n">
        <v>0</v>
      </c>
      <c r="N98" t="n">
        <v>0</v>
      </c>
      <c r="O98" t="n">
        <v>0</v>
      </c>
      <c r="P98" t="n">
        <v>0</v>
      </c>
      <c r="Q98" t="n">
        <v>0</v>
      </c>
      <c r="R98" s="2" t="inlineStr"/>
    </row>
    <row r="99" ht="15" customHeight="1">
      <c r="A99" t="inlineStr">
        <is>
          <t>A 2670-2020</t>
        </is>
      </c>
      <c r="B99" s="1" t="n">
        <v>43849</v>
      </c>
      <c r="C99" s="1" t="n">
        <v>45508</v>
      </c>
      <c r="D99" t="inlineStr">
        <is>
          <t>DALARNAS LÄN</t>
        </is>
      </c>
      <c r="E99" t="inlineStr">
        <is>
          <t>LEKSAND</t>
        </is>
      </c>
      <c r="G99" t="n">
        <v>2.4</v>
      </c>
      <c r="H99" t="n">
        <v>0</v>
      </c>
      <c r="I99" t="n">
        <v>0</v>
      </c>
      <c r="J99" t="n">
        <v>0</v>
      </c>
      <c r="K99" t="n">
        <v>0</v>
      </c>
      <c r="L99" t="n">
        <v>0</v>
      </c>
      <c r="M99" t="n">
        <v>0</v>
      </c>
      <c r="N99" t="n">
        <v>0</v>
      </c>
      <c r="O99" t="n">
        <v>0</v>
      </c>
      <c r="P99" t="n">
        <v>0</v>
      </c>
      <c r="Q99" t="n">
        <v>0</v>
      </c>
      <c r="R99" s="2" t="inlineStr"/>
    </row>
    <row r="100" ht="15" customHeight="1">
      <c r="A100" t="inlineStr">
        <is>
          <t>A 4479-2020</t>
        </is>
      </c>
      <c r="B100" s="1" t="n">
        <v>43850</v>
      </c>
      <c r="C100" s="1" t="n">
        <v>45508</v>
      </c>
      <c r="D100" t="inlineStr">
        <is>
          <t>DALARNAS LÄN</t>
        </is>
      </c>
      <c r="E100" t="inlineStr">
        <is>
          <t>LEKSAND</t>
        </is>
      </c>
      <c r="G100" t="n">
        <v>1.5</v>
      </c>
      <c r="H100" t="n">
        <v>0</v>
      </c>
      <c r="I100" t="n">
        <v>0</v>
      </c>
      <c r="J100" t="n">
        <v>0</v>
      </c>
      <c r="K100" t="n">
        <v>0</v>
      </c>
      <c r="L100" t="n">
        <v>0</v>
      </c>
      <c r="M100" t="n">
        <v>0</v>
      </c>
      <c r="N100" t="n">
        <v>0</v>
      </c>
      <c r="O100" t="n">
        <v>0</v>
      </c>
      <c r="P100" t="n">
        <v>0</v>
      </c>
      <c r="Q100" t="n">
        <v>0</v>
      </c>
      <c r="R100" s="2" t="inlineStr"/>
    </row>
    <row r="101" ht="15" customHeight="1">
      <c r="A101" t="inlineStr">
        <is>
          <t>A 4004-2020</t>
        </is>
      </c>
      <c r="B101" s="1" t="n">
        <v>43856</v>
      </c>
      <c r="C101" s="1" t="n">
        <v>45508</v>
      </c>
      <c r="D101" t="inlineStr">
        <is>
          <t>DALARNAS LÄN</t>
        </is>
      </c>
      <c r="E101" t="inlineStr">
        <is>
          <t>LEKSAND</t>
        </is>
      </c>
      <c r="G101" t="n">
        <v>6</v>
      </c>
      <c r="H101" t="n">
        <v>0</v>
      </c>
      <c r="I101" t="n">
        <v>0</v>
      </c>
      <c r="J101" t="n">
        <v>0</v>
      </c>
      <c r="K101" t="n">
        <v>0</v>
      </c>
      <c r="L101" t="n">
        <v>0</v>
      </c>
      <c r="M101" t="n">
        <v>0</v>
      </c>
      <c r="N101" t="n">
        <v>0</v>
      </c>
      <c r="O101" t="n">
        <v>0</v>
      </c>
      <c r="P101" t="n">
        <v>0</v>
      </c>
      <c r="Q101" t="n">
        <v>0</v>
      </c>
      <c r="R101" s="2" t="inlineStr"/>
    </row>
    <row r="102" ht="15" customHeight="1">
      <c r="A102" t="inlineStr">
        <is>
          <t>A 6002-2020</t>
        </is>
      </c>
      <c r="B102" s="1" t="n">
        <v>43864</v>
      </c>
      <c r="C102" s="1" t="n">
        <v>45508</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6017-2020</t>
        </is>
      </c>
      <c r="B103" s="1" t="n">
        <v>43864</v>
      </c>
      <c r="C103" s="1" t="n">
        <v>45508</v>
      </c>
      <c r="D103" t="inlineStr">
        <is>
          <t>DALARNAS LÄN</t>
        </is>
      </c>
      <c r="E103" t="inlineStr">
        <is>
          <t>LEKSAND</t>
        </is>
      </c>
      <c r="G103" t="n">
        <v>2.6</v>
      </c>
      <c r="H103" t="n">
        <v>0</v>
      </c>
      <c r="I103" t="n">
        <v>0</v>
      </c>
      <c r="J103" t="n">
        <v>0</v>
      </c>
      <c r="K103" t="n">
        <v>0</v>
      </c>
      <c r="L103" t="n">
        <v>0</v>
      </c>
      <c r="M103" t="n">
        <v>0</v>
      </c>
      <c r="N103" t="n">
        <v>0</v>
      </c>
      <c r="O103" t="n">
        <v>0</v>
      </c>
      <c r="P103" t="n">
        <v>0</v>
      </c>
      <c r="Q103" t="n">
        <v>0</v>
      </c>
      <c r="R103" s="2" t="inlineStr"/>
    </row>
    <row r="104" ht="15" customHeight="1">
      <c r="A104" t="inlineStr">
        <is>
          <t>A 6751-2020</t>
        </is>
      </c>
      <c r="B104" s="1" t="n">
        <v>43866</v>
      </c>
      <c r="C104" s="1" t="n">
        <v>45508</v>
      </c>
      <c r="D104" t="inlineStr">
        <is>
          <t>DALARNAS LÄN</t>
        </is>
      </c>
      <c r="E104" t="inlineStr">
        <is>
          <t>LEKSAND</t>
        </is>
      </c>
      <c r="G104" t="n">
        <v>1.4</v>
      </c>
      <c r="H104" t="n">
        <v>0</v>
      </c>
      <c r="I104" t="n">
        <v>0</v>
      </c>
      <c r="J104" t="n">
        <v>0</v>
      </c>
      <c r="K104" t="n">
        <v>0</v>
      </c>
      <c r="L104" t="n">
        <v>0</v>
      </c>
      <c r="M104" t="n">
        <v>0</v>
      </c>
      <c r="N104" t="n">
        <v>0</v>
      </c>
      <c r="O104" t="n">
        <v>0</v>
      </c>
      <c r="P104" t="n">
        <v>0</v>
      </c>
      <c r="Q104" t="n">
        <v>0</v>
      </c>
      <c r="R104" s="2" t="inlineStr"/>
    </row>
    <row r="105" ht="15" customHeight="1">
      <c r="A105" t="inlineStr">
        <is>
          <t>A 7351-2020</t>
        </is>
      </c>
      <c r="B105" s="1" t="n">
        <v>43871</v>
      </c>
      <c r="C105" s="1" t="n">
        <v>45508</v>
      </c>
      <c r="D105" t="inlineStr">
        <is>
          <t>DALARNAS LÄN</t>
        </is>
      </c>
      <c r="E105" t="inlineStr">
        <is>
          <t>LEKSAND</t>
        </is>
      </c>
      <c r="F105" t="inlineStr">
        <is>
          <t>Bergvik skog väst AB</t>
        </is>
      </c>
      <c r="G105" t="n">
        <v>5.4</v>
      </c>
      <c r="H105" t="n">
        <v>0</v>
      </c>
      <c r="I105" t="n">
        <v>0</v>
      </c>
      <c r="J105" t="n">
        <v>0</v>
      </c>
      <c r="K105" t="n">
        <v>0</v>
      </c>
      <c r="L105" t="n">
        <v>0</v>
      </c>
      <c r="M105" t="n">
        <v>0</v>
      </c>
      <c r="N105" t="n">
        <v>0</v>
      </c>
      <c r="O105" t="n">
        <v>0</v>
      </c>
      <c r="P105" t="n">
        <v>0</v>
      </c>
      <c r="Q105" t="n">
        <v>0</v>
      </c>
      <c r="R105" s="2" t="inlineStr"/>
    </row>
    <row r="106" ht="15" customHeight="1">
      <c r="A106" t="inlineStr">
        <is>
          <t>A 7868-2020</t>
        </is>
      </c>
      <c r="B106" s="1" t="n">
        <v>43873</v>
      </c>
      <c r="C106" s="1" t="n">
        <v>45508</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9710-2020</t>
        </is>
      </c>
      <c r="B107" s="1" t="n">
        <v>43881</v>
      </c>
      <c r="C107" s="1" t="n">
        <v>45508</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11372-2020</t>
        </is>
      </c>
      <c r="B108" s="1" t="n">
        <v>43892</v>
      </c>
      <c r="C108" s="1" t="n">
        <v>45508</v>
      </c>
      <c r="D108" t="inlineStr">
        <is>
          <t>DALARNAS LÄN</t>
        </is>
      </c>
      <c r="E108" t="inlineStr">
        <is>
          <t>LEKSAND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12176-2020</t>
        </is>
      </c>
      <c r="B109" s="1" t="n">
        <v>43895</v>
      </c>
      <c r="C109" s="1" t="n">
        <v>45508</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12247-2020</t>
        </is>
      </c>
      <c r="B110" s="1" t="n">
        <v>43895</v>
      </c>
      <c r="C110" s="1" t="n">
        <v>45508</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13340-2020</t>
        </is>
      </c>
      <c r="B111" s="1" t="n">
        <v>43902</v>
      </c>
      <c r="C111" s="1" t="n">
        <v>45508</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13356-2020</t>
        </is>
      </c>
      <c r="B112" s="1" t="n">
        <v>43902</v>
      </c>
      <c r="C112" s="1" t="n">
        <v>45508</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13352-2020</t>
        </is>
      </c>
      <c r="B113" s="1" t="n">
        <v>43902</v>
      </c>
      <c r="C113" s="1" t="n">
        <v>45508</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15165-2020</t>
        </is>
      </c>
      <c r="B114" s="1" t="n">
        <v>43912</v>
      </c>
      <c r="C114" s="1" t="n">
        <v>45508</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16288-2020</t>
        </is>
      </c>
      <c r="B115" s="1" t="n">
        <v>43917</v>
      </c>
      <c r="C115" s="1" t="n">
        <v>45508</v>
      </c>
      <c r="D115" t="inlineStr">
        <is>
          <t>DALARNAS LÄN</t>
        </is>
      </c>
      <c r="E115" t="inlineStr">
        <is>
          <t>LEKSAND</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18803-2020</t>
        </is>
      </c>
      <c r="B116" s="1" t="n">
        <v>43933</v>
      </c>
      <c r="C116" s="1" t="n">
        <v>45508</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19361-2020</t>
        </is>
      </c>
      <c r="B117" s="1" t="n">
        <v>43938</v>
      </c>
      <c r="C117" s="1" t="n">
        <v>45508</v>
      </c>
      <c r="D117" t="inlineStr">
        <is>
          <t>DALARNAS LÄN</t>
        </is>
      </c>
      <c r="E117" t="inlineStr">
        <is>
          <t>LEKSAND</t>
        </is>
      </c>
      <c r="G117" t="n">
        <v>1.1</v>
      </c>
      <c r="H117" t="n">
        <v>0</v>
      </c>
      <c r="I117" t="n">
        <v>0</v>
      </c>
      <c r="J117" t="n">
        <v>0</v>
      </c>
      <c r="K117" t="n">
        <v>0</v>
      </c>
      <c r="L117" t="n">
        <v>0</v>
      </c>
      <c r="M117" t="n">
        <v>0</v>
      </c>
      <c r="N117" t="n">
        <v>0</v>
      </c>
      <c r="O117" t="n">
        <v>0</v>
      </c>
      <c r="P117" t="n">
        <v>0</v>
      </c>
      <c r="Q117" t="n">
        <v>0</v>
      </c>
      <c r="R117" s="2" t="inlineStr"/>
    </row>
    <row r="118" ht="15" customHeight="1">
      <c r="A118" t="inlineStr">
        <is>
          <t>A 21141-2020</t>
        </is>
      </c>
      <c r="B118" s="1" t="n">
        <v>43951</v>
      </c>
      <c r="C118" s="1" t="n">
        <v>45508</v>
      </c>
      <c r="D118" t="inlineStr">
        <is>
          <t>DALARNAS LÄN</t>
        </is>
      </c>
      <c r="E118" t="inlineStr">
        <is>
          <t>LEKSAND</t>
        </is>
      </c>
      <c r="F118" t="inlineStr">
        <is>
          <t>Bergvik skog väst AB</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22718-2020</t>
        </is>
      </c>
      <c r="B119" s="1" t="n">
        <v>43964</v>
      </c>
      <c r="C119" s="1" t="n">
        <v>45508</v>
      </c>
      <c r="D119" t="inlineStr">
        <is>
          <t>DALARNAS LÄN</t>
        </is>
      </c>
      <c r="E119" t="inlineStr">
        <is>
          <t>LEKSAND</t>
        </is>
      </c>
      <c r="G119" t="n">
        <v>1.7</v>
      </c>
      <c r="H119" t="n">
        <v>0</v>
      </c>
      <c r="I119" t="n">
        <v>0</v>
      </c>
      <c r="J119" t="n">
        <v>0</v>
      </c>
      <c r="K119" t="n">
        <v>0</v>
      </c>
      <c r="L119" t="n">
        <v>0</v>
      </c>
      <c r="M119" t="n">
        <v>0</v>
      </c>
      <c r="N119" t="n">
        <v>0</v>
      </c>
      <c r="O119" t="n">
        <v>0</v>
      </c>
      <c r="P119" t="n">
        <v>0</v>
      </c>
      <c r="Q119" t="n">
        <v>0</v>
      </c>
      <c r="R119" s="2" t="inlineStr"/>
    </row>
    <row r="120" ht="15" customHeight="1">
      <c r="A120" t="inlineStr">
        <is>
          <t>A 24207-2020</t>
        </is>
      </c>
      <c r="B120" s="1" t="n">
        <v>43973</v>
      </c>
      <c r="C120" s="1" t="n">
        <v>45508</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25156-2020</t>
        </is>
      </c>
      <c r="B121" s="1" t="n">
        <v>43978</v>
      </c>
      <c r="C121" s="1" t="n">
        <v>45508</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25720-2020</t>
        </is>
      </c>
      <c r="B122" s="1" t="n">
        <v>43984</v>
      </c>
      <c r="C122" s="1" t="n">
        <v>45508</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25989-2020</t>
        </is>
      </c>
      <c r="B123" s="1" t="n">
        <v>43985</v>
      </c>
      <c r="C123" s="1" t="n">
        <v>45508</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26456-2020</t>
        </is>
      </c>
      <c r="B124" s="1" t="n">
        <v>43986</v>
      </c>
      <c r="C124" s="1" t="n">
        <v>45508</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26560-2020</t>
        </is>
      </c>
      <c r="B125" s="1" t="n">
        <v>43987</v>
      </c>
      <c r="C125" s="1" t="n">
        <v>45508</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28161-2020</t>
        </is>
      </c>
      <c r="B126" s="1" t="n">
        <v>43997</v>
      </c>
      <c r="C126" s="1" t="n">
        <v>45508</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28796-2020</t>
        </is>
      </c>
      <c r="B127" s="1" t="n">
        <v>44000</v>
      </c>
      <c r="C127" s="1" t="n">
        <v>45508</v>
      </c>
      <c r="D127" t="inlineStr">
        <is>
          <t>DALARNAS LÄN</t>
        </is>
      </c>
      <c r="E127" t="inlineStr">
        <is>
          <t>LEKSAND</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29089-2020</t>
        </is>
      </c>
      <c r="B128" s="1" t="n">
        <v>44002</v>
      </c>
      <c r="C128" s="1" t="n">
        <v>45508</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29088-2020</t>
        </is>
      </c>
      <c r="B129" s="1" t="n">
        <v>44002</v>
      </c>
      <c r="C129" s="1" t="n">
        <v>45508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29672-2020</t>
        </is>
      </c>
      <c r="B130" s="1" t="n">
        <v>44005</v>
      </c>
      <c r="C130" s="1" t="n">
        <v>45508</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31629-2020</t>
        </is>
      </c>
      <c r="B131" s="1" t="n">
        <v>44013</v>
      </c>
      <c r="C131" s="1" t="n">
        <v>45508</v>
      </c>
      <c r="D131" t="inlineStr">
        <is>
          <t>DALARNAS LÄN</t>
        </is>
      </c>
      <c r="E131" t="inlineStr">
        <is>
          <t>LEKSAND</t>
        </is>
      </c>
      <c r="G131" t="n">
        <v>5.4</v>
      </c>
      <c r="H131" t="n">
        <v>0</v>
      </c>
      <c r="I131" t="n">
        <v>0</v>
      </c>
      <c r="J131" t="n">
        <v>0</v>
      </c>
      <c r="K131" t="n">
        <v>0</v>
      </c>
      <c r="L131" t="n">
        <v>0</v>
      </c>
      <c r="M131" t="n">
        <v>0</v>
      </c>
      <c r="N131" t="n">
        <v>0</v>
      </c>
      <c r="O131" t="n">
        <v>0</v>
      </c>
      <c r="P131" t="n">
        <v>0</v>
      </c>
      <c r="Q131" t="n">
        <v>0</v>
      </c>
      <c r="R131" s="2" t="inlineStr"/>
    </row>
    <row r="132" ht="15" customHeight="1">
      <c r="A132" t="inlineStr">
        <is>
          <t>A 36306-2020</t>
        </is>
      </c>
      <c r="B132" s="1" t="n">
        <v>44049</v>
      </c>
      <c r="C132" s="1" t="n">
        <v>45508</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37568-2020</t>
        </is>
      </c>
      <c r="B133" s="1" t="n">
        <v>44056</v>
      </c>
      <c r="C133" s="1" t="n">
        <v>45508</v>
      </c>
      <c r="D133" t="inlineStr">
        <is>
          <t>DALARNAS LÄN</t>
        </is>
      </c>
      <c r="E133" t="inlineStr">
        <is>
          <t>LEKSAND</t>
        </is>
      </c>
      <c r="G133" t="n">
        <v>3.4</v>
      </c>
      <c r="H133" t="n">
        <v>0</v>
      </c>
      <c r="I133" t="n">
        <v>0</v>
      </c>
      <c r="J133" t="n">
        <v>0</v>
      </c>
      <c r="K133" t="n">
        <v>0</v>
      </c>
      <c r="L133" t="n">
        <v>0</v>
      </c>
      <c r="M133" t="n">
        <v>0</v>
      </c>
      <c r="N133" t="n">
        <v>0</v>
      </c>
      <c r="O133" t="n">
        <v>0</v>
      </c>
      <c r="P133" t="n">
        <v>0</v>
      </c>
      <c r="Q133" t="n">
        <v>0</v>
      </c>
      <c r="R133" s="2" t="inlineStr"/>
    </row>
    <row r="134" ht="15" customHeight="1">
      <c r="A134" t="inlineStr">
        <is>
          <t>A 41093-2020</t>
        </is>
      </c>
      <c r="B134" s="1" t="n">
        <v>44071</v>
      </c>
      <c r="C134" s="1" t="n">
        <v>45508</v>
      </c>
      <c r="D134" t="inlineStr">
        <is>
          <t>DALARNAS LÄN</t>
        </is>
      </c>
      <c r="E134" t="inlineStr">
        <is>
          <t>LEKSAND</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41200-2020</t>
        </is>
      </c>
      <c r="B135" s="1" t="n">
        <v>44071</v>
      </c>
      <c r="C135" s="1" t="n">
        <v>45508</v>
      </c>
      <c r="D135" t="inlineStr">
        <is>
          <t>DALARNAS LÄN</t>
        </is>
      </c>
      <c r="E135" t="inlineStr">
        <is>
          <t>LEKSAND</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41432-2020</t>
        </is>
      </c>
      <c r="B136" s="1" t="n">
        <v>44073</v>
      </c>
      <c r="C136" s="1" t="n">
        <v>45508</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42890-2020</t>
        </is>
      </c>
      <c r="B137" s="1" t="n">
        <v>44078</v>
      </c>
      <c r="C137" s="1" t="n">
        <v>45508</v>
      </c>
      <c r="D137" t="inlineStr">
        <is>
          <t>DALARNAS LÄN</t>
        </is>
      </c>
      <c r="E137" t="inlineStr">
        <is>
          <t>LEKSAND</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44665-2020</t>
        </is>
      </c>
      <c r="B138" s="1" t="n">
        <v>44085</v>
      </c>
      <c r="C138" s="1" t="n">
        <v>45508</v>
      </c>
      <c r="D138" t="inlineStr">
        <is>
          <t>DALARNAS LÄN</t>
        </is>
      </c>
      <c r="E138" t="inlineStr">
        <is>
          <t>LEKSAND</t>
        </is>
      </c>
      <c r="F138" t="inlineStr">
        <is>
          <t>Bergvik skog väst AB</t>
        </is>
      </c>
      <c r="G138" t="n">
        <v>5.1</v>
      </c>
      <c r="H138" t="n">
        <v>0</v>
      </c>
      <c r="I138" t="n">
        <v>0</v>
      </c>
      <c r="J138" t="n">
        <v>0</v>
      </c>
      <c r="K138" t="n">
        <v>0</v>
      </c>
      <c r="L138" t="n">
        <v>0</v>
      </c>
      <c r="M138" t="n">
        <v>0</v>
      </c>
      <c r="N138" t="n">
        <v>0</v>
      </c>
      <c r="O138" t="n">
        <v>0</v>
      </c>
      <c r="P138" t="n">
        <v>0</v>
      </c>
      <c r="Q138" t="n">
        <v>0</v>
      </c>
      <c r="R138" s="2" t="inlineStr"/>
    </row>
    <row r="139" ht="15" customHeight="1">
      <c r="A139" t="inlineStr">
        <is>
          <t>A 45995-2020</t>
        </is>
      </c>
      <c r="B139" s="1" t="n">
        <v>44088</v>
      </c>
      <c r="C139" s="1" t="n">
        <v>45508</v>
      </c>
      <c r="D139" t="inlineStr">
        <is>
          <t>DALARNAS LÄN</t>
        </is>
      </c>
      <c r="E139" t="inlineStr">
        <is>
          <t>LEKSAND</t>
        </is>
      </c>
      <c r="G139" t="n">
        <v>7.8</v>
      </c>
      <c r="H139" t="n">
        <v>0</v>
      </c>
      <c r="I139" t="n">
        <v>0</v>
      </c>
      <c r="J139" t="n">
        <v>0</v>
      </c>
      <c r="K139" t="n">
        <v>0</v>
      </c>
      <c r="L139" t="n">
        <v>0</v>
      </c>
      <c r="M139" t="n">
        <v>0</v>
      </c>
      <c r="N139" t="n">
        <v>0</v>
      </c>
      <c r="O139" t="n">
        <v>0</v>
      </c>
      <c r="P139" t="n">
        <v>0</v>
      </c>
      <c r="Q139" t="n">
        <v>0</v>
      </c>
      <c r="R139" s="2" t="inlineStr"/>
    </row>
    <row r="140" ht="15" customHeight="1">
      <c r="A140" t="inlineStr">
        <is>
          <t>A 45950-2020</t>
        </is>
      </c>
      <c r="B140" s="1" t="n">
        <v>44088</v>
      </c>
      <c r="C140" s="1" t="n">
        <v>45508</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45991-2020</t>
        </is>
      </c>
      <c r="B141" s="1" t="n">
        <v>44088</v>
      </c>
      <c r="C141" s="1" t="n">
        <v>45508</v>
      </c>
      <c r="D141" t="inlineStr">
        <is>
          <t>DALARNAS LÄN</t>
        </is>
      </c>
      <c r="E141" t="inlineStr">
        <is>
          <t>LEKSAND</t>
        </is>
      </c>
      <c r="G141" t="n">
        <v>9.9</v>
      </c>
      <c r="H141" t="n">
        <v>0</v>
      </c>
      <c r="I141" t="n">
        <v>0</v>
      </c>
      <c r="J141" t="n">
        <v>0</v>
      </c>
      <c r="K141" t="n">
        <v>0</v>
      </c>
      <c r="L141" t="n">
        <v>0</v>
      </c>
      <c r="M141" t="n">
        <v>0</v>
      </c>
      <c r="N141" t="n">
        <v>0</v>
      </c>
      <c r="O141" t="n">
        <v>0</v>
      </c>
      <c r="P141" t="n">
        <v>0</v>
      </c>
      <c r="Q141" t="n">
        <v>0</v>
      </c>
      <c r="R141" s="2" t="inlineStr"/>
    </row>
    <row r="142" ht="15" customHeight="1">
      <c r="A142" t="inlineStr">
        <is>
          <t>A 46854-2020</t>
        </is>
      </c>
      <c r="B142" s="1" t="n">
        <v>44090</v>
      </c>
      <c r="C142" s="1" t="n">
        <v>45508</v>
      </c>
      <c r="D142" t="inlineStr">
        <is>
          <t>DALARNAS LÄN</t>
        </is>
      </c>
      <c r="E142" t="inlineStr">
        <is>
          <t>LEKSAND</t>
        </is>
      </c>
      <c r="G142" t="n">
        <v>1.6</v>
      </c>
      <c r="H142" t="n">
        <v>0</v>
      </c>
      <c r="I142" t="n">
        <v>0</v>
      </c>
      <c r="J142" t="n">
        <v>0</v>
      </c>
      <c r="K142" t="n">
        <v>0</v>
      </c>
      <c r="L142" t="n">
        <v>0</v>
      </c>
      <c r="M142" t="n">
        <v>0</v>
      </c>
      <c r="N142" t="n">
        <v>0</v>
      </c>
      <c r="O142" t="n">
        <v>0</v>
      </c>
      <c r="P142" t="n">
        <v>0</v>
      </c>
      <c r="Q142" t="n">
        <v>0</v>
      </c>
      <c r="R142" s="2" t="inlineStr"/>
    </row>
    <row r="143" ht="15" customHeight="1">
      <c r="A143" t="inlineStr">
        <is>
          <t>A 47004-2020</t>
        </is>
      </c>
      <c r="B143" s="1" t="n">
        <v>44091</v>
      </c>
      <c r="C143" s="1" t="n">
        <v>45508</v>
      </c>
      <c r="D143" t="inlineStr">
        <is>
          <t>DALARNAS LÄN</t>
        </is>
      </c>
      <c r="E143" t="inlineStr">
        <is>
          <t>LEKSAND</t>
        </is>
      </c>
      <c r="G143" t="n">
        <v>3.2</v>
      </c>
      <c r="H143" t="n">
        <v>0</v>
      </c>
      <c r="I143" t="n">
        <v>0</v>
      </c>
      <c r="J143" t="n">
        <v>0</v>
      </c>
      <c r="K143" t="n">
        <v>0</v>
      </c>
      <c r="L143" t="n">
        <v>0</v>
      </c>
      <c r="M143" t="n">
        <v>0</v>
      </c>
      <c r="N143" t="n">
        <v>0</v>
      </c>
      <c r="O143" t="n">
        <v>0</v>
      </c>
      <c r="P143" t="n">
        <v>0</v>
      </c>
      <c r="Q143" t="n">
        <v>0</v>
      </c>
      <c r="R143" s="2" t="inlineStr"/>
    </row>
    <row r="144" ht="15" customHeight="1">
      <c r="A144" t="inlineStr">
        <is>
          <t>A 47069-2020</t>
        </is>
      </c>
      <c r="B144" s="1" t="n">
        <v>44096</v>
      </c>
      <c r="C144" s="1" t="n">
        <v>45508</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50123-2020</t>
        </is>
      </c>
      <c r="B145" s="1" t="n">
        <v>44104</v>
      </c>
      <c r="C145" s="1" t="n">
        <v>45508</v>
      </c>
      <c r="D145" t="inlineStr">
        <is>
          <t>DALARNAS LÄN</t>
        </is>
      </c>
      <c r="E145" t="inlineStr">
        <is>
          <t>LEKSAND</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50102-2020</t>
        </is>
      </c>
      <c r="B146" s="1" t="n">
        <v>44104</v>
      </c>
      <c r="C146" s="1" t="n">
        <v>45508</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60920-2020</t>
        </is>
      </c>
      <c r="B147" s="1" t="n">
        <v>44153</v>
      </c>
      <c r="C147" s="1" t="n">
        <v>45508</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60963-2020</t>
        </is>
      </c>
      <c r="B148" s="1" t="n">
        <v>44154</v>
      </c>
      <c r="C148" s="1" t="n">
        <v>45508</v>
      </c>
      <c r="D148" t="inlineStr">
        <is>
          <t>DALARNAS LÄN</t>
        </is>
      </c>
      <c r="E148" t="inlineStr">
        <is>
          <t>LEKSAND</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62118-2020</t>
        </is>
      </c>
      <c r="B149" s="1" t="n">
        <v>44159</v>
      </c>
      <c r="C149" s="1" t="n">
        <v>45508</v>
      </c>
      <c r="D149" t="inlineStr">
        <is>
          <t>DALARNAS LÄN</t>
        </is>
      </c>
      <c r="E149" t="inlineStr">
        <is>
          <t>LEKSAND</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63481-2020</t>
        </is>
      </c>
      <c r="B150" s="1" t="n">
        <v>44161</v>
      </c>
      <c r="C150" s="1" t="n">
        <v>45508</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64109-2020</t>
        </is>
      </c>
      <c r="B151" s="1" t="n">
        <v>44167</v>
      </c>
      <c r="C151" s="1" t="n">
        <v>45508</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64449-2020</t>
        </is>
      </c>
      <c r="B152" s="1" t="n">
        <v>44168</v>
      </c>
      <c r="C152" s="1" t="n">
        <v>45508</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64876-2020</t>
        </is>
      </c>
      <c r="B153" s="1" t="n">
        <v>44171</v>
      </c>
      <c r="C153" s="1" t="n">
        <v>45508</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65058-2020</t>
        </is>
      </c>
      <c r="B154" s="1" t="n">
        <v>44172</v>
      </c>
      <c r="C154" s="1" t="n">
        <v>45508</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66169-2020</t>
        </is>
      </c>
      <c r="B155" s="1" t="n">
        <v>44174</v>
      </c>
      <c r="C155" s="1" t="n">
        <v>45508</v>
      </c>
      <c r="D155" t="inlineStr">
        <is>
          <t>DALARNAS LÄN</t>
        </is>
      </c>
      <c r="E155" t="inlineStr">
        <is>
          <t>LEKSAND</t>
        </is>
      </c>
      <c r="G155" t="n">
        <v>5.3</v>
      </c>
      <c r="H155" t="n">
        <v>0</v>
      </c>
      <c r="I155" t="n">
        <v>0</v>
      </c>
      <c r="J155" t="n">
        <v>0</v>
      </c>
      <c r="K155" t="n">
        <v>0</v>
      </c>
      <c r="L155" t="n">
        <v>0</v>
      </c>
      <c r="M155" t="n">
        <v>0</v>
      </c>
      <c r="N155" t="n">
        <v>0</v>
      </c>
      <c r="O155" t="n">
        <v>0</v>
      </c>
      <c r="P155" t="n">
        <v>0</v>
      </c>
      <c r="Q155" t="n">
        <v>0</v>
      </c>
      <c r="R155" s="2" t="inlineStr"/>
    </row>
    <row r="156" ht="15" customHeight="1">
      <c r="A156" t="inlineStr">
        <is>
          <t>A 67100-2020</t>
        </is>
      </c>
      <c r="B156" s="1" t="n">
        <v>44179</v>
      </c>
      <c r="C156" s="1" t="n">
        <v>45508</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67307-2020</t>
        </is>
      </c>
      <c r="B157" s="1" t="n">
        <v>44181</v>
      </c>
      <c r="C157" s="1" t="n">
        <v>45508</v>
      </c>
      <c r="D157" t="inlineStr">
        <is>
          <t>DALARNAS LÄN</t>
        </is>
      </c>
      <c r="E157" t="inlineStr">
        <is>
          <t>LEKSAND</t>
        </is>
      </c>
      <c r="G157" t="n">
        <v>5.9</v>
      </c>
      <c r="H157" t="n">
        <v>0</v>
      </c>
      <c r="I157" t="n">
        <v>0</v>
      </c>
      <c r="J157" t="n">
        <v>0</v>
      </c>
      <c r="K157" t="n">
        <v>0</v>
      </c>
      <c r="L157" t="n">
        <v>0</v>
      </c>
      <c r="M157" t="n">
        <v>0</v>
      </c>
      <c r="N157" t="n">
        <v>0</v>
      </c>
      <c r="O157" t="n">
        <v>0</v>
      </c>
      <c r="P157" t="n">
        <v>0</v>
      </c>
      <c r="Q157" t="n">
        <v>0</v>
      </c>
      <c r="R157" s="2" t="inlineStr"/>
    </row>
    <row r="158" ht="15" customHeight="1">
      <c r="A158" t="inlineStr">
        <is>
          <t>A 68058-2020</t>
        </is>
      </c>
      <c r="B158" s="1" t="n">
        <v>44183</v>
      </c>
      <c r="C158" s="1" t="n">
        <v>45508</v>
      </c>
      <c r="D158" t="inlineStr">
        <is>
          <t>DALARNAS LÄN</t>
        </is>
      </c>
      <c r="E158" t="inlineStr">
        <is>
          <t>LEKSAND</t>
        </is>
      </c>
      <c r="F158" t="inlineStr">
        <is>
          <t>Bergvik skog väst AB</t>
        </is>
      </c>
      <c r="G158" t="n">
        <v>4.9</v>
      </c>
      <c r="H158" t="n">
        <v>0</v>
      </c>
      <c r="I158" t="n">
        <v>0</v>
      </c>
      <c r="J158" t="n">
        <v>0</v>
      </c>
      <c r="K158" t="n">
        <v>0</v>
      </c>
      <c r="L158" t="n">
        <v>0</v>
      </c>
      <c r="M158" t="n">
        <v>0</v>
      </c>
      <c r="N158" t="n">
        <v>0</v>
      </c>
      <c r="O158" t="n">
        <v>0</v>
      </c>
      <c r="P158" t="n">
        <v>0</v>
      </c>
      <c r="Q158" t="n">
        <v>0</v>
      </c>
      <c r="R158" s="2" t="inlineStr"/>
    </row>
    <row r="159" ht="15" customHeight="1">
      <c r="A159" t="inlineStr">
        <is>
          <t>A 776-2021</t>
        </is>
      </c>
      <c r="B159" s="1" t="n">
        <v>44203</v>
      </c>
      <c r="C159" s="1" t="n">
        <v>45508</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1078-2021</t>
        </is>
      </c>
      <c r="B160" s="1" t="n">
        <v>44207</v>
      </c>
      <c r="C160" s="1" t="n">
        <v>45508</v>
      </c>
      <c r="D160" t="inlineStr">
        <is>
          <t>DALARNAS LÄN</t>
        </is>
      </c>
      <c r="E160" t="inlineStr">
        <is>
          <t>LEKSAND</t>
        </is>
      </c>
      <c r="G160" t="n">
        <v>4.9</v>
      </c>
      <c r="H160" t="n">
        <v>0</v>
      </c>
      <c r="I160" t="n">
        <v>0</v>
      </c>
      <c r="J160" t="n">
        <v>0</v>
      </c>
      <c r="K160" t="n">
        <v>0</v>
      </c>
      <c r="L160" t="n">
        <v>0</v>
      </c>
      <c r="M160" t="n">
        <v>0</v>
      </c>
      <c r="N160" t="n">
        <v>0</v>
      </c>
      <c r="O160" t="n">
        <v>0</v>
      </c>
      <c r="P160" t="n">
        <v>0</v>
      </c>
      <c r="Q160" t="n">
        <v>0</v>
      </c>
      <c r="R160" s="2" t="inlineStr"/>
    </row>
    <row r="161" ht="15" customHeight="1">
      <c r="A161" t="inlineStr">
        <is>
          <t>A 2311-2021</t>
        </is>
      </c>
      <c r="B161" s="1" t="n">
        <v>44213</v>
      </c>
      <c r="C161" s="1" t="n">
        <v>45508</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9131-2021</t>
        </is>
      </c>
      <c r="B162" s="1" t="n">
        <v>44249</v>
      </c>
      <c r="C162" s="1" t="n">
        <v>45508</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9133-2021</t>
        </is>
      </c>
      <c r="B163" s="1" t="n">
        <v>44249</v>
      </c>
      <c r="C163" s="1" t="n">
        <v>45508</v>
      </c>
      <c r="D163" t="inlineStr">
        <is>
          <t>DALARNAS LÄN</t>
        </is>
      </c>
      <c r="E163" t="inlineStr">
        <is>
          <t>LEKSAND</t>
        </is>
      </c>
      <c r="G163" t="n">
        <v>2.5</v>
      </c>
      <c r="H163" t="n">
        <v>0</v>
      </c>
      <c r="I163" t="n">
        <v>0</v>
      </c>
      <c r="J163" t="n">
        <v>0</v>
      </c>
      <c r="K163" t="n">
        <v>0</v>
      </c>
      <c r="L163" t="n">
        <v>0</v>
      </c>
      <c r="M163" t="n">
        <v>0</v>
      </c>
      <c r="N163" t="n">
        <v>0</v>
      </c>
      <c r="O163" t="n">
        <v>0</v>
      </c>
      <c r="P163" t="n">
        <v>0</v>
      </c>
      <c r="Q163" t="n">
        <v>0</v>
      </c>
      <c r="R163" s="2" t="inlineStr"/>
    </row>
    <row r="164" ht="15" customHeight="1">
      <c r="A164" t="inlineStr">
        <is>
          <t>A 13705-2021</t>
        </is>
      </c>
      <c r="B164" s="1" t="n">
        <v>44274</v>
      </c>
      <c r="C164" s="1" t="n">
        <v>45508</v>
      </c>
      <c r="D164" t="inlineStr">
        <is>
          <t>DALARNAS LÄN</t>
        </is>
      </c>
      <c r="E164" t="inlineStr">
        <is>
          <t>LEKSAND</t>
        </is>
      </c>
      <c r="G164" t="n">
        <v>3.8</v>
      </c>
      <c r="H164" t="n">
        <v>0</v>
      </c>
      <c r="I164" t="n">
        <v>0</v>
      </c>
      <c r="J164" t="n">
        <v>0</v>
      </c>
      <c r="K164" t="n">
        <v>0</v>
      </c>
      <c r="L164" t="n">
        <v>0</v>
      </c>
      <c r="M164" t="n">
        <v>0</v>
      </c>
      <c r="N164" t="n">
        <v>0</v>
      </c>
      <c r="O164" t="n">
        <v>0</v>
      </c>
      <c r="P164" t="n">
        <v>0</v>
      </c>
      <c r="Q164" t="n">
        <v>0</v>
      </c>
      <c r="R164" s="2" t="inlineStr"/>
    </row>
    <row r="165" ht="15" customHeight="1">
      <c r="A165" t="inlineStr">
        <is>
          <t>A 16231-2021</t>
        </is>
      </c>
      <c r="B165" s="1" t="n">
        <v>44292</v>
      </c>
      <c r="C165" s="1" t="n">
        <v>45508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17615-2021</t>
        </is>
      </c>
      <c r="B166" s="1" t="n">
        <v>44299</v>
      </c>
      <c r="C166" s="1" t="n">
        <v>45508</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18267-2021</t>
        </is>
      </c>
      <c r="B167" s="1" t="n">
        <v>44305</v>
      </c>
      <c r="C167" s="1" t="n">
        <v>45508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18706-2021</t>
        </is>
      </c>
      <c r="B168" s="1" t="n">
        <v>44307</v>
      </c>
      <c r="C168" s="1" t="n">
        <v>45508</v>
      </c>
      <c r="D168" t="inlineStr">
        <is>
          <t>DALARNAS LÄN</t>
        </is>
      </c>
      <c r="E168" t="inlineStr">
        <is>
          <t>LEKSAND</t>
        </is>
      </c>
      <c r="G168" t="n">
        <v>3.4</v>
      </c>
      <c r="H168" t="n">
        <v>0</v>
      </c>
      <c r="I168" t="n">
        <v>0</v>
      </c>
      <c r="J168" t="n">
        <v>0</v>
      </c>
      <c r="K168" t="n">
        <v>0</v>
      </c>
      <c r="L168" t="n">
        <v>0</v>
      </c>
      <c r="M168" t="n">
        <v>0</v>
      </c>
      <c r="N168" t="n">
        <v>0</v>
      </c>
      <c r="O168" t="n">
        <v>0</v>
      </c>
      <c r="P168" t="n">
        <v>0</v>
      </c>
      <c r="Q168" t="n">
        <v>0</v>
      </c>
      <c r="R168" s="2" t="inlineStr"/>
    </row>
    <row r="169" ht="15" customHeight="1">
      <c r="A169" t="inlineStr">
        <is>
          <t>A 19677-2021</t>
        </is>
      </c>
      <c r="B169" s="1" t="n">
        <v>44312</v>
      </c>
      <c r="C169" s="1" t="n">
        <v>45508</v>
      </c>
      <c r="D169" t="inlineStr">
        <is>
          <t>DALARNAS LÄN</t>
        </is>
      </c>
      <c r="E169" t="inlineStr">
        <is>
          <t>LEKSAND</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21132-2021</t>
        </is>
      </c>
      <c r="B170" s="1" t="n">
        <v>44319</v>
      </c>
      <c r="C170" s="1" t="n">
        <v>45508</v>
      </c>
      <c r="D170" t="inlineStr">
        <is>
          <t>DALARNAS LÄN</t>
        </is>
      </c>
      <c r="E170" t="inlineStr">
        <is>
          <t>LEKSAND</t>
        </is>
      </c>
      <c r="G170" t="n">
        <v>6.8</v>
      </c>
      <c r="H170" t="n">
        <v>0</v>
      </c>
      <c r="I170" t="n">
        <v>0</v>
      </c>
      <c r="J170" t="n">
        <v>0</v>
      </c>
      <c r="K170" t="n">
        <v>0</v>
      </c>
      <c r="L170" t="n">
        <v>0</v>
      </c>
      <c r="M170" t="n">
        <v>0</v>
      </c>
      <c r="N170" t="n">
        <v>0</v>
      </c>
      <c r="O170" t="n">
        <v>0</v>
      </c>
      <c r="P170" t="n">
        <v>0</v>
      </c>
      <c r="Q170" t="n">
        <v>0</v>
      </c>
      <c r="R170" s="2" t="inlineStr"/>
    </row>
    <row r="171" ht="15" customHeight="1">
      <c r="A171" t="inlineStr">
        <is>
          <t>A 21968-2021</t>
        </is>
      </c>
      <c r="B171" s="1" t="n">
        <v>44323</v>
      </c>
      <c r="C171" s="1" t="n">
        <v>45508</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21969-2021</t>
        </is>
      </c>
      <c r="B172" s="1" t="n">
        <v>44323</v>
      </c>
      <c r="C172" s="1" t="n">
        <v>45508</v>
      </c>
      <c r="D172" t="inlineStr">
        <is>
          <t>DALARNAS LÄN</t>
        </is>
      </c>
      <c r="E172" t="inlineStr">
        <is>
          <t>LEKSAND</t>
        </is>
      </c>
      <c r="G172" t="n">
        <v>3.8</v>
      </c>
      <c r="H172" t="n">
        <v>0</v>
      </c>
      <c r="I172" t="n">
        <v>0</v>
      </c>
      <c r="J172" t="n">
        <v>0</v>
      </c>
      <c r="K172" t="n">
        <v>0</v>
      </c>
      <c r="L172" t="n">
        <v>0</v>
      </c>
      <c r="M172" t="n">
        <v>0</v>
      </c>
      <c r="N172" t="n">
        <v>0</v>
      </c>
      <c r="O172" t="n">
        <v>0</v>
      </c>
      <c r="P172" t="n">
        <v>0</v>
      </c>
      <c r="Q172" t="n">
        <v>0</v>
      </c>
      <c r="R172" s="2" t="inlineStr"/>
    </row>
    <row r="173" ht="15" customHeight="1">
      <c r="A173" t="inlineStr">
        <is>
          <t>A 21965-2021</t>
        </is>
      </c>
      <c r="B173" s="1" t="n">
        <v>44323</v>
      </c>
      <c r="C173" s="1" t="n">
        <v>45508</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22431-2021</t>
        </is>
      </c>
      <c r="B174" s="1" t="n">
        <v>44326</v>
      </c>
      <c r="C174" s="1" t="n">
        <v>45508</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22703-2021</t>
        </is>
      </c>
      <c r="B175" s="1" t="n">
        <v>44327</v>
      </c>
      <c r="C175" s="1" t="n">
        <v>45508</v>
      </c>
      <c r="D175" t="inlineStr">
        <is>
          <t>DALARNAS LÄN</t>
        </is>
      </c>
      <c r="E175" t="inlineStr">
        <is>
          <t>LEKSAND</t>
        </is>
      </c>
      <c r="F175" t="inlineStr">
        <is>
          <t>Bergvik skog väst AB</t>
        </is>
      </c>
      <c r="G175" t="n">
        <v>3.4</v>
      </c>
      <c r="H175" t="n">
        <v>0</v>
      </c>
      <c r="I175" t="n">
        <v>0</v>
      </c>
      <c r="J175" t="n">
        <v>0</v>
      </c>
      <c r="K175" t="n">
        <v>0</v>
      </c>
      <c r="L175" t="n">
        <v>0</v>
      </c>
      <c r="M175" t="n">
        <v>0</v>
      </c>
      <c r="N175" t="n">
        <v>0</v>
      </c>
      <c r="O175" t="n">
        <v>0</v>
      </c>
      <c r="P175" t="n">
        <v>0</v>
      </c>
      <c r="Q175" t="n">
        <v>0</v>
      </c>
      <c r="R175" s="2" t="inlineStr"/>
      <c r="U175">
        <f>HYPERLINK("https://klasma.github.io/Logging_2029/knärot/A 22703-2021 karta knärot.png", "A 22703-2021")</f>
        <v/>
      </c>
      <c r="V175">
        <f>HYPERLINK("https://klasma.github.io/Logging_2029/klagomål/A 22703-2021 FSC-klagomål.docx", "A 22703-2021")</f>
        <v/>
      </c>
      <c r="W175">
        <f>HYPERLINK("https://klasma.github.io/Logging_2029/klagomålsmail/A 22703-2021 FSC-klagomål mail.docx", "A 22703-2021")</f>
        <v/>
      </c>
      <c r="X175">
        <f>HYPERLINK("https://klasma.github.io/Logging_2029/tillsyn/A 22703-2021 tillsynsbegäran.docx", "A 22703-2021")</f>
        <v/>
      </c>
      <c r="Y175">
        <f>HYPERLINK("https://klasma.github.io/Logging_2029/tillsynsmail/A 22703-2021 tillsynsbegäran mail.docx", "A 22703-2021")</f>
        <v/>
      </c>
    </row>
    <row r="176" ht="15" customHeight="1">
      <c r="A176" t="inlineStr">
        <is>
          <t>A 22684-2021</t>
        </is>
      </c>
      <c r="B176" s="1" t="n">
        <v>44327</v>
      </c>
      <c r="C176" s="1" t="n">
        <v>45508</v>
      </c>
      <c r="D176" t="inlineStr">
        <is>
          <t>DALARNAS LÄN</t>
        </is>
      </c>
      <c r="E176" t="inlineStr">
        <is>
          <t>LEKSAND</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22999-2021</t>
        </is>
      </c>
      <c r="B177" s="1" t="n">
        <v>44328</v>
      </c>
      <c r="C177" s="1" t="n">
        <v>45508</v>
      </c>
      <c r="D177" t="inlineStr">
        <is>
          <t>DALARNAS LÄN</t>
        </is>
      </c>
      <c r="E177" t="inlineStr">
        <is>
          <t>LEKSAND</t>
        </is>
      </c>
      <c r="F177" t="inlineStr">
        <is>
          <t>Bergvik skog väst AB</t>
        </is>
      </c>
      <c r="G177" t="n">
        <v>8.5</v>
      </c>
      <c r="H177" t="n">
        <v>0</v>
      </c>
      <c r="I177" t="n">
        <v>0</v>
      </c>
      <c r="J177" t="n">
        <v>0</v>
      </c>
      <c r="K177" t="n">
        <v>0</v>
      </c>
      <c r="L177" t="n">
        <v>0</v>
      </c>
      <c r="M177" t="n">
        <v>0</v>
      </c>
      <c r="N177" t="n">
        <v>0</v>
      </c>
      <c r="O177" t="n">
        <v>0</v>
      </c>
      <c r="P177" t="n">
        <v>0</v>
      </c>
      <c r="Q177" t="n">
        <v>0</v>
      </c>
      <c r="R177" s="2" t="inlineStr"/>
    </row>
    <row r="178" ht="15" customHeight="1">
      <c r="A178" t="inlineStr">
        <is>
          <t>A 23824-2021</t>
        </is>
      </c>
      <c r="B178" s="1" t="n">
        <v>44335</v>
      </c>
      <c r="C178" s="1" t="n">
        <v>45508</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45508</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24479-2021</t>
        </is>
      </c>
      <c r="B180" s="1" t="n">
        <v>44337</v>
      </c>
      <c r="C180" s="1" t="n">
        <v>45508</v>
      </c>
      <c r="D180" t="inlineStr">
        <is>
          <t>DALARNAS LÄN</t>
        </is>
      </c>
      <c r="E180" t="inlineStr">
        <is>
          <t>LEKSAND</t>
        </is>
      </c>
      <c r="F180" t="inlineStr">
        <is>
          <t>Bergvik skog väst AB</t>
        </is>
      </c>
      <c r="G180" t="n">
        <v>6.6</v>
      </c>
      <c r="H180" t="n">
        <v>0</v>
      </c>
      <c r="I180" t="n">
        <v>0</v>
      </c>
      <c r="J180" t="n">
        <v>0</v>
      </c>
      <c r="K180" t="n">
        <v>0</v>
      </c>
      <c r="L180" t="n">
        <v>0</v>
      </c>
      <c r="M180" t="n">
        <v>0</v>
      </c>
      <c r="N180" t="n">
        <v>0</v>
      </c>
      <c r="O180" t="n">
        <v>0</v>
      </c>
      <c r="P180" t="n">
        <v>0</v>
      </c>
      <c r="Q180" t="n">
        <v>0</v>
      </c>
      <c r="R180" s="2" t="inlineStr"/>
    </row>
    <row r="181" ht="15" customHeight="1">
      <c r="A181" t="inlineStr">
        <is>
          <t>A 26738-2021</t>
        </is>
      </c>
      <c r="B181" s="1" t="n">
        <v>44349</v>
      </c>
      <c r="C181" s="1" t="n">
        <v>45508</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27154-2021</t>
        </is>
      </c>
      <c r="B182" s="1" t="n">
        <v>44350</v>
      </c>
      <c r="C182" s="1" t="n">
        <v>45508</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27317-2021</t>
        </is>
      </c>
      <c r="B183" s="1" t="n">
        <v>44351</v>
      </c>
      <c r="C183" s="1" t="n">
        <v>45508</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32152-2021</t>
        </is>
      </c>
      <c r="B184" s="1" t="n">
        <v>44371</v>
      </c>
      <c r="C184" s="1" t="n">
        <v>45508</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32635-2021</t>
        </is>
      </c>
      <c r="B185" s="1" t="n">
        <v>44374</v>
      </c>
      <c r="C185" s="1" t="n">
        <v>45508</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33072-2021</t>
        </is>
      </c>
      <c r="B186" s="1" t="n">
        <v>44375</v>
      </c>
      <c r="C186" s="1" t="n">
        <v>45508</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33170-2021</t>
        </is>
      </c>
      <c r="B187" s="1" t="n">
        <v>44376</v>
      </c>
      <c r="C187" s="1" t="n">
        <v>45508</v>
      </c>
      <c r="D187" t="inlineStr">
        <is>
          <t>DALARNAS LÄN</t>
        </is>
      </c>
      <c r="E187" t="inlineStr">
        <is>
          <t>LEKSAND</t>
        </is>
      </c>
      <c r="F187" t="inlineStr">
        <is>
          <t>Bergvik skog väst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34869-2021</t>
        </is>
      </c>
      <c r="B188" s="1" t="n">
        <v>44383</v>
      </c>
      <c r="C188" s="1" t="n">
        <v>45508</v>
      </c>
      <c r="D188" t="inlineStr">
        <is>
          <t>DALARNAS LÄN</t>
        </is>
      </c>
      <c r="E188" t="inlineStr">
        <is>
          <t>LEKSAND</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34867-2021</t>
        </is>
      </c>
      <c r="B189" s="1" t="n">
        <v>44383</v>
      </c>
      <c r="C189" s="1" t="n">
        <v>45508</v>
      </c>
      <c r="D189" t="inlineStr">
        <is>
          <t>DALARNAS LÄN</t>
        </is>
      </c>
      <c r="E189" t="inlineStr">
        <is>
          <t>LEKSAND</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34911-2021</t>
        </is>
      </c>
      <c r="B190" s="1" t="n">
        <v>44383</v>
      </c>
      <c r="C190" s="1" t="n">
        <v>45508</v>
      </c>
      <c r="D190" t="inlineStr">
        <is>
          <t>DALARNAS LÄN</t>
        </is>
      </c>
      <c r="E190" t="inlineStr">
        <is>
          <t>LEKSAND</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36438-2021</t>
        </is>
      </c>
      <c r="B191" s="1" t="n">
        <v>44390</v>
      </c>
      <c r="C191" s="1" t="n">
        <v>45508</v>
      </c>
      <c r="D191" t="inlineStr">
        <is>
          <t>DALARNAS LÄN</t>
        </is>
      </c>
      <c r="E191" t="inlineStr">
        <is>
          <t>LEKSAND</t>
        </is>
      </c>
      <c r="G191" t="n">
        <v>5</v>
      </c>
      <c r="H191" t="n">
        <v>0</v>
      </c>
      <c r="I191" t="n">
        <v>0</v>
      </c>
      <c r="J191" t="n">
        <v>0</v>
      </c>
      <c r="K191" t="n">
        <v>0</v>
      </c>
      <c r="L191" t="n">
        <v>0</v>
      </c>
      <c r="M191" t="n">
        <v>0</v>
      </c>
      <c r="N191" t="n">
        <v>0</v>
      </c>
      <c r="O191" t="n">
        <v>0</v>
      </c>
      <c r="P191" t="n">
        <v>0</v>
      </c>
      <c r="Q191" t="n">
        <v>0</v>
      </c>
      <c r="R191" s="2" t="inlineStr"/>
    </row>
    <row r="192" ht="15" customHeight="1">
      <c r="A192" t="inlineStr">
        <is>
          <t>A 36956-2021</t>
        </is>
      </c>
      <c r="B192" s="1" t="n">
        <v>44393</v>
      </c>
      <c r="C192" s="1" t="n">
        <v>45508</v>
      </c>
      <c r="D192" t="inlineStr">
        <is>
          <t>DALARNAS LÄN</t>
        </is>
      </c>
      <c r="E192" t="inlineStr">
        <is>
          <t>LEKSAND</t>
        </is>
      </c>
      <c r="G192" t="n">
        <v>4.1</v>
      </c>
      <c r="H192" t="n">
        <v>0</v>
      </c>
      <c r="I192" t="n">
        <v>0</v>
      </c>
      <c r="J192" t="n">
        <v>0</v>
      </c>
      <c r="K192" t="n">
        <v>0</v>
      </c>
      <c r="L192" t="n">
        <v>0</v>
      </c>
      <c r="M192" t="n">
        <v>0</v>
      </c>
      <c r="N192" t="n">
        <v>0</v>
      </c>
      <c r="O192" t="n">
        <v>0</v>
      </c>
      <c r="P192" t="n">
        <v>0</v>
      </c>
      <c r="Q192" t="n">
        <v>0</v>
      </c>
      <c r="R192" s="2" t="inlineStr"/>
    </row>
    <row r="193" ht="15" customHeight="1">
      <c r="A193" t="inlineStr">
        <is>
          <t>A 37073-2021</t>
        </is>
      </c>
      <c r="B193" s="1" t="n">
        <v>44394</v>
      </c>
      <c r="C193" s="1" t="n">
        <v>45508</v>
      </c>
      <c r="D193" t="inlineStr">
        <is>
          <t>DALARNAS LÄN</t>
        </is>
      </c>
      <c r="E193" t="inlineStr">
        <is>
          <t>LEKSAND</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37283-2021</t>
        </is>
      </c>
      <c r="B194" s="1" t="n">
        <v>44397</v>
      </c>
      <c r="C194" s="1" t="n">
        <v>45508</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37531-2021</t>
        </is>
      </c>
      <c r="B195" s="1" t="n">
        <v>44399</v>
      </c>
      <c r="C195" s="1" t="n">
        <v>45508</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38192-2021</t>
        </is>
      </c>
      <c r="B196" s="1" t="n">
        <v>44405</v>
      </c>
      <c r="C196" s="1" t="n">
        <v>45508</v>
      </c>
      <c r="D196" t="inlineStr">
        <is>
          <t>DALARNAS LÄN</t>
        </is>
      </c>
      <c r="E196" t="inlineStr">
        <is>
          <t>LEKSAND</t>
        </is>
      </c>
      <c r="G196" t="n">
        <v>2</v>
      </c>
      <c r="H196" t="n">
        <v>0</v>
      </c>
      <c r="I196" t="n">
        <v>0</v>
      </c>
      <c r="J196" t="n">
        <v>0</v>
      </c>
      <c r="K196" t="n">
        <v>0</v>
      </c>
      <c r="L196" t="n">
        <v>0</v>
      </c>
      <c r="M196" t="n">
        <v>0</v>
      </c>
      <c r="N196" t="n">
        <v>0</v>
      </c>
      <c r="O196" t="n">
        <v>0</v>
      </c>
      <c r="P196" t="n">
        <v>0</v>
      </c>
      <c r="Q196" t="n">
        <v>0</v>
      </c>
      <c r="R196" s="2" t="inlineStr"/>
    </row>
    <row r="197" ht="15" customHeight="1">
      <c r="A197" t="inlineStr">
        <is>
          <t>A 38619-2021</t>
        </is>
      </c>
      <c r="B197" s="1" t="n">
        <v>44409</v>
      </c>
      <c r="C197" s="1" t="n">
        <v>45508</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39203-2021</t>
        </is>
      </c>
      <c r="B198" s="1" t="n">
        <v>44413</v>
      </c>
      <c r="C198" s="1" t="n">
        <v>45508</v>
      </c>
      <c r="D198" t="inlineStr">
        <is>
          <t>DALARNAS LÄN</t>
        </is>
      </c>
      <c r="E198" t="inlineStr">
        <is>
          <t>LEKSAND</t>
        </is>
      </c>
      <c r="G198" t="n">
        <v>5</v>
      </c>
      <c r="H198" t="n">
        <v>0</v>
      </c>
      <c r="I198" t="n">
        <v>0</v>
      </c>
      <c r="J198" t="n">
        <v>0</v>
      </c>
      <c r="K198" t="n">
        <v>0</v>
      </c>
      <c r="L198" t="n">
        <v>0</v>
      </c>
      <c r="M198" t="n">
        <v>0</v>
      </c>
      <c r="N198" t="n">
        <v>0</v>
      </c>
      <c r="O198" t="n">
        <v>0</v>
      </c>
      <c r="P198" t="n">
        <v>0</v>
      </c>
      <c r="Q198" t="n">
        <v>0</v>
      </c>
      <c r="R198" s="2" t="inlineStr"/>
    </row>
    <row r="199" ht="15" customHeight="1">
      <c r="A199" t="inlineStr">
        <is>
          <t>A 40584-2021</t>
        </is>
      </c>
      <c r="B199" s="1" t="n">
        <v>44420</v>
      </c>
      <c r="C199" s="1" t="n">
        <v>45508</v>
      </c>
      <c r="D199" t="inlineStr">
        <is>
          <t>DALARNAS LÄN</t>
        </is>
      </c>
      <c r="E199" t="inlineStr">
        <is>
          <t>LEKSAND</t>
        </is>
      </c>
      <c r="G199" t="n">
        <v>6</v>
      </c>
      <c r="H199" t="n">
        <v>0</v>
      </c>
      <c r="I199" t="n">
        <v>0</v>
      </c>
      <c r="J199" t="n">
        <v>0</v>
      </c>
      <c r="K199" t="n">
        <v>0</v>
      </c>
      <c r="L199" t="n">
        <v>0</v>
      </c>
      <c r="M199" t="n">
        <v>0</v>
      </c>
      <c r="N199" t="n">
        <v>0</v>
      </c>
      <c r="O199" t="n">
        <v>0</v>
      </c>
      <c r="P199" t="n">
        <v>0</v>
      </c>
      <c r="Q199" t="n">
        <v>0</v>
      </c>
      <c r="R199" s="2" t="inlineStr"/>
    </row>
    <row r="200" ht="15" customHeight="1">
      <c r="A200" t="inlineStr">
        <is>
          <t>A 42952-2021</t>
        </is>
      </c>
      <c r="B200" s="1" t="n">
        <v>44431</v>
      </c>
      <c r="C200" s="1" t="n">
        <v>45508</v>
      </c>
      <c r="D200" t="inlineStr">
        <is>
          <t>DALARNAS LÄN</t>
        </is>
      </c>
      <c r="E200" t="inlineStr">
        <is>
          <t>LEKSAND</t>
        </is>
      </c>
      <c r="G200" t="n">
        <v>5.4</v>
      </c>
      <c r="H200" t="n">
        <v>0</v>
      </c>
      <c r="I200" t="n">
        <v>0</v>
      </c>
      <c r="J200" t="n">
        <v>0</v>
      </c>
      <c r="K200" t="n">
        <v>0</v>
      </c>
      <c r="L200" t="n">
        <v>0</v>
      </c>
      <c r="M200" t="n">
        <v>0</v>
      </c>
      <c r="N200" t="n">
        <v>0</v>
      </c>
      <c r="O200" t="n">
        <v>0</v>
      </c>
      <c r="P200" t="n">
        <v>0</v>
      </c>
      <c r="Q200" t="n">
        <v>0</v>
      </c>
      <c r="R200" s="2" t="inlineStr"/>
    </row>
    <row r="201" ht="15" customHeight="1">
      <c r="A201" t="inlineStr">
        <is>
          <t>A 43410-2021</t>
        </is>
      </c>
      <c r="B201" s="1" t="n">
        <v>44432</v>
      </c>
      <c r="C201" s="1" t="n">
        <v>45508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44922-2021</t>
        </is>
      </c>
      <c r="B202" s="1" t="n">
        <v>44438</v>
      </c>
      <c r="C202" s="1" t="n">
        <v>45508</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45155-2021</t>
        </is>
      </c>
      <c r="B203" s="1" t="n">
        <v>44439</v>
      </c>
      <c r="C203" s="1" t="n">
        <v>45508</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45508</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45508</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48949-2021</t>
        </is>
      </c>
      <c r="B206" s="1" t="n">
        <v>44453</v>
      </c>
      <c r="C206" s="1" t="n">
        <v>45508</v>
      </c>
      <c r="D206" t="inlineStr">
        <is>
          <t>DALARNAS LÄN</t>
        </is>
      </c>
      <c r="E206" t="inlineStr">
        <is>
          <t>LEKSAND</t>
        </is>
      </c>
      <c r="G206" t="n">
        <v>3</v>
      </c>
      <c r="H206" t="n">
        <v>0</v>
      </c>
      <c r="I206" t="n">
        <v>0</v>
      </c>
      <c r="J206" t="n">
        <v>0</v>
      </c>
      <c r="K206" t="n">
        <v>0</v>
      </c>
      <c r="L206" t="n">
        <v>0</v>
      </c>
      <c r="M206" t="n">
        <v>0</v>
      </c>
      <c r="N206" t="n">
        <v>0</v>
      </c>
      <c r="O206" t="n">
        <v>0</v>
      </c>
      <c r="P206" t="n">
        <v>0</v>
      </c>
      <c r="Q206" t="n">
        <v>0</v>
      </c>
      <c r="R206" s="2" t="inlineStr"/>
    </row>
    <row r="207" ht="15" customHeight="1">
      <c r="A207" t="inlineStr">
        <is>
          <t>A 53625-2021</t>
        </is>
      </c>
      <c r="B207" s="1" t="n">
        <v>44469</v>
      </c>
      <c r="C207" s="1" t="n">
        <v>45508</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56153-2021</t>
        </is>
      </c>
      <c r="B208" s="1" t="n">
        <v>44477</v>
      </c>
      <c r="C208" s="1" t="n">
        <v>45508</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58569-2021</t>
        </is>
      </c>
      <c r="B209" s="1" t="n">
        <v>44488</v>
      </c>
      <c r="C209" s="1" t="n">
        <v>45508</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59422-2021</t>
        </is>
      </c>
      <c r="B210" s="1" t="n">
        <v>44491</v>
      </c>
      <c r="C210" s="1" t="n">
        <v>45508</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61546-2021</t>
        </is>
      </c>
      <c r="B211" s="1" t="n">
        <v>44501</v>
      </c>
      <c r="C211" s="1" t="n">
        <v>45508</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61669-2021</t>
        </is>
      </c>
      <c r="B212" s="1" t="n">
        <v>44501</v>
      </c>
      <c r="C212" s="1" t="n">
        <v>45508</v>
      </c>
      <c r="D212" t="inlineStr">
        <is>
          <t>DALARNAS LÄN</t>
        </is>
      </c>
      <c r="E212" t="inlineStr">
        <is>
          <t>LEKSAND</t>
        </is>
      </c>
      <c r="G212" t="n">
        <v>3.6</v>
      </c>
      <c r="H212" t="n">
        <v>0</v>
      </c>
      <c r="I212" t="n">
        <v>0</v>
      </c>
      <c r="J212" t="n">
        <v>0</v>
      </c>
      <c r="K212" t="n">
        <v>0</v>
      </c>
      <c r="L212" t="n">
        <v>0</v>
      </c>
      <c r="M212" t="n">
        <v>0</v>
      </c>
      <c r="N212" t="n">
        <v>0</v>
      </c>
      <c r="O212" t="n">
        <v>0</v>
      </c>
      <c r="P212" t="n">
        <v>0</v>
      </c>
      <c r="Q212" t="n">
        <v>0</v>
      </c>
      <c r="R212" s="2" t="inlineStr"/>
    </row>
    <row r="213" ht="15" customHeight="1">
      <c r="A213" t="inlineStr">
        <is>
          <t>A 61676-2021</t>
        </is>
      </c>
      <c r="B213" s="1" t="n">
        <v>44501</v>
      </c>
      <c r="C213" s="1" t="n">
        <v>45508</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62279-2021</t>
        </is>
      </c>
      <c r="B214" s="1" t="n">
        <v>44503</v>
      </c>
      <c r="C214" s="1" t="n">
        <v>45508</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64718-2021</t>
        </is>
      </c>
      <c r="B215" s="1" t="n">
        <v>44512</v>
      </c>
      <c r="C215" s="1" t="n">
        <v>45508</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68573-2021</t>
        </is>
      </c>
      <c r="B216" s="1" t="n">
        <v>44529</v>
      </c>
      <c r="C216" s="1" t="n">
        <v>45508</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68617-2021</t>
        </is>
      </c>
      <c r="B217" s="1" t="n">
        <v>44529</v>
      </c>
      <c r="C217" s="1" t="n">
        <v>45508</v>
      </c>
      <c r="D217" t="inlineStr">
        <is>
          <t>DALARNAS LÄN</t>
        </is>
      </c>
      <c r="E217" t="inlineStr">
        <is>
          <t>LEKSAND</t>
        </is>
      </c>
      <c r="G217" t="n">
        <v>0.4</v>
      </c>
      <c r="H217" t="n">
        <v>0</v>
      </c>
      <c r="I217" t="n">
        <v>0</v>
      </c>
      <c r="J217" t="n">
        <v>0</v>
      </c>
      <c r="K217" t="n">
        <v>0</v>
      </c>
      <c r="L217" t="n">
        <v>0</v>
      </c>
      <c r="M217" t="n">
        <v>0</v>
      </c>
      <c r="N217" t="n">
        <v>0</v>
      </c>
      <c r="O217" t="n">
        <v>0</v>
      </c>
      <c r="P217" t="n">
        <v>0</v>
      </c>
      <c r="Q217" t="n">
        <v>0</v>
      </c>
      <c r="R217" s="2" t="inlineStr"/>
    </row>
    <row r="218" ht="15" customHeight="1">
      <c r="A218" t="inlineStr">
        <is>
          <t>A 69525-2021</t>
        </is>
      </c>
      <c r="B218" s="1" t="n">
        <v>44531</v>
      </c>
      <c r="C218" s="1" t="n">
        <v>45508</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70098-2021</t>
        </is>
      </c>
      <c r="B219" s="1" t="n">
        <v>44533</v>
      </c>
      <c r="C219" s="1" t="n">
        <v>45508</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70099-2021</t>
        </is>
      </c>
      <c r="B220" s="1" t="n">
        <v>44533</v>
      </c>
      <c r="C220" s="1" t="n">
        <v>45508</v>
      </c>
      <c r="D220" t="inlineStr">
        <is>
          <t>DALARNAS LÄN</t>
        </is>
      </c>
      <c r="E220" t="inlineStr">
        <is>
          <t>LEKSAND</t>
        </is>
      </c>
      <c r="G220" t="n">
        <v>2.8</v>
      </c>
      <c r="H220" t="n">
        <v>0</v>
      </c>
      <c r="I220" t="n">
        <v>0</v>
      </c>
      <c r="J220" t="n">
        <v>0</v>
      </c>
      <c r="K220" t="n">
        <v>0</v>
      </c>
      <c r="L220" t="n">
        <v>0</v>
      </c>
      <c r="M220" t="n">
        <v>0</v>
      </c>
      <c r="N220" t="n">
        <v>0</v>
      </c>
      <c r="O220" t="n">
        <v>0</v>
      </c>
      <c r="P220" t="n">
        <v>0</v>
      </c>
      <c r="Q220" t="n">
        <v>0</v>
      </c>
      <c r="R220" s="2" t="inlineStr"/>
    </row>
    <row r="221" ht="15" customHeight="1">
      <c r="A221" t="inlineStr">
        <is>
          <t>A 70026-2021</t>
        </is>
      </c>
      <c r="B221" s="1" t="n">
        <v>44533</v>
      </c>
      <c r="C221" s="1" t="n">
        <v>45508</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70296-2021</t>
        </is>
      </c>
      <c r="B222" s="1" t="n">
        <v>44536</v>
      </c>
      <c r="C222" s="1" t="n">
        <v>45508</v>
      </c>
      <c r="D222" t="inlineStr">
        <is>
          <t>DALARNAS LÄN</t>
        </is>
      </c>
      <c r="E222" t="inlineStr">
        <is>
          <t>LEKSAND</t>
        </is>
      </c>
      <c r="G222" t="n">
        <v>2.7</v>
      </c>
      <c r="H222" t="n">
        <v>0</v>
      </c>
      <c r="I222" t="n">
        <v>0</v>
      </c>
      <c r="J222" t="n">
        <v>0</v>
      </c>
      <c r="K222" t="n">
        <v>0</v>
      </c>
      <c r="L222" t="n">
        <v>0</v>
      </c>
      <c r="M222" t="n">
        <v>0</v>
      </c>
      <c r="N222" t="n">
        <v>0</v>
      </c>
      <c r="O222" t="n">
        <v>0</v>
      </c>
      <c r="P222" t="n">
        <v>0</v>
      </c>
      <c r="Q222" t="n">
        <v>0</v>
      </c>
      <c r="R222" s="2" t="inlineStr"/>
    </row>
    <row r="223" ht="15" customHeight="1">
      <c r="A223" t="inlineStr">
        <is>
          <t>A 70451-2021</t>
        </is>
      </c>
      <c r="B223" s="1" t="n">
        <v>44536</v>
      </c>
      <c r="C223" s="1" t="n">
        <v>45508</v>
      </c>
      <c r="D223" t="inlineStr">
        <is>
          <t>DALARNAS LÄN</t>
        </is>
      </c>
      <c r="E223" t="inlineStr">
        <is>
          <t>LEKSAND</t>
        </is>
      </c>
      <c r="G223" t="n">
        <v>3.7</v>
      </c>
      <c r="H223" t="n">
        <v>0</v>
      </c>
      <c r="I223" t="n">
        <v>0</v>
      </c>
      <c r="J223" t="n">
        <v>0</v>
      </c>
      <c r="K223" t="n">
        <v>0</v>
      </c>
      <c r="L223" t="n">
        <v>0</v>
      </c>
      <c r="M223" t="n">
        <v>0</v>
      </c>
      <c r="N223" t="n">
        <v>0</v>
      </c>
      <c r="O223" t="n">
        <v>0</v>
      </c>
      <c r="P223" t="n">
        <v>0</v>
      </c>
      <c r="Q223" t="n">
        <v>0</v>
      </c>
      <c r="R223" s="2" t="inlineStr"/>
    </row>
    <row r="224" ht="15" customHeight="1">
      <c r="A224" t="inlineStr">
        <is>
          <t>A 71311-2021</t>
        </is>
      </c>
      <c r="B224" s="1" t="n">
        <v>44539</v>
      </c>
      <c r="C224" s="1" t="n">
        <v>45508</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71754-2021</t>
        </is>
      </c>
      <c r="B225" s="1" t="n">
        <v>44543</v>
      </c>
      <c r="C225" s="1" t="n">
        <v>45508</v>
      </c>
      <c r="D225" t="inlineStr">
        <is>
          <t>DALARNAS LÄN</t>
        </is>
      </c>
      <c r="E225" t="inlineStr">
        <is>
          <t>LEKSAND</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71817-2021</t>
        </is>
      </c>
      <c r="B226" s="1" t="n">
        <v>44543</v>
      </c>
      <c r="C226" s="1" t="n">
        <v>45508</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72155-2021</t>
        </is>
      </c>
      <c r="B227" s="1" t="n">
        <v>44543</v>
      </c>
      <c r="C227" s="1" t="n">
        <v>45508</v>
      </c>
      <c r="D227" t="inlineStr">
        <is>
          <t>DALARNAS LÄN</t>
        </is>
      </c>
      <c r="E227" t="inlineStr">
        <is>
          <t>LEKSAND</t>
        </is>
      </c>
      <c r="G227" t="n">
        <v>2.5</v>
      </c>
      <c r="H227" t="n">
        <v>0</v>
      </c>
      <c r="I227" t="n">
        <v>0</v>
      </c>
      <c r="J227" t="n">
        <v>0</v>
      </c>
      <c r="K227" t="n">
        <v>0</v>
      </c>
      <c r="L227" t="n">
        <v>0</v>
      </c>
      <c r="M227" t="n">
        <v>0</v>
      </c>
      <c r="N227" t="n">
        <v>0</v>
      </c>
      <c r="O227" t="n">
        <v>0</v>
      </c>
      <c r="P227" t="n">
        <v>0</v>
      </c>
      <c r="Q227" t="n">
        <v>0</v>
      </c>
      <c r="R227" s="2" t="inlineStr"/>
    </row>
    <row r="228" ht="15" customHeight="1">
      <c r="A228" t="inlineStr">
        <is>
          <t>A 72000-2021</t>
        </is>
      </c>
      <c r="B228" s="1" t="n">
        <v>44544</v>
      </c>
      <c r="C228" s="1" t="n">
        <v>45508</v>
      </c>
      <c r="D228" t="inlineStr">
        <is>
          <t>DALARNAS LÄN</t>
        </is>
      </c>
      <c r="E228" t="inlineStr">
        <is>
          <t>LEKSAND</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72001-2021</t>
        </is>
      </c>
      <c r="B229" s="1" t="n">
        <v>44544</v>
      </c>
      <c r="C229" s="1" t="n">
        <v>45508</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72581-2021</t>
        </is>
      </c>
      <c r="B230" s="1" t="n">
        <v>44546</v>
      </c>
      <c r="C230" s="1" t="n">
        <v>45508</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72531-2021</t>
        </is>
      </c>
      <c r="B231" s="1" t="n">
        <v>44546</v>
      </c>
      <c r="C231" s="1" t="n">
        <v>45508</v>
      </c>
      <c r="D231" t="inlineStr">
        <is>
          <t>DALARNAS LÄN</t>
        </is>
      </c>
      <c r="E231" t="inlineStr">
        <is>
          <t>LEKSAND</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72575-2021</t>
        </is>
      </c>
      <c r="B232" s="1" t="n">
        <v>44546</v>
      </c>
      <c r="C232" s="1" t="n">
        <v>45508</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74067-2021</t>
        </is>
      </c>
      <c r="B233" s="1" t="n">
        <v>44553</v>
      </c>
      <c r="C233" s="1" t="n">
        <v>45508</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791-2022</t>
        </is>
      </c>
      <c r="B234" s="1" t="n">
        <v>44570</v>
      </c>
      <c r="C234" s="1" t="n">
        <v>45508</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1775-2022</t>
        </is>
      </c>
      <c r="B235" s="1" t="n">
        <v>44574</v>
      </c>
      <c r="C235" s="1" t="n">
        <v>45508</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2579-2022</t>
        </is>
      </c>
      <c r="B236" s="1" t="n">
        <v>44580</v>
      </c>
      <c r="C236" s="1" t="n">
        <v>45508</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4257-2022</t>
        </is>
      </c>
      <c r="B237" s="1" t="n">
        <v>44588</v>
      </c>
      <c r="C237" s="1" t="n">
        <v>45508</v>
      </c>
      <c r="D237" t="inlineStr">
        <is>
          <t>DALARNAS LÄN</t>
        </is>
      </c>
      <c r="E237" t="inlineStr">
        <is>
          <t>LEKSAND</t>
        </is>
      </c>
      <c r="G237" t="n">
        <v>6.8</v>
      </c>
      <c r="H237" t="n">
        <v>0</v>
      </c>
      <c r="I237" t="n">
        <v>0</v>
      </c>
      <c r="J237" t="n">
        <v>0</v>
      </c>
      <c r="K237" t="n">
        <v>0</v>
      </c>
      <c r="L237" t="n">
        <v>0</v>
      </c>
      <c r="M237" t="n">
        <v>0</v>
      </c>
      <c r="N237" t="n">
        <v>0</v>
      </c>
      <c r="O237" t="n">
        <v>0</v>
      </c>
      <c r="P237" t="n">
        <v>0</v>
      </c>
      <c r="Q237" t="n">
        <v>0</v>
      </c>
      <c r="R237" s="2" t="inlineStr"/>
    </row>
    <row r="238" ht="15" customHeight="1">
      <c r="A238" t="inlineStr">
        <is>
          <t>A 4609-2022</t>
        </is>
      </c>
      <c r="B238" s="1" t="n">
        <v>44592</v>
      </c>
      <c r="C238" s="1" t="n">
        <v>45508</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8501-2022</t>
        </is>
      </c>
      <c r="B239" s="1" t="n">
        <v>44613</v>
      </c>
      <c r="C239" s="1" t="n">
        <v>45508</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11015-2022</t>
        </is>
      </c>
      <c r="B240" s="1" t="n">
        <v>44628</v>
      </c>
      <c r="C240" s="1" t="n">
        <v>45508</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11412-2022</t>
        </is>
      </c>
      <c r="B241" s="1" t="n">
        <v>44630</v>
      </c>
      <c r="C241" s="1" t="n">
        <v>45508</v>
      </c>
      <c r="D241" t="inlineStr">
        <is>
          <t>DALARNAS LÄN</t>
        </is>
      </c>
      <c r="E241" t="inlineStr">
        <is>
          <t>LEKSAND</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12992-2022</t>
        </is>
      </c>
      <c r="B242" s="1" t="n">
        <v>44643</v>
      </c>
      <c r="C242" s="1" t="n">
        <v>45508</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14140-2022</t>
        </is>
      </c>
      <c r="B243" s="1" t="n">
        <v>44651</v>
      </c>
      <c r="C243" s="1" t="n">
        <v>45508</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14806-2022</t>
        </is>
      </c>
      <c r="B244" s="1" t="n">
        <v>44656</v>
      </c>
      <c r="C244" s="1" t="n">
        <v>45508</v>
      </c>
      <c r="D244" t="inlineStr">
        <is>
          <t>DALARNAS LÄN</t>
        </is>
      </c>
      <c r="E244" t="inlineStr">
        <is>
          <t>LEKSAND</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16353-2022</t>
        </is>
      </c>
      <c r="B245" s="1" t="n">
        <v>44670</v>
      </c>
      <c r="C245" s="1" t="n">
        <v>45508</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16375-2022</t>
        </is>
      </c>
      <c r="B246" s="1" t="n">
        <v>44671</v>
      </c>
      <c r="C246" s="1" t="n">
        <v>45508</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16976-2022</t>
        </is>
      </c>
      <c r="B247" s="1" t="n">
        <v>44676</v>
      </c>
      <c r="C247" s="1" t="n">
        <v>45508</v>
      </c>
      <c r="D247" t="inlineStr">
        <is>
          <t>DALARNAS LÄN</t>
        </is>
      </c>
      <c r="E247" t="inlineStr">
        <is>
          <t>LEKSAND</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17455-2022</t>
        </is>
      </c>
      <c r="B248" s="1" t="n">
        <v>44679</v>
      </c>
      <c r="C248" s="1" t="n">
        <v>45508</v>
      </c>
      <c r="D248" t="inlineStr">
        <is>
          <t>DALARNAS LÄN</t>
        </is>
      </c>
      <c r="E248" t="inlineStr">
        <is>
          <t>LEKSAND</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18140-2022</t>
        </is>
      </c>
      <c r="B249" s="1" t="n">
        <v>44684</v>
      </c>
      <c r="C249" s="1" t="n">
        <v>45508</v>
      </c>
      <c r="D249" t="inlineStr">
        <is>
          <t>DALARNAS LÄN</t>
        </is>
      </c>
      <c r="E249" t="inlineStr">
        <is>
          <t>LEKSAND</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18866-2022</t>
        </is>
      </c>
      <c r="B250" s="1" t="n">
        <v>44690</v>
      </c>
      <c r="C250" s="1" t="n">
        <v>45508</v>
      </c>
      <c r="D250" t="inlineStr">
        <is>
          <t>DALARNAS LÄN</t>
        </is>
      </c>
      <c r="E250" t="inlineStr">
        <is>
          <t>LEKSAND</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18870-2022</t>
        </is>
      </c>
      <c r="B251" s="1" t="n">
        <v>44690</v>
      </c>
      <c r="C251" s="1" t="n">
        <v>45508</v>
      </c>
      <c r="D251" t="inlineStr">
        <is>
          <t>DALARNAS LÄN</t>
        </is>
      </c>
      <c r="E251" t="inlineStr">
        <is>
          <t>LEKSAND</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19467-2022</t>
        </is>
      </c>
      <c r="B252" s="1" t="n">
        <v>44693</v>
      </c>
      <c r="C252" s="1" t="n">
        <v>45508</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19480-2022</t>
        </is>
      </c>
      <c r="B253" s="1" t="n">
        <v>44693</v>
      </c>
      <c r="C253" s="1" t="n">
        <v>45508</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19993-2022</t>
        </is>
      </c>
      <c r="B254" s="1" t="n">
        <v>44697</v>
      </c>
      <c r="C254" s="1" t="n">
        <v>45508</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20274-2022</t>
        </is>
      </c>
      <c r="B255" s="1" t="n">
        <v>44698</v>
      </c>
      <c r="C255" s="1" t="n">
        <v>45508</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21565-2022</t>
        </is>
      </c>
      <c r="B256" s="1" t="n">
        <v>44704</v>
      </c>
      <c r="C256" s="1" t="n">
        <v>45508</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21841-2022</t>
        </is>
      </c>
      <c r="B257" s="1" t="n">
        <v>44711</v>
      </c>
      <c r="C257" s="1" t="n">
        <v>45508</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21839-2022</t>
        </is>
      </c>
      <c r="B258" s="1" t="n">
        <v>44711</v>
      </c>
      <c r="C258" s="1" t="n">
        <v>45508</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21840-2022</t>
        </is>
      </c>
      <c r="B259" s="1" t="n">
        <v>44711</v>
      </c>
      <c r="C259" s="1" t="n">
        <v>45508</v>
      </c>
      <c r="D259" t="inlineStr">
        <is>
          <t>DALARNAS LÄN</t>
        </is>
      </c>
      <c r="E259" t="inlineStr">
        <is>
          <t>LEKSAND</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22683-2022</t>
        </is>
      </c>
      <c r="B260" s="1" t="n">
        <v>44714</v>
      </c>
      <c r="C260" s="1" t="n">
        <v>45508</v>
      </c>
      <c r="D260" t="inlineStr">
        <is>
          <t>DALARNAS LÄN</t>
        </is>
      </c>
      <c r="E260" t="inlineStr">
        <is>
          <t>LEKSAND</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22681-2022</t>
        </is>
      </c>
      <c r="B261" s="1" t="n">
        <v>44714</v>
      </c>
      <c r="C261" s="1" t="n">
        <v>45508</v>
      </c>
      <c r="D261" t="inlineStr">
        <is>
          <t>DALARNAS LÄN</t>
        </is>
      </c>
      <c r="E261" t="inlineStr">
        <is>
          <t>LEKSAND</t>
        </is>
      </c>
      <c r="F261" t="inlineStr">
        <is>
          <t>Bergvik skog väst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22684-2022</t>
        </is>
      </c>
      <c r="B262" s="1" t="n">
        <v>44714</v>
      </c>
      <c r="C262" s="1" t="n">
        <v>45508</v>
      </c>
      <c r="D262" t="inlineStr">
        <is>
          <t>DALARNAS LÄN</t>
        </is>
      </c>
      <c r="E262" t="inlineStr">
        <is>
          <t>LEKSAND</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23137-2022</t>
        </is>
      </c>
      <c r="B263" s="1" t="n">
        <v>44719</v>
      </c>
      <c r="C263" s="1" t="n">
        <v>45508</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v>
      </c>
      <c r="C264" s="1" t="n">
        <v>45508</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26289-2022</t>
        </is>
      </c>
      <c r="B265" s="1" t="n">
        <v>44735</v>
      </c>
      <c r="C265" s="1" t="n">
        <v>45508</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26882-2022</t>
        </is>
      </c>
      <c r="B266" s="1" t="n">
        <v>44740</v>
      </c>
      <c r="C266" s="1" t="n">
        <v>45508</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28128-2022</t>
        </is>
      </c>
      <c r="B267" s="1" t="n">
        <v>44746</v>
      </c>
      <c r="C267" s="1" t="n">
        <v>45508</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28911-2022</t>
        </is>
      </c>
      <c r="B268" s="1" t="n">
        <v>44749</v>
      </c>
      <c r="C268" s="1" t="n">
        <v>45508</v>
      </c>
      <c r="D268" t="inlineStr">
        <is>
          <t>DALARNAS LÄN</t>
        </is>
      </c>
      <c r="E268" t="inlineStr">
        <is>
          <t>LEKSAND</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28892-2022</t>
        </is>
      </c>
      <c r="B269" s="1" t="n">
        <v>44749</v>
      </c>
      <c r="C269" s="1" t="n">
        <v>45508</v>
      </c>
      <c r="D269" t="inlineStr">
        <is>
          <t>DALARNAS LÄN</t>
        </is>
      </c>
      <c r="E269" t="inlineStr">
        <is>
          <t>LEKSAND</t>
        </is>
      </c>
      <c r="F269" t="inlineStr">
        <is>
          <t>Bergvik skog väst AB</t>
        </is>
      </c>
      <c r="G269" t="n">
        <v>9.1</v>
      </c>
      <c r="H269" t="n">
        <v>0</v>
      </c>
      <c r="I269" t="n">
        <v>0</v>
      </c>
      <c r="J269" t="n">
        <v>0</v>
      </c>
      <c r="K269" t="n">
        <v>0</v>
      </c>
      <c r="L269" t="n">
        <v>0</v>
      </c>
      <c r="M269" t="n">
        <v>0</v>
      </c>
      <c r="N269" t="n">
        <v>0</v>
      </c>
      <c r="O269" t="n">
        <v>0</v>
      </c>
      <c r="P269" t="n">
        <v>0</v>
      </c>
      <c r="Q269" t="n">
        <v>0</v>
      </c>
      <c r="R269" s="2" t="inlineStr"/>
    </row>
    <row r="270" ht="15" customHeight="1">
      <c r="A270" t="inlineStr">
        <is>
          <t>A 28912-2022</t>
        </is>
      </c>
      <c r="B270" s="1" t="n">
        <v>44749</v>
      </c>
      <c r="C270" s="1" t="n">
        <v>45508</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29205-2022</t>
        </is>
      </c>
      <c r="B271" s="1" t="n">
        <v>44750</v>
      </c>
      <c r="C271" s="1" t="n">
        <v>45508</v>
      </c>
      <c r="D271" t="inlineStr">
        <is>
          <t>DALARNAS LÄN</t>
        </is>
      </c>
      <c r="E271" t="inlineStr">
        <is>
          <t>LEKSAND</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29157-2022</t>
        </is>
      </c>
      <c r="B272" s="1" t="n">
        <v>44750</v>
      </c>
      <c r="C272" s="1" t="n">
        <v>45508</v>
      </c>
      <c r="D272" t="inlineStr">
        <is>
          <t>DALARNAS LÄN</t>
        </is>
      </c>
      <c r="E272" t="inlineStr">
        <is>
          <t>LEKSAND</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30449-2022</t>
        </is>
      </c>
      <c r="B273" s="1" t="n">
        <v>44761</v>
      </c>
      <c r="C273" s="1" t="n">
        <v>45508</v>
      </c>
      <c r="D273" t="inlineStr">
        <is>
          <t>DALARNAS LÄN</t>
        </is>
      </c>
      <c r="E273" t="inlineStr">
        <is>
          <t>LEKSAND</t>
        </is>
      </c>
      <c r="G273" t="n">
        <v>5.7</v>
      </c>
      <c r="H273" t="n">
        <v>0</v>
      </c>
      <c r="I273" t="n">
        <v>0</v>
      </c>
      <c r="J273" t="n">
        <v>0</v>
      </c>
      <c r="K273" t="n">
        <v>0</v>
      </c>
      <c r="L273" t="n">
        <v>0</v>
      </c>
      <c r="M273" t="n">
        <v>0</v>
      </c>
      <c r="N273" t="n">
        <v>0</v>
      </c>
      <c r="O273" t="n">
        <v>0</v>
      </c>
      <c r="P273" t="n">
        <v>0</v>
      </c>
      <c r="Q273" t="n">
        <v>0</v>
      </c>
      <c r="R273" s="2" t="inlineStr"/>
    </row>
    <row r="274" ht="15" customHeight="1">
      <c r="A274" t="inlineStr">
        <is>
          <t>A 31746-2022</t>
        </is>
      </c>
      <c r="B274" s="1" t="n">
        <v>44776</v>
      </c>
      <c r="C274" s="1" t="n">
        <v>45508</v>
      </c>
      <c r="D274" t="inlineStr">
        <is>
          <t>DALARNAS LÄN</t>
        </is>
      </c>
      <c r="E274" t="inlineStr">
        <is>
          <t>LEKSAND</t>
        </is>
      </c>
      <c r="G274" t="n">
        <v>3.3</v>
      </c>
      <c r="H274" t="n">
        <v>0</v>
      </c>
      <c r="I274" t="n">
        <v>0</v>
      </c>
      <c r="J274" t="n">
        <v>0</v>
      </c>
      <c r="K274" t="n">
        <v>0</v>
      </c>
      <c r="L274" t="n">
        <v>0</v>
      </c>
      <c r="M274" t="n">
        <v>0</v>
      </c>
      <c r="N274" t="n">
        <v>0</v>
      </c>
      <c r="O274" t="n">
        <v>0</v>
      </c>
      <c r="P274" t="n">
        <v>0</v>
      </c>
      <c r="Q274" t="n">
        <v>0</v>
      </c>
      <c r="R274" s="2" t="inlineStr"/>
    </row>
    <row r="275" ht="15" customHeight="1">
      <c r="A275" t="inlineStr">
        <is>
          <t>A 31871-2022</t>
        </is>
      </c>
      <c r="B275" s="1" t="n">
        <v>44777</v>
      </c>
      <c r="C275" s="1" t="n">
        <v>45508</v>
      </c>
      <c r="D275" t="inlineStr">
        <is>
          <t>DALARNAS LÄN</t>
        </is>
      </c>
      <c r="E275" t="inlineStr">
        <is>
          <t>LEKSAND</t>
        </is>
      </c>
      <c r="G275" t="n">
        <v>4.1</v>
      </c>
      <c r="H275" t="n">
        <v>0</v>
      </c>
      <c r="I275" t="n">
        <v>0</v>
      </c>
      <c r="J275" t="n">
        <v>0</v>
      </c>
      <c r="K275" t="n">
        <v>0</v>
      </c>
      <c r="L275" t="n">
        <v>0</v>
      </c>
      <c r="M275" t="n">
        <v>0</v>
      </c>
      <c r="N275" t="n">
        <v>0</v>
      </c>
      <c r="O275" t="n">
        <v>0</v>
      </c>
      <c r="P275" t="n">
        <v>0</v>
      </c>
      <c r="Q275" t="n">
        <v>0</v>
      </c>
      <c r="R275" s="2" t="inlineStr"/>
    </row>
    <row r="276" ht="15" customHeight="1">
      <c r="A276" t="inlineStr">
        <is>
          <t>A 32225-2022</t>
        </is>
      </c>
      <c r="B276" s="1" t="n">
        <v>44781</v>
      </c>
      <c r="C276" s="1" t="n">
        <v>45508</v>
      </c>
      <c r="D276" t="inlineStr">
        <is>
          <t>DALARNAS LÄN</t>
        </is>
      </c>
      <c r="E276" t="inlineStr">
        <is>
          <t>LEKSAND</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32476-2022</t>
        </is>
      </c>
      <c r="B277" s="1" t="n">
        <v>44782</v>
      </c>
      <c r="C277" s="1" t="n">
        <v>45508</v>
      </c>
      <c r="D277" t="inlineStr">
        <is>
          <t>DALARNAS LÄN</t>
        </is>
      </c>
      <c r="E277" t="inlineStr">
        <is>
          <t>LEKSAND</t>
        </is>
      </c>
      <c r="G277" t="n">
        <v>5.6</v>
      </c>
      <c r="H277" t="n">
        <v>0</v>
      </c>
      <c r="I277" t="n">
        <v>0</v>
      </c>
      <c r="J277" t="n">
        <v>0</v>
      </c>
      <c r="K277" t="n">
        <v>0</v>
      </c>
      <c r="L277" t="n">
        <v>0</v>
      </c>
      <c r="M277" t="n">
        <v>0</v>
      </c>
      <c r="N277" t="n">
        <v>0</v>
      </c>
      <c r="O277" t="n">
        <v>0</v>
      </c>
      <c r="P277" t="n">
        <v>0</v>
      </c>
      <c r="Q277" t="n">
        <v>0</v>
      </c>
      <c r="R277" s="2" t="inlineStr"/>
    </row>
    <row r="278" ht="15" customHeight="1">
      <c r="A278" t="inlineStr">
        <is>
          <t>A 32791-2022</t>
        </is>
      </c>
      <c r="B278" s="1" t="n">
        <v>44784</v>
      </c>
      <c r="C278" s="1" t="n">
        <v>45508</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33198-2022</t>
        </is>
      </c>
      <c r="B279" s="1" t="n">
        <v>44785</v>
      </c>
      <c r="C279" s="1" t="n">
        <v>45508</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34317-2022</t>
        </is>
      </c>
      <c r="B280" s="1" t="n">
        <v>44792</v>
      </c>
      <c r="C280" s="1" t="n">
        <v>45508</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34482-2022</t>
        </is>
      </c>
      <c r="B281" s="1" t="n">
        <v>44792</v>
      </c>
      <c r="C281" s="1" t="n">
        <v>45508</v>
      </c>
      <c r="D281" t="inlineStr">
        <is>
          <t>DALARNAS LÄN</t>
        </is>
      </c>
      <c r="E281" t="inlineStr">
        <is>
          <t>LEKSAND</t>
        </is>
      </c>
      <c r="G281" t="n">
        <v>2.6</v>
      </c>
      <c r="H281" t="n">
        <v>0</v>
      </c>
      <c r="I281" t="n">
        <v>0</v>
      </c>
      <c r="J281" t="n">
        <v>0</v>
      </c>
      <c r="K281" t="n">
        <v>0</v>
      </c>
      <c r="L281" t="n">
        <v>0</v>
      </c>
      <c r="M281" t="n">
        <v>0</v>
      </c>
      <c r="N281" t="n">
        <v>0</v>
      </c>
      <c r="O281" t="n">
        <v>0</v>
      </c>
      <c r="P281" t="n">
        <v>0</v>
      </c>
      <c r="Q281" t="n">
        <v>0</v>
      </c>
      <c r="R281" s="2" t="inlineStr"/>
    </row>
    <row r="282" ht="15" customHeight="1">
      <c r="A282" t="inlineStr">
        <is>
          <t>A 35080-2022</t>
        </is>
      </c>
      <c r="B282" s="1" t="n">
        <v>44797</v>
      </c>
      <c r="C282" s="1" t="n">
        <v>45508</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35087-2022</t>
        </is>
      </c>
      <c r="B283" s="1" t="n">
        <v>44797</v>
      </c>
      <c r="C283" s="1" t="n">
        <v>45508</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35801-2022</t>
        </is>
      </c>
      <c r="B284" s="1" t="n">
        <v>44802</v>
      </c>
      <c r="C284" s="1" t="n">
        <v>45508</v>
      </c>
      <c r="D284" t="inlineStr">
        <is>
          <t>DALARNAS LÄN</t>
        </is>
      </c>
      <c r="E284" t="inlineStr">
        <is>
          <t>LEKSAND</t>
        </is>
      </c>
      <c r="F284" t="inlineStr">
        <is>
          <t>Bergvik skog väst AB</t>
        </is>
      </c>
      <c r="G284" t="n">
        <v>6.4</v>
      </c>
      <c r="H284" t="n">
        <v>0</v>
      </c>
      <c r="I284" t="n">
        <v>0</v>
      </c>
      <c r="J284" t="n">
        <v>0</v>
      </c>
      <c r="K284" t="n">
        <v>0</v>
      </c>
      <c r="L284" t="n">
        <v>0</v>
      </c>
      <c r="M284" t="n">
        <v>0</v>
      </c>
      <c r="N284" t="n">
        <v>0</v>
      </c>
      <c r="O284" t="n">
        <v>0</v>
      </c>
      <c r="P284" t="n">
        <v>0</v>
      </c>
      <c r="Q284" t="n">
        <v>0</v>
      </c>
      <c r="R284" s="2" t="inlineStr"/>
    </row>
    <row r="285" ht="15" customHeight="1">
      <c r="A285" t="inlineStr">
        <is>
          <t>A 35952-2022</t>
        </is>
      </c>
      <c r="B285" s="1" t="n">
        <v>44802</v>
      </c>
      <c r="C285" s="1" t="n">
        <v>45508</v>
      </c>
      <c r="D285" t="inlineStr">
        <is>
          <t>DALARNAS LÄN</t>
        </is>
      </c>
      <c r="E285" t="inlineStr">
        <is>
          <t>LEKSAND</t>
        </is>
      </c>
      <c r="G285" t="n">
        <v>4.6</v>
      </c>
      <c r="H285" t="n">
        <v>0</v>
      </c>
      <c r="I285" t="n">
        <v>0</v>
      </c>
      <c r="J285" t="n">
        <v>0</v>
      </c>
      <c r="K285" t="n">
        <v>0</v>
      </c>
      <c r="L285" t="n">
        <v>0</v>
      </c>
      <c r="M285" t="n">
        <v>0</v>
      </c>
      <c r="N285" t="n">
        <v>0</v>
      </c>
      <c r="O285" t="n">
        <v>0</v>
      </c>
      <c r="P285" t="n">
        <v>0</v>
      </c>
      <c r="Q285" t="n">
        <v>0</v>
      </c>
      <c r="R285" s="2" t="inlineStr"/>
    </row>
    <row r="286" ht="15" customHeight="1">
      <c r="A286" t="inlineStr">
        <is>
          <t>A 37300-2022</t>
        </is>
      </c>
      <c r="B286" s="1" t="n">
        <v>44808</v>
      </c>
      <c r="C286" s="1" t="n">
        <v>45508</v>
      </c>
      <c r="D286" t="inlineStr">
        <is>
          <t>DALARNAS LÄN</t>
        </is>
      </c>
      <c r="E286" t="inlineStr">
        <is>
          <t>LEKSAND</t>
        </is>
      </c>
      <c r="G286" t="n">
        <v>6.3</v>
      </c>
      <c r="H286" t="n">
        <v>0</v>
      </c>
      <c r="I286" t="n">
        <v>0</v>
      </c>
      <c r="J286" t="n">
        <v>0</v>
      </c>
      <c r="K286" t="n">
        <v>0</v>
      </c>
      <c r="L286" t="n">
        <v>0</v>
      </c>
      <c r="M286" t="n">
        <v>0</v>
      </c>
      <c r="N286" t="n">
        <v>0</v>
      </c>
      <c r="O286" t="n">
        <v>0</v>
      </c>
      <c r="P286" t="n">
        <v>0</v>
      </c>
      <c r="Q286" t="n">
        <v>0</v>
      </c>
      <c r="R286" s="2" t="inlineStr"/>
    </row>
    <row r="287" ht="15" customHeight="1">
      <c r="A287" t="inlineStr">
        <is>
          <t>A 37928-2022</t>
        </is>
      </c>
      <c r="B287" s="1" t="n">
        <v>44811</v>
      </c>
      <c r="C287" s="1" t="n">
        <v>45508</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38236-2022</t>
        </is>
      </c>
      <c r="B288" s="1" t="n">
        <v>44812</v>
      </c>
      <c r="C288" s="1" t="n">
        <v>45508</v>
      </c>
      <c r="D288" t="inlineStr">
        <is>
          <t>DALARNAS LÄN</t>
        </is>
      </c>
      <c r="E288" t="inlineStr">
        <is>
          <t>LEKSAND</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38258-2022</t>
        </is>
      </c>
      <c r="B289" s="1" t="n">
        <v>44812</v>
      </c>
      <c r="C289" s="1" t="n">
        <v>45508</v>
      </c>
      <c r="D289" t="inlineStr">
        <is>
          <t>DALARNAS LÄN</t>
        </is>
      </c>
      <c r="E289" t="inlineStr">
        <is>
          <t>LEKSAND</t>
        </is>
      </c>
      <c r="G289" t="n">
        <v>3.9</v>
      </c>
      <c r="H289" t="n">
        <v>0</v>
      </c>
      <c r="I289" t="n">
        <v>0</v>
      </c>
      <c r="J289" t="n">
        <v>0</v>
      </c>
      <c r="K289" t="n">
        <v>0</v>
      </c>
      <c r="L289" t="n">
        <v>0</v>
      </c>
      <c r="M289" t="n">
        <v>0</v>
      </c>
      <c r="N289" t="n">
        <v>0</v>
      </c>
      <c r="O289" t="n">
        <v>0</v>
      </c>
      <c r="P289" t="n">
        <v>0</v>
      </c>
      <c r="Q289" t="n">
        <v>0</v>
      </c>
      <c r="R289" s="2" t="inlineStr"/>
    </row>
    <row r="290" ht="15" customHeight="1">
      <c r="A290" t="inlineStr">
        <is>
          <t>A 38764-2022</t>
        </is>
      </c>
      <c r="B290" s="1" t="n">
        <v>44816</v>
      </c>
      <c r="C290" s="1" t="n">
        <v>45508</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39658-2022</t>
        </is>
      </c>
      <c r="B291" s="1" t="n">
        <v>44818</v>
      </c>
      <c r="C291" s="1" t="n">
        <v>45508</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40165-2022</t>
        </is>
      </c>
      <c r="B292" s="1" t="n">
        <v>44820</v>
      </c>
      <c r="C292" s="1" t="n">
        <v>45508</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41351-2022</t>
        </is>
      </c>
      <c r="B293" s="1" t="n">
        <v>44824</v>
      </c>
      <c r="C293" s="1" t="n">
        <v>45508</v>
      </c>
      <c r="D293" t="inlineStr">
        <is>
          <t>DALARNAS LÄN</t>
        </is>
      </c>
      <c r="E293" t="inlineStr">
        <is>
          <t>LEKSAND</t>
        </is>
      </c>
      <c r="G293" t="n">
        <v>2.7</v>
      </c>
      <c r="H293" t="n">
        <v>0</v>
      </c>
      <c r="I293" t="n">
        <v>0</v>
      </c>
      <c r="J293" t="n">
        <v>0</v>
      </c>
      <c r="K293" t="n">
        <v>0</v>
      </c>
      <c r="L293" t="n">
        <v>0</v>
      </c>
      <c r="M293" t="n">
        <v>0</v>
      </c>
      <c r="N293" t="n">
        <v>0</v>
      </c>
      <c r="O293" t="n">
        <v>0</v>
      </c>
      <c r="P293" t="n">
        <v>0</v>
      </c>
      <c r="Q293" t="n">
        <v>0</v>
      </c>
      <c r="R293" s="2" t="inlineStr"/>
    </row>
    <row r="294" ht="15" customHeight="1">
      <c r="A294" t="inlineStr">
        <is>
          <t>A 43275-2022</t>
        </is>
      </c>
      <c r="B294" s="1" t="n">
        <v>44824</v>
      </c>
      <c r="C294" s="1" t="n">
        <v>45508</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41869-2022</t>
        </is>
      </c>
      <c r="B295" s="1" t="n">
        <v>44829</v>
      </c>
      <c r="C295" s="1" t="n">
        <v>45508</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43300-2022</t>
        </is>
      </c>
      <c r="B296" s="1" t="n">
        <v>44834</v>
      </c>
      <c r="C296" s="1" t="n">
        <v>45508</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43304-2022</t>
        </is>
      </c>
      <c r="B297" s="1" t="n">
        <v>44834</v>
      </c>
      <c r="C297" s="1" t="n">
        <v>45508</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43604-2022</t>
        </is>
      </c>
      <c r="B298" s="1" t="n">
        <v>44837</v>
      </c>
      <c r="C298" s="1" t="n">
        <v>45508</v>
      </c>
      <c r="D298" t="inlineStr">
        <is>
          <t>DALARNAS LÄN</t>
        </is>
      </c>
      <c r="E298" t="inlineStr">
        <is>
          <t>LEKSAND</t>
        </is>
      </c>
      <c r="F298" t="inlineStr">
        <is>
          <t>Bergvik skog väst AB</t>
        </is>
      </c>
      <c r="G298" t="n">
        <v>8</v>
      </c>
      <c r="H298" t="n">
        <v>0</v>
      </c>
      <c r="I298" t="n">
        <v>0</v>
      </c>
      <c r="J298" t="n">
        <v>0</v>
      </c>
      <c r="K298" t="n">
        <v>0</v>
      </c>
      <c r="L298" t="n">
        <v>0</v>
      </c>
      <c r="M298" t="n">
        <v>0</v>
      </c>
      <c r="N298" t="n">
        <v>0</v>
      </c>
      <c r="O298" t="n">
        <v>0</v>
      </c>
      <c r="P298" t="n">
        <v>0</v>
      </c>
      <c r="Q298" t="n">
        <v>0</v>
      </c>
      <c r="R298" s="2" t="inlineStr"/>
    </row>
    <row r="299" ht="15" customHeight="1">
      <c r="A299" t="inlineStr">
        <is>
          <t>A 43693-2022</t>
        </is>
      </c>
      <c r="B299" s="1" t="n">
        <v>44837</v>
      </c>
      <c r="C299" s="1" t="n">
        <v>45508</v>
      </c>
      <c r="D299" t="inlineStr">
        <is>
          <t>DALARNAS LÄN</t>
        </is>
      </c>
      <c r="E299" t="inlineStr">
        <is>
          <t>LEKSAND</t>
        </is>
      </c>
      <c r="G299" t="n">
        <v>2.7</v>
      </c>
      <c r="H299" t="n">
        <v>0</v>
      </c>
      <c r="I299" t="n">
        <v>0</v>
      </c>
      <c r="J299" t="n">
        <v>0</v>
      </c>
      <c r="K299" t="n">
        <v>0</v>
      </c>
      <c r="L299" t="n">
        <v>0</v>
      </c>
      <c r="M299" t="n">
        <v>0</v>
      </c>
      <c r="N299" t="n">
        <v>0</v>
      </c>
      <c r="O299" t="n">
        <v>0</v>
      </c>
      <c r="P299" t="n">
        <v>0</v>
      </c>
      <c r="Q299" t="n">
        <v>0</v>
      </c>
      <c r="R299" s="2" t="inlineStr"/>
    </row>
    <row r="300" ht="15" customHeight="1">
      <c r="A300" t="inlineStr">
        <is>
          <t>A 43735-2022</t>
        </is>
      </c>
      <c r="B300" s="1" t="n">
        <v>44837</v>
      </c>
      <c r="C300" s="1" t="n">
        <v>45508</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44124-2022</t>
        </is>
      </c>
      <c r="B301" s="1" t="n">
        <v>44839</v>
      </c>
      <c r="C301" s="1" t="n">
        <v>45508</v>
      </c>
      <c r="D301" t="inlineStr">
        <is>
          <t>DALARNAS LÄN</t>
        </is>
      </c>
      <c r="E301" t="inlineStr">
        <is>
          <t>LEKSAND</t>
        </is>
      </c>
      <c r="G301" t="n">
        <v>8</v>
      </c>
      <c r="H301" t="n">
        <v>0</v>
      </c>
      <c r="I301" t="n">
        <v>0</v>
      </c>
      <c r="J301" t="n">
        <v>0</v>
      </c>
      <c r="K301" t="n">
        <v>0</v>
      </c>
      <c r="L301" t="n">
        <v>0</v>
      </c>
      <c r="M301" t="n">
        <v>0</v>
      </c>
      <c r="N301" t="n">
        <v>0</v>
      </c>
      <c r="O301" t="n">
        <v>0</v>
      </c>
      <c r="P301" t="n">
        <v>0</v>
      </c>
      <c r="Q301" t="n">
        <v>0</v>
      </c>
      <c r="R301" s="2" t="inlineStr"/>
    </row>
    <row r="302" ht="15" customHeight="1">
      <c r="A302" t="inlineStr">
        <is>
          <t>A 44700-2022</t>
        </is>
      </c>
      <c r="B302" s="1" t="n">
        <v>44840</v>
      </c>
      <c r="C302" s="1" t="n">
        <v>45508</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45943-2022</t>
        </is>
      </c>
      <c r="B303" s="1" t="n">
        <v>44846</v>
      </c>
      <c r="C303" s="1" t="n">
        <v>45508</v>
      </c>
      <c r="D303" t="inlineStr">
        <is>
          <t>DALARNAS LÄN</t>
        </is>
      </c>
      <c r="E303" t="inlineStr">
        <is>
          <t>LEKSAND</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46141-2022</t>
        </is>
      </c>
      <c r="B304" s="1" t="n">
        <v>44846</v>
      </c>
      <c r="C304" s="1" t="n">
        <v>45508</v>
      </c>
      <c r="D304" t="inlineStr">
        <is>
          <t>DALARNAS LÄN</t>
        </is>
      </c>
      <c r="E304" t="inlineStr">
        <is>
          <t>LEKSAND</t>
        </is>
      </c>
      <c r="G304" t="n">
        <v>2.8</v>
      </c>
      <c r="H304" t="n">
        <v>0</v>
      </c>
      <c r="I304" t="n">
        <v>0</v>
      </c>
      <c r="J304" t="n">
        <v>0</v>
      </c>
      <c r="K304" t="n">
        <v>0</v>
      </c>
      <c r="L304" t="n">
        <v>0</v>
      </c>
      <c r="M304" t="n">
        <v>0</v>
      </c>
      <c r="N304" t="n">
        <v>0</v>
      </c>
      <c r="O304" t="n">
        <v>0</v>
      </c>
      <c r="P304" t="n">
        <v>0</v>
      </c>
      <c r="Q304" t="n">
        <v>0</v>
      </c>
      <c r="R304" s="2" t="inlineStr"/>
    </row>
    <row r="305" ht="15" customHeight="1">
      <c r="A305" t="inlineStr">
        <is>
          <t>A 46672-2022</t>
        </is>
      </c>
      <c r="B305" s="1" t="n">
        <v>44851</v>
      </c>
      <c r="C305" s="1" t="n">
        <v>45508</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46916-2022</t>
        </is>
      </c>
      <c r="B306" s="1" t="n">
        <v>44851</v>
      </c>
      <c r="C306" s="1" t="n">
        <v>45508</v>
      </c>
      <c r="D306" t="inlineStr">
        <is>
          <t>DALARNAS LÄN</t>
        </is>
      </c>
      <c r="E306" t="inlineStr">
        <is>
          <t>LEKSAND</t>
        </is>
      </c>
      <c r="F306" t="inlineStr">
        <is>
          <t>Bergvik skog väst AB</t>
        </is>
      </c>
      <c r="G306" t="n">
        <v>9.5</v>
      </c>
      <c r="H306" t="n">
        <v>0</v>
      </c>
      <c r="I306" t="n">
        <v>0</v>
      </c>
      <c r="J306" t="n">
        <v>0</v>
      </c>
      <c r="K306" t="n">
        <v>0</v>
      </c>
      <c r="L306" t="n">
        <v>0</v>
      </c>
      <c r="M306" t="n">
        <v>0</v>
      </c>
      <c r="N306" t="n">
        <v>0</v>
      </c>
      <c r="O306" t="n">
        <v>0</v>
      </c>
      <c r="P306" t="n">
        <v>0</v>
      </c>
      <c r="Q306" t="n">
        <v>0</v>
      </c>
      <c r="R306" s="2" t="inlineStr"/>
    </row>
    <row r="307" ht="15" customHeight="1">
      <c r="A307" t="inlineStr">
        <is>
          <t>A 47441-2022</t>
        </is>
      </c>
      <c r="B307" s="1" t="n">
        <v>44853</v>
      </c>
      <c r="C307" s="1" t="n">
        <v>45508</v>
      </c>
      <c r="D307" t="inlineStr">
        <is>
          <t>DALARNAS LÄN</t>
        </is>
      </c>
      <c r="E307" t="inlineStr">
        <is>
          <t>LEKSAND</t>
        </is>
      </c>
      <c r="G307" t="n">
        <v>1.7</v>
      </c>
      <c r="H307" t="n">
        <v>0</v>
      </c>
      <c r="I307" t="n">
        <v>0</v>
      </c>
      <c r="J307" t="n">
        <v>0</v>
      </c>
      <c r="K307" t="n">
        <v>0</v>
      </c>
      <c r="L307" t="n">
        <v>0</v>
      </c>
      <c r="M307" t="n">
        <v>0</v>
      </c>
      <c r="N307" t="n">
        <v>0</v>
      </c>
      <c r="O307" t="n">
        <v>0</v>
      </c>
      <c r="P307" t="n">
        <v>0</v>
      </c>
      <c r="Q307" t="n">
        <v>0</v>
      </c>
      <c r="R307" s="2" t="inlineStr"/>
    </row>
    <row r="308" ht="15" customHeight="1">
      <c r="A308" t="inlineStr">
        <is>
          <t>A 49342-2022</t>
        </is>
      </c>
      <c r="B308" s="1" t="n">
        <v>44861</v>
      </c>
      <c r="C308" s="1" t="n">
        <v>45508</v>
      </c>
      <c r="D308" t="inlineStr">
        <is>
          <t>DALARNAS LÄN</t>
        </is>
      </c>
      <c r="E308" t="inlineStr">
        <is>
          <t>LEKSAND</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49345-2022</t>
        </is>
      </c>
      <c r="B309" s="1" t="n">
        <v>44861</v>
      </c>
      <c r="C309" s="1" t="n">
        <v>45508</v>
      </c>
      <c r="D309" t="inlineStr">
        <is>
          <t>DALARNAS LÄN</t>
        </is>
      </c>
      <c r="E309" t="inlineStr">
        <is>
          <t>LEKSAND</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49581-2022</t>
        </is>
      </c>
      <c r="B310" s="1" t="n">
        <v>44862</v>
      </c>
      <c r="C310" s="1" t="n">
        <v>45508</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50219-2022</t>
        </is>
      </c>
      <c r="B311" s="1" t="n">
        <v>44865</v>
      </c>
      <c r="C311" s="1" t="n">
        <v>45508</v>
      </c>
      <c r="D311" t="inlineStr">
        <is>
          <t>DALARNAS LÄN</t>
        </is>
      </c>
      <c r="E311" t="inlineStr">
        <is>
          <t>LEKSAND</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50353-2022</t>
        </is>
      </c>
      <c r="B312" s="1" t="n">
        <v>44866</v>
      </c>
      <c r="C312" s="1" t="n">
        <v>45508</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50352-2022</t>
        </is>
      </c>
      <c r="B313" s="1" t="n">
        <v>44866</v>
      </c>
      <c r="C313" s="1" t="n">
        <v>45508</v>
      </c>
      <c r="D313" t="inlineStr">
        <is>
          <t>DALARNAS LÄN</t>
        </is>
      </c>
      <c r="E313" t="inlineStr">
        <is>
          <t>LEKSAND</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50354-2022</t>
        </is>
      </c>
      <c r="B314" s="1" t="n">
        <v>44866</v>
      </c>
      <c r="C314" s="1" t="n">
        <v>45508</v>
      </c>
      <c r="D314" t="inlineStr">
        <is>
          <t>DALARNAS LÄN</t>
        </is>
      </c>
      <c r="E314" t="inlineStr">
        <is>
          <t>LEKSAND</t>
        </is>
      </c>
      <c r="F314" t="inlineStr">
        <is>
          <t>Bergvik skog väst AB</t>
        </is>
      </c>
      <c r="G314" t="n">
        <v>7.4</v>
      </c>
      <c r="H314" t="n">
        <v>0</v>
      </c>
      <c r="I314" t="n">
        <v>0</v>
      </c>
      <c r="J314" t="n">
        <v>0</v>
      </c>
      <c r="K314" t="n">
        <v>0</v>
      </c>
      <c r="L314" t="n">
        <v>0</v>
      </c>
      <c r="M314" t="n">
        <v>0</v>
      </c>
      <c r="N314" t="n">
        <v>0</v>
      </c>
      <c r="O314" t="n">
        <v>0</v>
      </c>
      <c r="P314" t="n">
        <v>0</v>
      </c>
      <c r="Q314" t="n">
        <v>0</v>
      </c>
      <c r="R314" s="2" t="inlineStr"/>
    </row>
    <row r="315" ht="15" customHeight="1">
      <c r="A315" t="inlineStr">
        <is>
          <t>A 51857-2022</t>
        </is>
      </c>
      <c r="B315" s="1" t="n">
        <v>44867</v>
      </c>
      <c r="C315" s="1" t="n">
        <v>45508</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51449-2022</t>
        </is>
      </c>
      <c r="B316" s="1" t="n">
        <v>44869</v>
      </c>
      <c r="C316" s="1" t="n">
        <v>45508</v>
      </c>
      <c r="D316" t="inlineStr">
        <is>
          <t>DALARNAS LÄN</t>
        </is>
      </c>
      <c r="E316" t="inlineStr">
        <is>
          <t>LEKSAND</t>
        </is>
      </c>
      <c r="F316" t="inlineStr">
        <is>
          <t>Bergvik skog väst AB</t>
        </is>
      </c>
      <c r="G316" t="n">
        <v>5</v>
      </c>
      <c r="H316" t="n">
        <v>0</v>
      </c>
      <c r="I316" t="n">
        <v>0</v>
      </c>
      <c r="J316" t="n">
        <v>0</v>
      </c>
      <c r="K316" t="n">
        <v>0</v>
      </c>
      <c r="L316" t="n">
        <v>0</v>
      </c>
      <c r="M316" t="n">
        <v>0</v>
      </c>
      <c r="N316" t="n">
        <v>0</v>
      </c>
      <c r="O316" t="n">
        <v>0</v>
      </c>
      <c r="P316" t="n">
        <v>0</v>
      </c>
      <c r="Q316" t="n">
        <v>0</v>
      </c>
      <c r="R316" s="2" t="inlineStr"/>
    </row>
    <row r="317" ht="15" customHeight="1">
      <c r="A317" t="inlineStr">
        <is>
          <t>A 51480-2022</t>
        </is>
      </c>
      <c r="B317" s="1" t="n">
        <v>44869</v>
      </c>
      <c r="C317" s="1" t="n">
        <v>45508</v>
      </c>
      <c r="D317" t="inlineStr">
        <is>
          <t>DALARNAS LÄN</t>
        </is>
      </c>
      <c r="E317" t="inlineStr">
        <is>
          <t>LEKSAND</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51502-2022</t>
        </is>
      </c>
      <c r="B318" s="1" t="n">
        <v>44869</v>
      </c>
      <c r="C318" s="1" t="n">
        <v>45508</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51498-2022</t>
        </is>
      </c>
      <c r="B319" s="1" t="n">
        <v>44869</v>
      </c>
      <c r="C319" s="1" t="n">
        <v>45508</v>
      </c>
      <c r="D319" t="inlineStr">
        <is>
          <t>DALARNAS LÄN</t>
        </is>
      </c>
      <c r="E319" t="inlineStr">
        <is>
          <t>LEKSAND</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51842-2022</t>
        </is>
      </c>
      <c r="B320" s="1" t="n">
        <v>44872</v>
      </c>
      <c r="C320" s="1" t="n">
        <v>45508</v>
      </c>
      <c r="D320" t="inlineStr">
        <is>
          <t>DALARNAS LÄN</t>
        </is>
      </c>
      <c r="E320" t="inlineStr">
        <is>
          <t>LEKSAND</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52977-2022</t>
        </is>
      </c>
      <c r="B321" s="1" t="n">
        <v>44875</v>
      </c>
      <c r="C321" s="1" t="n">
        <v>45508</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53293-2022</t>
        </is>
      </c>
      <c r="B322" s="1" t="n">
        <v>44877</v>
      </c>
      <c r="C322" s="1" t="n">
        <v>45508</v>
      </c>
      <c r="D322" t="inlineStr">
        <is>
          <t>DALARNAS LÄN</t>
        </is>
      </c>
      <c r="E322" t="inlineStr">
        <is>
          <t>LEKSAND</t>
        </is>
      </c>
      <c r="G322" t="n">
        <v>0.4</v>
      </c>
      <c r="H322" t="n">
        <v>0</v>
      </c>
      <c r="I322" t="n">
        <v>0</v>
      </c>
      <c r="J322" t="n">
        <v>0</v>
      </c>
      <c r="K322" t="n">
        <v>0</v>
      </c>
      <c r="L322" t="n">
        <v>0</v>
      </c>
      <c r="M322" t="n">
        <v>0</v>
      </c>
      <c r="N322" t="n">
        <v>0</v>
      </c>
      <c r="O322" t="n">
        <v>0</v>
      </c>
      <c r="P322" t="n">
        <v>0</v>
      </c>
      <c r="Q322" t="n">
        <v>0</v>
      </c>
      <c r="R322" s="2" t="inlineStr"/>
    </row>
    <row r="323" ht="15" customHeight="1">
      <c r="A323" t="inlineStr">
        <is>
          <t>A 53787-2022</t>
        </is>
      </c>
      <c r="B323" s="1" t="n">
        <v>44880</v>
      </c>
      <c r="C323" s="1" t="n">
        <v>45508</v>
      </c>
      <c r="D323" t="inlineStr">
        <is>
          <t>DALARNAS LÄN</t>
        </is>
      </c>
      <c r="E323" t="inlineStr">
        <is>
          <t>LEKSAND</t>
        </is>
      </c>
      <c r="G323" t="n">
        <v>7.6</v>
      </c>
      <c r="H323" t="n">
        <v>0</v>
      </c>
      <c r="I323" t="n">
        <v>0</v>
      </c>
      <c r="J323" t="n">
        <v>0</v>
      </c>
      <c r="K323" t="n">
        <v>0</v>
      </c>
      <c r="L323" t="n">
        <v>0</v>
      </c>
      <c r="M323" t="n">
        <v>0</v>
      </c>
      <c r="N323" t="n">
        <v>0</v>
      </c>
      <c r="O323" t="n">
        <v>0</v>
      </c>
      <c r="P323" t="n">
        <v>0</v>
      </c>
      <c r="Q323" t="n">
        <v>0</v>
      </c>
      <c r="R323" s="2" t="inlineStr"/>
    </row>
    <row r="324" ht="15" customHeight="1">
      <c r="A324" t="inlineStr">
        <is>
          <t>A 54070-2022</t>
        </is>
      </c>
      <c r="B324" s="1" t="n">
        <v>44881</v>
      </c>
      <c r="C324" s="1" t="n">
        <v>45508</v>
      </c>
      <c r="D324" t="inlineStr">
        <is>
          <t>DALARNAS LÄN</t>
        </is>
      </c>
      <c r="E324" t="inlineStr">
        <is>
          <t>LEKSAND</t>
        </is>
      </c>
      <c r="G324" t="n">
        <v>4.7</v>
      </c>
      <c r="H324" t="n">
        <v>0</v>
      </c>
      <c r="I324" t="n">
        <v>0</v>
      </c>
      <c r="J324" t="n">
        <v>0</v>
      </c>
      <c r="K324" t="n">
        <v>0</v>
      </c>
      <c r="L324" t="n">
        <v>0</v>
      </c>
      <c r="M324" t="n">
        <v>0</v>
      </c>
      <c r="N324" t="n">
        <v>0</v>
      </c>
      <c r="O324" t="n">
        <v>0</v>
      </c>
      <c r="P324" t="n">
        <v>0</v>
      </c>
      <c r="Q324" t="n">
        <v>0</v>
      </c>
      <c r="R324" s="2" t="inlineStr"/>
    </row>
    <row r="325" ht="15" customHeight="1">
      <c r="A325" t="inlineStr">
        <is>
          <t>A 56330-2022</t>
        </is>
      </c>
      <c r="B325" s="1" t="n">
        <v>44890</v>
      </c>
      <c r="C325" s="1" t="n">
        <v>45508</v>
      </c>
      <c r="D325" t="inlineStr">
        <is>
          <t>DALARNAS LÄN</t>
        </is>
      </c>
      <c r="E325" t="inlineStr">
        <is>
          <t>LEKSAND</t>
        </is>
      </c>
      <c r="G325" t="n">
        <v>4.9</v>
      </c>
      <c r="H325" t="n">
        <v>0</v>
      </c>
      <c r="I325" t="n">
        <v>0</v>
      </c>
      <c r="J325" t="n">
        <v>0</v>
      </c>
      <c r="K325" t="n">
        <v>0</v>
      </c>
      <c r="L325" t="n">
        <v>0</v>
      </c>
      <c r="M325" t="n">
        <v>0</v>
      </c>
      <c r="N325" t="n">
        <v>0</v>
      </c>
      <c r="O325" t="n">
        <v>0</v>
      </c>
      <c r="P325" t="n">
        <v>0</v>
      </c>
      <c r="Q325" t="n">
        <v>0</v>
      </c>
      <c r="R325" s="2" t="inlineStr"/>
    </row>
    <row r="326" ht="15" customHeight="1">
      <c r="A326" t="inlineStr">
        <is>
          <t>A 56702-2022</t>
        </is>
      </c>
      <c r="B326" s="1" t="n">
        <v>44893</v>
      </c>
      <c r="C326" s="1" t="n">
        <v>45508</v>
      </c>
      <c r="D326" t="inlineStr">
        <is>
          <t>DALARNAS LÄN</t>
        </is>
      </c>
      <c r="E326" t="inlineStr">
        <is>
          <t>LEKSAND</t>
        </is>
      </c>
      <c r="G326" t="n">
        <v>3</v>
      </c>
      <c r="H326" t="n">
        <v>0</v>
      </c>
      <c r="I326" t="n">
        <v>0</v>
      </c>
      <c r="J326" t="n">
        <v>0</v>
      </c>
      <c r="K326" t="n">
        <v>0</v>
      </c>
      <c r="L326" t="n">
        <v>0</v>
      </c>
      <c r="M326" t="n">
        <v>0</v>
      </c>
      <c r="N326" t="n">
        <v>0</v>
      </c>
      <c r="O326" t="n">
        <v>0</v>
      </c>
      <c r="P326" t="n">
        <v>0</v>
      </c>
      <c r="Q326" t="n">
        <v>0</v>
      </c>
      <c r="R326" s="2" t="inlineStr"/>
    </row>
    <row r="327" ht="15" customHeight="1">
      <c r="A327" t="inlineStr">
        <is>
          <t>A 57415-2022</t>
        </is>
      </c>
      <c r="B327" s="1" t="n">
        <v>44896</v>
      </c>
      <c r="C327" s="1" t="n">
        <v>45508</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57438-2022</t>
        </is>
      </c>
      <c r="B328" s="1" t="n">
        <v>44896</v>
      </c>
      <c r="C328" s="1" t="n">
        <v>45508</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58619-2022</t>
        </is>
      </c>
      <c r="B329" s="1" t="n">
        <v>44902</v>
      </c>
      <c r="C329" s="1" t="n">
        <v>45508</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60300-2022</t>
        </is>
      </c>
      <c r="B330" s="1" t="n">
        <v>44903</v>
      </c>
      <c r="C330" s="1" t="n">
        <v>45508</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60095-2022</t>
        </is>
      </c>
      <c r="B331" s="1" t="n">
        <v>44909</v>
      </c>
      <c r="C331" s="1" t="n">
        <v>45508</v>
      </c>
      <c r="D331" t="inlineStr">
        <is>
          <t>DALARNAS LÄN</t>
        </is>
      </c>
      <c r="E331" t="inlineStr">
        <is>
          <t>LEKSAND</t>
        </is>
      </c>
      <c r="G331" t="n">
        <v>2.4</v>
      </c>
      <c r="H331" t="n">
        <v>0</v>
      </c>
      <c r="I331" t="n">
        <v>0</v>
      </c>
      <c r="J331" t="n">
        <v>0</v>
      </c>
      <c r="K331" t="n">
        <v>0</v>
      </c>
      <c r="L331" t="n">
        <v>0</v>
      </c>
      <c r="M331" t="n">
        <v>0</v>
      </c>
      <c r="N331" t="n">
        <v>0</v>
      </c>
      <c r="O331" t="n">
        <v>0</v>
      </c>
      <c r="P331" t="n">
        <v>0</v>
      </c>
      <c r="Q331" t="n">
        <v>0</v>
      </c>
      <c r="R331" s="2" t="inlineStr"/>
    </row>
    <row r="332" ht="15" customHeight="1">
      <c r="A332" t="inlineStr">
        <is>
          <t>A 60113-2022</t>
        </is>
      </c>
      <c r="B332" s="1" t="n">
        <v>44909</v>
      </c>
      <c r="C332" s="1" t="n">
        <v>45508</v>
      </c>
      <c r="D332" t="inlineStr">
        <is>
          <t>DALARNAS LÄN</t>
        </is>
      </c>
      <c r="E332" t="inlineStr">
        <is>
          <t>LEKSAND</t>
        </is>
      </c>
      <c r="G332" t="n">
        <v>3.7</v>
      </c>
      <c r="H332" t="n">
        <v>0</v>
      </c>
      <c r="I332" t="n">
        <v>0</v>
      </c>
      <c r="J332" t="n">
        <v>0</v>
      </c>
      <c r="K332" t="n">
        <v>0</v>
      </c>
      <c r="L332" t="n">
        <v>0</v>
      </c>
      <c r="M332" t="n">
        <v>0</v>
      </c>
      <c r="N332" t="n">
        <v>0</v>
      </c>
      <c r="O332" t="n">
        <v>0</v>
      </c>
      <c r="P332" t="n">
        <v>0</v>
      </c>
      <c r="Q332" t="n">
        <v>0</v>
      </c>
      <c r="R332" s="2" t="inlineStr"/>
    </row>
    <row r="333" ht="15" customHeight="1">
      <c r="A333" t="inlineStr">
        <is>
          <t>A 61269-2022</t>
        </is>
      </c>
      <c r="B333" s="1" t="n">
        <v>44909</v>
      </c>
      <c r="C333" s="1" t="n">
        <v>45508</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60550-2022</t>
        </is>
      </c>
      <c r="B334" s="1" t="n">
        <v>44911</v>
      </c>
      <c r="C334" s="1" t="n">
        <v>45508</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60715-2022</t>
        </is>
      </c>
      <c r="B335" s="1" t="n">
        <v>44912</v>
      </c>
      <c r="C335" s="1" t="n">
        <v>45508</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60913-2022</t>
        </is>
      </c>
      <c r="B336" s="1" t="n">
        <v>44914</v>
      </c>
      <c r="C336" s="1" t="n">
        <v>45508</v>
      </c>
      <c r="D336" t="inlineStr">
        <is>
          <t>DALARNAS LÄN</t>
        </is>
      </c>
      <c r="E336" t="inlineStr">
        <is>
          <t>LEKSAND</t>
        </is>
      </c>
      <c r="G336" t="n">
        <v>4.2</v>
      </c>
      <c r="H336" t="n">
        <v>0</v>
      </c>
      <c r="I336" t="n">
        <v>0</v>
      </c>
      <c r="J336" t="n">
        <v>0</v>
      </c>
      <c r="K336" t="n">
        <v>0</v>
      </c>
      <c r="L336" t="n">
        <v>0</v>
      </c>
      <c r="M336" t="n">
        <v>0</v>
      </c>
      <c r="N336" t="n">
        <v>0</v>
      </c>
      <c r="O336" t="n">
        <v>0</v>
      </c>
      <c r="P336" t="n">
        <v>0</v>
      </c>
      <c r="Q336" t="n">
        <v>0</v>
      </c>
      <c r="R336" s="2" t="inlineStr"/>
    </row>
    <row r="337" ht="15" customHeight="1">
      <c r="A337" t="inlineStr">
        <is>
          <t>A 61288-2022</t>
        </is>
      </c>
      <c r="B337" s="1" t="n">
        <v>44915</v>
      </c>
      <c r="C337" s="1" t="n">
        <v>45508</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61786-2022</t>
        </is>
      </c>
      <c r="B338" s="1" t="n">
        <v>44917</v>
      </c>
      <c r="C338" s="1" t="n">
        <v>45508</v>
      </c>
      <c r="D338" t="inlineStr">
        <is>
          <t>DALARNAS LÄN</t>
        </is>
      </c>
      <c r="E338" t="inlineStr">
        <is>
          <t>LEKSAND</t>
        </is>
      </c>
      <c r="G338" t="n">
        <v>4.3</v>
      </c>
      <c r="H338" t="n">
        <v>0</v>
      </c>
      <c r="I338" t="n">
        <v>0</v>
      </c>
      <c r="J338" t="n">
        <v>0</v>
      </c>
      <c r="K338" t="n">
        <v>0</v>
      </c>
      <c r="L338" t="n">
        <v>0</v>
      </c>
      <c r="M338" t="n">
        <v>0</v>
      </c>
      <c r="N338" t="n">
        <v>0</v>
      </c>
      <c r="O338" t="n">
        <v>0</v>
      </c>
      <c r="P338" t="n">
        <v>0</v>
      </c>
      <c r="Q338" t="n">
        <v>0</v>
      </c>
      <c r="R338" s="2" t="inlineStr"/>
    </row>
    <row r="339" ht="15" customHeight="1">
      <c r="A339" t="inlineStr">
        <is>
          <t>A 61787-2022</t>
        </is>
      </c>
      <c r="B339" s="1" t="n">
        <v>44917</v>
      </c>
      <c r="C339" s="1" t="n">
        <v>45508</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45508</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151-2023</t>
        </is>
      </c>
      <c r="B341" s="1" t="n">
        <v>44918</v>
      </c>
      <c r="C341" s="1" t="n">
        <v>45508</v>
      </c>
      <c r="D341" t="inlineStr">
        <is>
          <t>DALARNAS LÄN</t>
        </is>
      </c>
      <c r="E341" t="inlineStr">
        <is>
          <t>LEKSAND</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167-2023</t>
        </is>
      </c>
      <c r="B342" s="1" t="n">
        <v>44918</v>
      </c>
      <c r="C342" s="1" t="n">
        <v>45508</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325-2023</t>
        </is>
      </c>
      <c r="B343" s="1" t="n">
        <v>44929</v>
      </c>
      <c r="C343" s="1" t="n">
        <v>45508</v>
      </c>
      <c r="D343" t="inlineStr">
        <is>
          <t>DALARNAS LÄN</t>
        </is>
      </c>
      <c r="E343" t="inlineStr">
        <is>
          <t>LEKSAND</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315-2023</t>
        </is>
      </c>
      <c r="B344" s="1" t="n">
        <v>44929</v>
      </c>
      <c r="C344" s="1" t="n">
        <v>45508</v>
      </c>
      <c r="D344" t="inlineStr">
        <is>
          <t>DALARNAS LÄN</t>
        </is>
      </c>
      <c r="E344" t="inlineStr">
        <is>
          <t>LEKSAND</t>
        </is>
      </c>
      <c r="F344" t="inlineStr">
        <is>
          <t>Övriga Aktiebolag</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320-2023</t>
        </is>
      </c>
      <c r="B345" s="1" t="n">
        <v>44929</v>
      </c>
      <c r="C345" s="1" t="n">
        <v>45508</v>
      </c>
      <c r="D345" t="inlineStr">
        <is>
          <t>DALARNAS LÄN</t>
        </is>
      </c>
      <c r="E345" t="inlineStr">
        <is>
          <t>LEKSAND</t>
        </is>
      </c>
      <c r="F345" t="inlineStr">
        <is>
          <t>Övriga Aktiebolag</t>
        </is>
      </c>
      <c r="G345" t="n">
        <v>5.4</v>
      </c>
      <c r="H345" t="n">
        <v>0</v>
      </c>
      <c r="I345" t="n">
        <v>0</v>
      </c>
      <c r="J345" t="n">
        <v>0</v>
      </c>
      <c r="K345" t="n">
        <v>0</v>
      </c>
      <c r="L345" t="n">
        <v>0</v>
      </c>
      <c r="M345" t="n">
        <v>0</v>
      </c>
      <c r="N345" t="n">
        <v>0</v>
      </c>
      <c r="O345" t="n">
        <v>0</v>
      </c>
      <c r="P345" t="n">
        <v>0</v>
      </c>
      <c r="Q345" t="n">
        <v>0</v>
      </c>
      <c r="R345" s="2" t="inlineStr"/>
    </row>
    <row r="346" ht="15" customHeight="1">
      <c r="A346" t="inlineStr">
        <is>
          <t>A 391-2023</t>
        </is>
      </c>
      <c r="B346" s="1" t="n">
        <v>44929</v>
      </c>
      <c r="C346" s="1" t="n">
        <v>45508</v>
      </c>
      <c r="D346" t="inlineStr">
        <is>
          <t>DALARNAS LÄN</t>
        </is>
      </c>
      <c r="E346" t="inlineStr">
        <is>
          <t>LEKSAND</t>
        </is>
      </c>
      <c r="F346" t="inlineStr">
        <is>
          <t>Övriga Aktiebolag</t>
        </is>
      </c>
      <c r="G346" t="n">
        <v>10</v>
      </c>
      <c r="H346" t="n">
        <v>0</v>
      </c>
      <c r="I346" t="n">
        <v>0</v>
      </c>
      <c r="J346" t="n">
        <v>0</v>
      </c>
      <c r="K346" t="n">
        <v>0</v>
      </c>
      <c r="L346" t="n">
        <v>0</v>
      </c>
      <c r="M346" t="n">
        <v>0</v>
      </c>
      <c r="N346" t="n">
        <v>0</v>
      </c>
      <c r="O346" t="n">
        <v>0</v>
      </c>
      <c r="P346" t="n">
        <v>0</v>
      </c>
      <c r="Q346" t="n">
        <v>0</v>
      </c>
      <c r="R346" s="2" t="inlineStr"/>
    </row>
    <row r="347" ht="15" customHeight="1">
      <c r="A347" t="inlineStr">
        <is>
          <t>A 784-2023</t>
        </is>
      </c>
      <c r="B347" s="1" t="n">
        <v>44931</v>
      </c>
      <c r="C347" s="1" t="n">
        <v>45508</v>
      </c>
      <c r="D347" t="inlineStr">
        <is>
          <t>DALARNAS LÄN</t>
        </is>
      </c>
      <c r="E347" t="inlineStr">
        <is>
          <t>LEKSAND</t>
        </is>
      </c>
      <c r="G347" t="n">
        <v>2.3</v>
      </c>
      <c r="H347" t="n">
        <v>0</v>
      </c>
      <c r="I347" t="n">
        <v>0</v>
      </c>
      <c r="J347" t="n">
        <v>0</v>
      </c>
      <c r="K347" t="n">
        <v>0</v>
      </c>
      <c r="L347" t="n">
        <v>0</v>
      </c>
      <c r="M347" t="n">
        <v>0</v>
      </c>
      <c r="N347" t="n">
        <v>0</v>
      </c>
      <c r="O347" t="n">
        <v>0</v>
      </c>
      <c r="P347" t="n">
        <v>0</v>
      </c>
      <c r="Q347" t="n">
        <v>0</v>
      </c>
      <c r="R347" s="2" t="inlineStr"/>
    </row>
    <row r="348" ht="15" customHeight="1">
      <c r="A348" t="inlineStr">
        <is>
          <t>A 1510-2023</t>
        </is>
      </c>
      <c r="B348" s="1" t="n">
        <v>44937</v>
      </c>
      <c r="C348" s="1" t="n">
        <v>45508</v>
      </c>
      <c r="D348" t="inlineStr">
        <is>
          <t>DALARNAS LÄN</t>
        </is>
      </c>
      <c r="E348" t="inlineStr">
        <is>
          <t>LEKSAND</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3262-2023</t>
        </is>
      </c>
      <c r="B349" s="1" t="n">
        <v>44948</v>
      </c>
      <c r="C349" s="1" t="n">
        <v>45508</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3445-2023</t>
        </is>
      </c>
      <c r="B350" s="1" t="n">
        <v>44949</v>
      </c>
      <c r="C350" s="1" t="n">
        <v>45508</v>
      </c>
      <c r="D350" t="inlineStr">
        <is>
          <t>DALARNAS LÄN</t>
        </is>
      </c>
      <c r="E350" t="inlineStr">
        <is>
          <t>LEKSAND</t>
        </is>
      </c>
      <c r="G350" t="n">
        <v>2.8</v>
      </c>
      <c r="H350" t="n">
        <v>0</v>
      </c>
      <c r="I350" t="n">
        <v>0</v>
      </c>
      <c r="J350" t="n">
        <v>0</v>
      </c>
      <c r="K350" t="n">
        <v>0</v>
      </c>
      <c r="L350" t="n">
        <v>0</v>
      </c>
      <c r="M350" t="n">
        <v>0</v>
      </c>
      <c r="N350" t="n">
        <v>0</v>
      </c>
      <c r="O350" t="n">
        <v>0</v>
      </c>
      <c r="P350" t="n">
        <v>0</v>
      </c>
      <c r="Q350" t="n">
        <v>0</v>
      </c>
      <c r="R350" s="2" t="inlineStr"/>
    </row>
    <row r="351" ht="15" customHeight="1">
      <c r="A351" t="inlineStr">
        <is>
          <t>A 3737-2023</t>
        </is>
      </c>
      <c r="B351" s="1" t="n">
        <v>44951</v>
      </c>
      <c r="C351" s="1" t="n">
        <v>45508</v>
      </c>
      <c r="D351" t="inlineStr">
        <is>
          <t>DALARNAS LÄN</t>
        </is>
      </c>
      <c r="E351" t="inlineStr">
        <is>
          <t>LEKSAND</t>
        </is>
      </c>
      <c r="G351" t="n">
        <v>3.1</v>
      </c>
      <c r="H351" t="n">
        <v>0</v>
      </c>
      <c r="I351" t="n">
        <v>0</v>
      </c>
      <c r="J351" t="n">
        <v>0</v>
      </c>
      <c r="K351" t="n">
        <v>0</v>
      </c>
      <c r="L351" t="n">
        <v>0</v>
      </c>
      <c r="M351" t="n">
        <v>0</v>
      </c>
      <c r="N351" t="n">
        <v>0</v>
      </c>
      <c r="O351" t="n">
        <v>0</v>
      </c>
      <c r="P351" t="n">
        <v>0</v>
      </c>
      <c r="Q351" t="n">
        <v>0</v>
      </c>
      <c r="R351" s="2" t="inlineStr"/>
    </row>
    <row r="352" ht="15" customHeight="1">
      <c r="A352" t="inlineStr">
        <is>
          <t>A 4182-2023</t>
        </is>
      </c>
      <c r="B352" s="1" t="n">
        <v>44951</v>
      </c>
      <c r="C352" s="1" t="n">
        <v>45508</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4217-2023</t>
        </is>
      </c>
      <c r="B353" s="1" t="n">
        <v>44953</v>
      </c>
      <c r="C353" s="1" t="n">
        <v>45508</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6057-2023</t>
        </is>
      </c>
      <c r="B354" s="1" t="n">
        <v>44959</v>
      </c>
      <c r="C354" s="1" t="n">
        <v>45508</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45508</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6079-2023</t>
        </is>
      </c>
      <c r="B356" s="1" t="n">
        <v>44959</v>
      </c>
      <c r="C356" s="1" t="n">
        <v>45508</v>
      </c>
      <c r="D356" t="inlineStr">
        <is>
          <t>DALARNAS LÄN</t>
        </is>
      </c>
      <c r="E356" t="inlineStr">
        <is>
          <t>LEKSAND</t>
        </is>
      </c>
      <c r="G356" t="n">
        <v>4.1</v>
      </c>
      <c r="H356" t="n">
        <v>0</v>
      </c>
      <c r="I356" t="n">
        <v>0</v>
      </c>
      <c r="J356" t="n">
        <v>0</v>
      </c>
      <c r="K356" t="n">
        <v>0</v>
      </c>
      <c r="L356" t="n">
        <v>0</v>
      </c>
      <c r="M356" t="n">
        <v>0</v>
      </c>
      <c r="N356" t="n">
        <v>0</v>
      </c>
      <c r="O356" t="n">
        <v>0</v>
      </c>
      <c r="P356" t="n">
        <v>0</v>
      </c>
      <c r="Q356" t="n">
        <v>0</v>
      </c>
      <c r="R356" s="2" t="inlineStr"/>
    </row>
    <row r="357" ht="15" customHeight="1">
      <c r="A357" t="inlineStr">
        <is>
          <t>A 6050-2023</t>
        </is>
      </c>
      <c r="B357" s="1" t="n">
        <v>44959</v>
      </c>
      <c r="C357" s="1" t="n">
        <v>45508</v>
      </c>
      <c r="D357" t="inlineStr">
        <is>
          <t>DALARNAS LÄN</t>
        </is>
      </c>
      <c r="E357" t="inlineStr">
        <is>
          <t>LEKSAND</t>
        </is>
      </c>
      <c r="G357" t="n">
        <v>6.2</v>
      </c>
      <c r="H357" t="n">
        <v>0</v>
      </c>
      <c r="I357" t="n">
        <v>0</v>
      </c>
      <c r="J357" t="n">
        <v>0</v>
      </c>
      <c r="K357" t="n">
        <v>0</v>
      </c>
      <c r="L357" t="n">
        <v>0</v>
      </c>
      <c r="M357" t="n">
        <v>0</v>
      </c>
      <c r="N357" t="n">
        <v>0</v>
      </c>
      <c r="O357" t="n">
        <v>0</v>
      </c>
      <c r="P357" t="n">
        <v>0</v>
      </c>
      <c r="Q357" t="n">
        <v>0</v>
      </c>
      <c r="R357" s="2" t="inlineStr"/>
    </row>
    <row r="358" ht="15" customHeight="1">
      <c r="A358" t="inlineStr">
        <is>
          <t>A 5738-2023</t>
        </is>
      </c>
      <c r="B358" s="1" t="n">
        <v>44962</v>
      </c>
      <c r="C358" s="1" t="n">
        <v>45508</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6074-2023</t>
        </is>
      </c>
      <c r="B359" s="1" t="n">
        <v>44964</v>
      </c>
      <c r="C359" s="1" t="n">
        <v>45508</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7441-2023</t>
        </is>
      </c>
      <c r="B360" s="1" t="n">
        <v>44966</v>
      </c>
      <c r="C360" s="1" t="n">
        <v>45508</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7467-2023</t>
        </is>
      </c>
      <c r="B361" s="1" t="n">
        <v>44966</v>
      </c>
      <c r="C361" s="1" t="n">
        <v>45508</v>
      </c>
      <c r="D361" t="inlineStr">
        <is>
          <t>DALARNAS LÄN</t>
        </is>
      </c>
      <c r="E361" t="inlineStr">
        <is>
          <t>LEKSAND</t>
        </is>
      </c>
      <c r="G361" t="n">
        <v>2.4</v>
      </c>
      <c r="H361" t="n">
        <v>0</v>
      </c>
      <c r="I361" t="n">
        <v>0</v>
      </c>
      <c r="J361" t="n">
        <v>0</v>
      </c>
      <c r="K361" t="n">
        <v>0</v>
      </c>
      <c r="L361" t="n">
        <v>0</v>
      </c>
      <c r="M361" t="n">
        <v>0</v>
      </c>
      <c r="N361" t="n">
        <v>0</v>
      </c>
      <c r="O361" t="n">
        <v>0</v>
      </c>
      <c r="P361" t="n">
        <v>0</v>
      </c>
      <c r="Q361" t="n">
        <v>0</v>
      </c>
      <c r="R361" s="2" t="inlineStr"/>
    </row>
    <row r="362" ht="15" customHeight="1">
      <c r="A362" t="inlineStr">
        <is>
          <t>A 6846-2023</t>
        </is>
      </c>
      <c r="B362" s="1" t="n">
        <v>44967</v>
      </c>
      <c r="C362" s="1" t="n">
        <v>45508</v>
      </c>
      <c r="D362" t="inlineStr">
        <is>
          <t>DALARNAS LÄN</t>
        </is>
      </c>
      <c r="E362" t="inlineStr">
        <is>
          <t>LEKSAND</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8170-2023</t>
        </is>
      </c>
      <c r="B363" s="1" t="n">
        <v>44971</v>
      </c>
      <c r="C363" s="1" t="n">
        <v>45508</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7450-2023</t>
        </is>
      </c>
      <c r="B364" s="1" t="n">
        <v>44971</v>
      </c>
      <c r="C364" s="1" t="n">
        <v>45508</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7928-2023</t>
        </is>
      </c>
      <c r="B365" s="1" t="n">
        <v>44973</v>
      </c>
      <c r="C365" s="1" t="n">
        <v>45508</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8211-2023</t>
        </is>
      </c>
      <c r="B366" s="1" t="n">
        <v>44974</v>
      </c>
      <c r="C366" s="1" t="n">
        <v>45508</v>
      </c>
      <c r="D366" t="inlineStr">
        <is>
          <t>DALARNAS LÄN</t>
        </is>
      </c>
      <c r="E366" t="inlineStr">
        <is>
          <t>LEKSAND</t>
        </is>
      </c>
      <c r="G366" t="n">
        <v>5.2</v>
      </c>
      <c r="H366" t="n">
        <v>0</v>
      </c>
      <c r="I366" t="n">
        <v>0</v>
      </c>
      <c r="J366" t="n">
        <v>0</v>
      </c>
      <c r="K366" t="n">
        <v>0</v>
      </c>
      <c r="L366" t="n">
        <v>0</v>
      </c>
      <c r="M366" t="n">
        <v>0</v>
      </c>
      <c r="N366" t="n">
        <v>0</v>
      </c>
      <c r="O366" t="n">
        <v>0</v>
      </c>
      <c r="P366" t="n">
        <v>0</v>
      </c>
      <c r="Q366" t="n">
        <v>0</v>
      </c>
      <c r="R366" s="2" t="inlineStr"/>
    </row>
    <row r="367" ht="15" customHeight="1">
      <c r="A367" t="inlineStr">
        <is>
          <t>A 8936-2023</t>
        </is>
      </c>
      <c r="B367" s="1" t="n">
        <v>44974</v>
      </c>
      <c r="C367" s="1" t="n">
        <v>45508</v>
      </c>
      <c r="D367" t="inlineStr">
        <is>
          <t>DALARNAS LÄN</t>
        </is>
      </c>
      <c r="E367" t="inlineStr">
        <is>
          <t>LEKSAND</t>
        </is>
      </c>
      <c r="G367" t="n">
        <v>7</v>
      </c>
      <c r="H367" t="n">
        <v>0</v>
      </c>
      <c r="I367" t="n">
        <v>0</v>
      </c>
      <c r="J367" t="n">
        <v>0</v>
      </c>
      <c r="K367" t="n">
        <v>0</v>
      </c>
      <c r="L367" t="n">
        <v>0</v>
      </c>
      <c r="M367" t="n">
        <v>0</v>
      </c>
      <c r="N367" t="n">
        <v>0</v>
      </c>
      <c r="O367" t="n">
        <v>0</v>
      </c>
      <c r="P367" t="n">
        <v>0</v>
      </c>
      <c r="Q367" t="n">
        <v>0</v>
      </c>
      <c r="R367" s="2" t="inlineStr"/>
    </row>
    <row r="368" ht="15" customHeight="1">
      <c r="A368" t="inlineStr">
        <is>
          <t>A 9143-2023</t>
        </is>
      </c>
      <c r="B368" s="1" t="n">
        <v>44974</v>
      </c>
      <c r="C368" s="1" t="n">
        <v>45508</v>
      </c>
      <c r="D368" t="inlineStr">
        <is>
          <t>DALARNAS LÄN</t>
        </is>
      </c>
      <c r="E368" t="inlineStr">
        <is>
          <t>LEKSAND</t>
        </is>
      </c>
      <c r="G368" t="n">
        <v>4.3</v>
      </c>
      <c r="H368" t="n">
        <v>0</v>
      </c>
      <c r="I368" t="n">
        <v>0</v>
      </c>
      <c r="J368" t="n">
        <v>0</v>
      </c>
      <c r="K368" t="n">
        <v>0</v>
      </c>
      <c r="L368" t="n">
        <v>0</v>
      </c>
      <c r="M368" t="n">
        <v>0</v>
      </c>
      <c r="N368" t="n">
        <v>0</v>
      </c>
      <c r="O368" t="n">
        <v>0</v>
      </c>
      <c r="P368" t="n">
        <v>0</v>
      </c>
      <c r="Q368" t="n">
        <v>0</v>
      </c>
      <c r="R368" s="2" t="inlineStr"/>
    </row>
    <row r="369" ht="15" customHeight="1">
      <c r="A369" t="inlineStr">
        <is>
          <t>A 8940-2023</t>
        </is>
      </c>
      <c r="B369" s="1" t="n">
        <v>44974</v>
      </c>
      <c r="C369" s="1" t="n">
        <v>45508</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9138-2023</t>
        </is>
      </c>
      <c r="B370" s="1" t="n">
        <v>44974</v>
      </c>
      <c r="C370" s="1" t="n">
        <v>45508</v>
      </c>
      <c r="D370" t="inlineStr">
        <is>
          <t>DALARNAS LÄN</t>
        </is>
      </c>
      <c r="E370" t="inlineStr">
        <is>
          <t>LEKSAND</t>
        </is>
      </c>
      <c r="G370" t="n">
        <v>4.6</v>
      </c>
      <c r="H370" t="n">
        <v>0</v>
      </c>
      <c r="I370" t="n">
        <v>0</v>
      </c>
      <c r="J370" t="n">
        <v>0</v>
      </c>
      <c r="K370" t="n">
        <v>0</v>
      </c>
      <c r="L370" t="n">
        <v>0</v>
      </c>
      <c r="M370" t="n">
        <v>0</v>
      </c>
      <c r="N370" t="n">
        <v>0</v>
      </c>
      <c r="O370" t="n">
        <v>0</v>
      </c>
      <c r="P370" t="n">
        <v>0</v>
      </c>
      <c r="Q370" t="n">
        <v>0</v>
      </c>
      <c r="R370" s="2" t="inlineStr"/>
    </row>
    <row r="371" ht="15" customHeight="1">
      <c r="A371" t="inlineStr">
        <is>
          <t>A 9141-2023</t>
        </is>
      </c>
      <c r="B371" s="1" t="n">
        <v>44974</v>
      </c>
      <c r="C371" s="1" t="n">
        <v>45508</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9459-2023</t>
        </is>
      </c>
      <c r="B372" s="1" t="n">
        <v>44977</v>
      </c>
      <c r="C372" s="1" t="n">
        <v>45508</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8773-2023</t>
        </is>
      </c>
      <c r="B373" s="1" t="n">
        <v>44978</v>
      </c>
      <c r="C373" s="1" t="n">
        <v>45508</v>
      </c>
      <c r="D373" t="inlineStr">
        <is>
          <t>DALARNAS LÄN</t>
        </is>
      </c>
      <c r="E373" t="inlineStr">
        <is>
          <t>LEKSAND</t>
        </is>
      </c>
      <c r="G373" t="n">
        <v>2.2</v>
      </c>
      <c r="H373" t="n">
        <v>0</v>
      </c>
      <c r="I373" t="n">
        <v>0</v>
      </c>
      <c r="J373" t="n">
        <v>0</v>
      </c>
      <c r="K373" t="n">
        <v>0</v>
      </c>
      <c r="L373" t="n">
        <v>0</v>
      </c>
      <c r="M373" t="n">
        <v>0</v>
      </c>
      <c r="N373" t="n">
        <v>0</v>
      </c>
      <c r="O373" t="n">
        <v>0</v>
      </c>
      <c r="P373" t="n">
        <v>0</v>
      </c>
      <c r="Q373" t="n">
        <v>0</v>
      </c>
      <c r="R373" s="2" t="inlineStr"/>
    </row>
    <row r="374" ht="15" customHeight="1">
      <c r="A374" t="inlineStr">
        <is>
          <t>A 8695-2023</t>
        </is>
      </c>
      <c r="B374" s="1" t="n">
        <v>44978</v>
      </c>
      <c r="C374" s="1" t="n">
        <v>45508</v>
      </c>
      <c r="D374" t="inlineStr">
        <is>
          <t>DALARNAS LÄN</t>
        </is>
      </c>
      <c r="E374" t="inlineStr">
        <is>
          <t>LEKSAND</t>
        </is>
      </c>
      <c r="G374" t="n">
        <v>0.9</v>
      </c>
      <c r="H374" t="n">
        <v>0</v>
      </c>
      <c r="I374" t="n">
        <v>0</v>
      </c>
      <c r="J374" t="n">
        <v>0</v>
      </c>
      <c r="K374" t="n">
        <v>0</v>
      </c>
      <c r="L374" t="n">
        <v>0</v>
      </c>
      <c r="M374" t="n">
        <v>0</v>
      </c>
      <c r="N374" t="n">
        <v>0</v>
      </c>
      <c r="O374" t="n">
        <v>0</v>
      </c>
      <c r="P374" t="n">
        <v>0</v>
      </c>
      <c r="Q374" t="n">
        <v>0</v>
      </c>
      <c r="R374" s="2" t="inlineStr"/>
    </row>
    <row r="375" ht="15" customHeight="1">
      <c r="A375" t="inlineStr">
        <is>
          <t>A 8743-2023</t>
        </is>
      </c>
      <c r="B375" s="1" t="n">
        <v>44978</v>
      </c>
      <c r="C375" s="1" t="n">
        <v>45508</v>
      </c>
      <c r="D375" t="inlineStr">
        <is>
          <t>DALARNAS LÄN</t>
        </is>
      </c>
      <c r="E375" t="inlineStr">
        <is>
          <t>LEKSAND</t>
        </is>
      </c>
      <c r="G375" t="n">
        <v>3</v>
      </c>
      <c r="H375" t="n">
        <v>0</v>
      </c>
      <c r="I375" t="n">
        <v>0</v>
      </c>
      <c r="J375" t="n">
        <v>0</v>
      </c>
      <c r="K375" t="n">
        <v>0</v>
      </c>
      <c r="L375" t="n">
        <v>0</v>
      </c>
      <c r="M375" t="n">
        <v>0</v>
      </c>
      <c r="N375" t="n">
        <v>0</v>
      </c>
      <c r="O375" t="n">
        <v>0</v>
      </c>
      <c r="P375" t="n">
        <v>0</v>
      </c>
      <c r="Q375" t="n">
        <v>0</v>
      </c>
      <c r="R375" s="2" t="inlineStr"/>
    </row>
    <row r="376" ht="15" customHeight="1">
      <c r="A376" t="inlineStr">
        <is>
          <t>A 8755-2023</t>
        </is>
      </c>
      <c r="B376" s="1" t="n">
        <v>44978</v>
      </c>
      <c r="C376" s="1" t="n">
        <v>45508</v>
      </c>
      <c r="D376" t="inlineStr">
        <is>
          <t>DALARNAS LÄN</t>
        </is>
      </c>
      <c r="E376" t="inlineStr">
        <is>
          <t>LEKSAND</t>
        </is>
      </c>
      <c r="G376" t="n">
        <v>2.3</v>
      </c>
      <c r="H376" t="n">
        <v>0</v>
      </c>
      <c r="I376" t="n">
        <v>0</v>
      </c>
      <c r="J376" t="n">
        <v>0</v>
      </c>
      <c r="K376" t="n">
        <v>0</v>
      </c>
      <c r="L376" t="n">
        <v>0</v>
      </c>
      <c r="M376" t="n">
        <v>0</v>
      </c>
      <c r="N376" t="n">
        <v>0</v>
      </c>
      <c r="O376" t="n">
        <v>0</v>
      </c>
      <c r="P376" t="n">
        <v>0</v>
      </c>
      <c r="Q376" t="n">
        <v>0</v>
      </c>
      <c r="R376" s="2" t="inlineStr"/>
    </row>
    <row r="377" ht="15" customHeight="1">
      <c r="A377" t="inlineStr">
        <is>
          <t>A 9324-2023</t>
        </is>
      </c>
      <c r="B377" s="1" t="n">
        <v>44980</v>
      </c>
      <c r="C377" s="1" t="n">
        <v>45508</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9336-2023</t>
        </is>
      </c>
      <c r="B378" s="1" t="n">
        <v>44980</v>
      </c>
      <c r="C378" s="1" t="n">
        <v>45508</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9938-2023</t>
        </is>
      </c>
      <c r="B379" s="1" t="n">
        <v>44985</v>
      </c>
      <c r="C379" s="1" t="n">
        <v>45508</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9947-2023</t>
        </is>
      </c>
      <c r="B380" s="1" t="n">
        <v>44985</v>
      </c>
      <c r="C380" s="1" t="n">
        <v>45508</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11010-2023</t>
        </is>
      </c>
      <c r="B381" s="1" t="n">
        <v>44986</v>
      </c>
      <c r="C381" s="1" t="n">
        <v>45508</v>
      </c>
      <c r="D381" t="inlineStr">
        <is>
          <t>DALARNAS LÄN</t>
        </is>
      </c>
      <c r="E381" t="inlineStr">
        <is>
          <t>LEKSAND</t>
        </is>
      </c>
      <c r="G381" t="n">
        <v>3.7</v>
      </c>
      <c r="H381" t="n">
        <v>0</v>
      </c>
      <c r="I381" t="n">
        <v>0</v>
      </c>
      <c r="J381" t="n">
        <v>0</v>
      </c>
      <c r="K381" t="n">
        <v>0</v>
      </c>
      <c r="L381" t="n">
        <v>0</v>
      </c>
      <c r="M381" t="n">
        <v>0</v>
      </c>
      <c r="N381" t="n">
        <v>0</v>
      </c>
      <c r="O381" t="n">
        <v>0</v>
      </c>
      <c r="P381" t="n">
        <v>0</v>
      </c>
      <c r="Q381" t="n">
        <v>0</v>
      </c>
      <c r="R381" s="2" t="inlineStr"/>
    </row>
    <row r="382" ht="15" customHeight="1">
      <c r="A382" t="inlineStr">
        <is>
          <t>A 11004-2023</t>
        </is>
      </c>
      <c r="B382" s="1" t="n">
        <v>44986</v>
      </c>
      <c r="C382" s="1" t="n">
        <v>45508</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10367-2023</t>
        </is>
      </c>
      <c r="B383" s="1" t="n">
        <v>44987</v>
      </c>
      <c r="C383" s="1" t="n">
        <v>45508</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10373-2023</t>
        </is>
      </c>
      <c r="B384" s="1" t="n">
        <v>44987</v>
      </c>
      <c r="C384" s="1" t="n">
        <v>45508</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10368-2023</t>
        </is>
      </c>
      <c r="B385" s="1" t="n">
        <v>44987</v>
      </c>
      <c r="C385" s="1" t="n">
        <v>45508</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11398-2023</t>
        </is>
      </c>
      <c r="B386" s="1" t="n">
        <v>44988</v>
      </c>
      <c r="C386" s="1" t="n">
        <v>45508</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11423-2023</t>
        </is>
      </c>
      <c r="B387" s="1" t="n">
        <v>44988</v>
      </c>
      <c r="C387" s="1" t="n">
        <v>45508</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11420-2023</t>
        </is>
      </c>
      <c r="B388" s="1" t="n">
        <v>44988</v>
      </c>
      <c r="C388" s="1" t="n">
        <v>45508</v>
      </c>
      <c r="D388" t="inlineStr">
        <is>
          <t>DALARNAS LÄN</t>
        </is>
      </c>
      <c r="E388" t="inlineStr">
        <is>
          <t>LEKSAND</t>
        </is>
      </c>
      <c r="G388" t="n">
        <v>6.5</v>
      </c>
      <c r="H388" t="n">
        <v>0</v>
      </c>
      <c r="I388" t="n">
        <v>0</v>
      </c>
      <c r="J388" t="n">
        <v>0</v>
      </c>
      <c r="K388" t="n">
        <v>0</v>
      </c>
      <c r="L388" t="n">
        <v>0</v>
      </c>
      <c r="M388" t="n">
        <v>0</v>
      </c>
      <c r="N388" t="n">
        <v>0</v>
      </c>
      <c r="O388" t="n">
        <v>0</v>
      </c>
      <c r="P388" t="n">
        <v>0</v>
      </c>
      <c r="Q388" t="n">
        <v>0</v>
      </c>
      <c r="R388" s="2" t="inlineStr"/>
    </row>
    <row r="389" ht="15" customHeight="1">
      <c r="A389" t="inlineStr">
        <is>
          <t>A 10828-2023</t>
        </is>
      </c>
      <c r="B389" s="1" t="n">
        <v>44990</v>
      </c>
      <c r="C389" s="1" t="n">
        <v>45508</v>
      </c>
      <c r="D389" t="inlineStr">
        <is>
          <t>DALARNAS LÄN</t>
        </is>
      </c>
      <c r="E389" t="inlineStr">
        <is>
          <t>LEKSAND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10833-2023</t>
        </is>
      </c>
      <c r="B390" s="1" t="n">
        <v>44990</v>
      </c>
      <c r="C390" s="1" t="n">
        <v>45508</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10967-2023</t>
        </is>
      </c>
      <c r="B391" s="1" t="n">
        <v>44991</v>
      </c>
      <c r="C391" s="1" t="n">
        <v>45508</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10987-2023</t>
        </is>
      </c>
      <c r="B392" s="1" t="n">
        <v>44991</v>
      </c>
      <c r="C392" s="1" t="n">
        <v>45508</v>
      </c>
      <c r="D392" t="inlineStr">
        <is>
          <t>DALARNAS LÄN</t>
        </is>
      </c>
      <c r="E392" t="inlineStr">
        <is>
          <t>LEKSAND</t>
        </is>
      </c>
      <c r="G392" t="n">
        <v>2.7</v>
      </c>
      <c r="H392" t="n">
        <v>0</v>
      </c>
      <c r="I392" t="n">
        <v>0</v>
      </c>
      <c r="J392" t="n">
        <v>0</v>
      </c>
      <c r="K392" t="n">
        <v>0</v>
      </c>
      <c r="L392" t="n">
        <v>0</v>
      </c>
      <c r="M392" t="n">
        <v>0</v>
      </c>
      <c r="N392" t="n">
        <v>0</v>
      </c>
      <c r="O392" t="n">
        <v>0</v>
      </c>
      <c r="P392" t="n">
        <v>0</v>
      </c>
      <c r="Q392" t="n">
        <v>0</v>
      </c>
      <c r="R392" s="2" t="inlineStr"/>
    </row>
    <row r="393" ht="15" customHeight="1">
      <c r="A393" t="inlineStr">
        <is>
          <t>A 10869-2023</t>
        </is>
      </c>
      <c r="B393" s="1" t="n">
        <v>44991</v>
      </c>
      <c r="C393" s="1" t="n">
        <v>45508</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10974-2023</t>
        </is>
      </c>
      <c r="B394" s="1" t="n">
        <v>44991</v>
      </c>
      <c r="C394" s="1" t="n">
        <v>45508</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10896-2023</t>
        </is>
      </c>
      <c r="B395" s="1" t="n">
        <v>44991</v>
      </c>
      <c r="C395" s="1" t="n">
        <v>45508</v>
      </c>
      <c r="D395" t="inlineStr">
        <is>
          <t>DALARNAS LÄN</t>
        </is>
      </c>
      <c r="E395" t="inlineStr">
        <is>
          <t>LEKSAND</t>
        </is>
      </c>
      <c r="G395" t="n">
        <v>4.1</v>
      </c>
      <c r="H395" t="n">
        <v>0</v>
      </c>
      <c r="I395" t="n">
        <v>0</v>
      </c>
      <c r="J395" t="n">
        <v>0</v>
      </c>
      <c r="K395" t="n">
        <v>0</v>
      </c>
      <c r="L395" t="n">
        <v>0</v>
      </c>
      <c r="M395" t="n">
        <v>0</v>
      </c>
      <c r="N395" t="n">
        <v>0</v>
      </c>
      <c r="O395" t="n">
        <v>0</v>
      </c>
      <c r="P395" t="n">
        <v>0</v>
      </c>
      <c r="Q395" t="n">
        <v>0</v>
      </c>
      <c r="R395" s="2" t="inlineStr"/>
    </row>
    <row r="396" ht="15" customHeight="1">
      <c r="A396" t="inlineStr">
        <is>
          <t>A 11233-2023</t>
        </is>
      </c>
      <c r="B396" s="1" t="n">
        <v>44992</v>
      </c>
      <c r="C396" s="1" t="n">
        <v>45508</v>
      </c>
      <c r="D396" t="inlineStr">
        <is>
          <t>DALARNAS LÄN</t>
        </is>
      </c>
      <c r="E396" t="inlineStr">
        <is>
          <t>LEKSAND</t>
        </is>
      </c>
      <c r="G396" t="n">
        <v>4.2</v>
      </c>
      <c r="H396" t="n">
        <v>0</v>
      </c>
      <c r="I396" t="n">
        <v>0</v>
      </c>
      <c r="J396" t="n">
        <v>0</v>
      </c>
      <c r="K396" t="n">
        <v>0</v>
      </c>
      <c r="L396" t="n">
        <v>0</v>
      </c>
      <c r="M396" t="n">
        <v>0</v>
      </c>
      <c r="N396" t="n">
        <v>0</v>
      </c>
      <c r="O396" t="n">
        <v>0</v>
      </c>
      <c r="P396" t="n">
        <v>0</v>
      </c>
      <c r="Q396" t="n">
        <v>0</v>
      </c>
      <c r="R396" s="2" t="inlineStr"/>
    </row>
    <row r="397" ht="15" customHeight="1">
      <c r="A397" t="inlineStr">
        <is>
          <t>A 11238-2023</t>
        </is>
      </c>
      <c r="B397" s="1" t="n">
        <v>44992</v>
      </c>
      <c r="C397" s="1" t="n">
        <v>45508</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11092-2023</t>
        </is>
      </c>
      <c r="B398" s="1" t="n">
        <v>44992</v>
      </c>
      <c r="C398" s="1" t="n">
        <v>45508</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11248-2023</t>
        </is>
      </c>
      <c r="B399" s="1" t="n">
        <v>44992</v>
      </c>
      <c r="C399" s="1" t="n">
        <v>45508</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11128-2023</t>
        </is>
      </c>
      <c r="B400" s="1" t="n">
        <v>44992</v>
      </c>
      <c r="C400" s="1" t="n">
        <v>45508</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11080-2023</t>
        </is>
      </c>
      <c r="B401" s="1" t="n">
        <v>44992</v>
      </c>
      <c r="C401" s="1" t="n">
        <v>45508</v>
      </c>
      <c r="D401" t="inlineStr">
        <is>
          <t>DALARNAS LÄN</t>
        </is>
      </c>
      <c r="E401" t="inlineStr">
        <is>
          <t>LEKSAND</t>
        </is>
      </c>
      <c r="G401" t="n">
        <v>6.9</v>
      </c>
      <c r="H401" t="n">
        <v>0</v>
      </c>
      <c r="I401" t="n">
        <v>0</v>
      </c>
      <c r="J401" t="n">
        <v>0</v>
      </c>
      <c r="K401" t="n">
        <v>0</v>
      </c>
      <c r="L401" t="n">
        <v>0</v>
      </c>
      <c r="M401" t="n">
        <v>0</v>
      </c>
      <c r="N401" t="n">
        <v>0</v>
      </c>
      <c r="O401" t="n">
        <v>0</v>
      </c>
      <c r="P401" t="n">
        <v>0</v>
      </c>
      <c r="Q401" t="n">
        <v>0</v>
      </c>
      <c r="R401" s="2" t="inlineStr"/>
    </row>
    <row r="402" ht="15" customHeight="1">
      <c r="A402" t="inlineStr">
        <is>
          <t>A 11110-2023</t>
        </is>
      </c>
      <c r="B402" s="1" t="n">
        <v>44992</v>
      </c>
      <c r="C402" s="1" t="n">
        <v>45508</v>
      </c>
      <c r="D402" t="inlineStr">
        <is>
          <t>DALARNAS LÄN</t>
        </is>
      </c>
      <c r="E402" t="inlineStr">
        <is>
          <t>LEKSAND</t>
        </is>
      </c>
      <c r="G402" t="n">
        <v>11.2</v>
      </c>
      <c r="H402" t="n">
        <v>0</v>
      </c>
      <c r="I402" t="n">
        <v>0</v>
      </c>
      <c r="J402" t="n">
        <v>0</v>
      </c>
      <c r="K402" t="n">
        <v>0</v>
      </c>
      <c r="L402" t="n">
        <v>0</v>
      </c>
      <c r="M402" t="n">
        <v>0</v>
      </c>
      <c r="N402" t="n">
        <v>0</v>
      </c>
      <c r="O402" t="n">
        <v>0</v>
      </c>
      <c r="P402" t="n">
        <v>0</v>
      </c>
      <c r="Q402" t="n">
        <v>0</v>
      </c>
      <c r="R402" s="2" t="inlineStr"/>
    </row>
    <row r="403" ht="15" customHeight="1">
      <c r="A403" t="inlineStr">
        <is>
          <t>A 11218-2023</t>
        </is>
      </c>
      <c r="B403" s="1" t="n">
        <v>44992</v>
      </c>
      <c r="C403" s="1" t="n">
        <v>45508</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11225-2023</t>
        </is>
      </c>
      <c r="B404" s="1" t="n">
        <v>44992</v>
      </c>
      <c r="C404" s="1" t="n">
        <v>45508</v>
      </c>
      <c r="D404" t="inlineStr">
        <is>
          <t>DALARNAS LÄN</t>
        </is>
      </c>
      <c r="E404" t="inlineStr">
        <is>
          <t>LEKSAND</t>
        </is>
      </c>
      <c r="G404" t="n">
        <v>6.1</v>
      </c>
      <c r="H404" t="n">
        <v>0</v>
      </c>
      <c r="I404" t="n">
        <v>0</v>
      </c>
      <c r="J404" t="n">
        <v>0</v>
      </c>
      <c r="K404" t="n">
        <v>0</v>
      </c>
      <c r="L404" t="n">
        <v>0</v>
      </c>
      <c r="M404" t="n">
        <v>0</v>
      </c>
      <c r="N404" t="n">
        <v>0</v>
      </c>
      <c r="O404" t="n">
        <v>0</v>
      </c>
      <c r="P404" t="n">
        <v>0</v>
      </c>
      <c r="Q404" t="n">
        <v>0</v>
      </c>
      <c r="R404" s="2" t="inlineStr"/>
    </row>
    <row r="405" ht="15" customHeight="1">
      <c r="A405" t="inlineStr">
        <is>
          <t>A 11347-2023</t>
        </is>
      </c>
      <c r="B405" s="1" t="n">
        <v>44993</v>
      </c>
      <c r="C405" s="1" t="n">
        <v>45508</v>
      </c>
      <c r="D405" t="inlineStr">
        <is>
          <t>DALARNAS LÄN</t>
        </is>
      </c>
      <c r="E405" t="inlineStr">
        <is>
          <t>LEKSAND</t>
        </is>
      </c>
      <c r="G405" t="n">
        <v>6.7</v>
      </c>
      <c r="H405" t="n">
        <v>0</v>
      </c>
      <c r="I405" t="n">
        <v>0</v>
      </c>
      <c r="J405" t="n">
        <v>0</v>
      </c>
      <c r="K405" t="n">
        <v>0</v>
      </c>
      <c r="L405" t="n">
        <v>0</v>
      </c>
      <c r="M405" t="n">
        <v>0</v>
      </c>
      <c r="N405" t="n">
        <v>0</v>
      </c>
      <c r="O405" t="n">
        <v>0</v>
      </c>
      <c r="P405" t="n">
        <v>0</v>
      </c>
      <c r="Q405" t="n">
        <v>0</v>
      </c>
      <c r="R405" s="2" t="inlineStr"/>
    </row>
    <row r="406" ht="15" customHeight="1">
      <c r="A406" t="inlineStr">
        <is>
          <t>A 11392-2023</t>
        </is>
      </c>
      <c r="B406" s="1" t="n">
        <v>44993</v>
      </c>
      <c r="C406" s="1" t="n">
        <v>45508</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11403-2023</t>
        </is>
      </c>
      <c r="B407" s="1" t="n">
        <v>44993</v>
      </c>
      <c r="C407" s="1" t="n">
        <v>45508</v>
      </c>
      <c r="D407" t="inlineStr">
        <is>
          <t>DALARNAS LÄN</t>
        </is>
      </c>
      <c r="E407" t="inlineStr">
        <is>
          <t>LEKSAND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11418-2023</t>
        </is>
      </c>
      <c r="B408" s="1" t="n">
        <v>44993</v>
      </c>
      <c r="C408" s="1" t="n">
        <v>45508</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11747-2023</t>
        </is>
      </c>
      <c r="B409" s="1" t="n">
        <v>44993</v>
      </c>
      <c r="C409" s="1" t="n">
        <v>45508</v>
      </c>
      <c r="D409" t="inlineStr">
        <is>
          <t>DALARNAS LÄN</t>
        </is>
      </c>
      <c r="E409" t="inlineStr">
        <is>
          <t>LEKSAND</t>
        </is>
      </c>
      <c r="G409" t="n">
        <v>5.2</v>
      </c>
      <c r="H409" t="n">
        <v>0</v>
      </c>
      <c r="I409" t="n">
        <v>0</v>
      </c>
      <c r="J409" t="n">
        <v>0</v>
      </c>
      <c r="K409" t="n">
        <v>0</v>
      </c>
      <c r="L409" t="n">
        <v>0</v>
      </c>
      <c r="M409" t="n">
        <v>0</v>
      </c>
      <c r="N409" t="n">
        <v>0</v>
      </c>
      <c r="O409" t="n">
        <v>0</v>
      </c>
      <c r="P409" t="n">
        <v>0</v>
      </c>
      <c r="Q409" t="n">
        <v>0</v>
      </c>
      <c r="R409" s="2" t="inlineStr"/>
    </row>
    <row r="410" ht="15" customHeight="1">
      <c r="A410" t="inlineStr">
        <is>
          <t>A 11913-2023</t>
        </is>
      </c>
      <c r="B410" s="1" t="n">
        <v>44993</v>
      </c>
      <c r="C410" s="1" t="n">
        <v>45508</v>
      </c>
      <c r="D410" t="inlineStr">
        <is>
          <t>DALARNAS LÄN</t>
        </is>
      </c>
      <c r="E410" t="inlineStr">
        <is>
          <t>LEKSAND</t>
        </is>
      </c>
      <c r="G410" t="n">
        <v>7</v>
      </c>
      <c r="H410" t="n">
        <v>0</v>
      </c>
      <c r="I410" t="n">
        <v>0</v>
      </c>
      <c r="J410" t="n">
        <v>0</v>
      </c>
      <c r="K410" t="n">
        <v>0</v>
      </c>
      <c r="L410" t="n">
        <v>0</v>
      </c>
      <c r="M410" t="n">
        <v>0</v>
      </c>
      <c r="N410" t="n">
        <v>0</v>
      </c>
      <c r="O410" t="n">
        <v>0</v>
      </c>
      <c r="P410" t="n">
        <v>0</v>
      </c>
      <c r="Q410" t="n">
        <v>0</v>
      </c>
      <c r="R410" s="2" t="inlineStr"/>
    </row>
    <row r="411" ht="15" customHeight="1">
      <c r="A411" t="inlineStr">
        <is>
          <t>A 11582-2023</t>
        </is>
      </c>
      <c r="B411" s="1" t="n">
        <v>44994</v>
      </c>
      <c r="C411" s="1" t="n">
        <v>45508</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11592-2023</t>
        </is>
      </c>
      <c r="B412" s="1" t="n">
        <v>44994</v>
      </c>
      <c r="C412" s="1" t="n">
        <v>45508</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11678-2023</t>
        </is>
      </c>
      <c r="B413" s="1" t="n">
        <v>44994</v>
      </c>
      <c r="C413" s="1" t="n">
        <v>45508</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12144-2023</t>
        </is>
      </c>
      <c r="B414" s="1" t="n">
        <v>44998</v>
      </c>
      <c r="C414" s="1" t="n">
        <v>45508</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12117-2023</t>
        </is>
      </c>
      <c r="B415" s="1" t="n">
        <v>44998</v>
      </c>
      <c r="C415" s="1" t="n">
        <v>45508</v>
      </c>
      <c r="D415" t="inlineStr">
        <is>
          <t>DALARNAS LÄN</t>
        </is>
      </c>
      <c r="E415" t="inlineStr">
        <is>
          <t>LEKSAND</t>
        </is>
      </c>
      <c r="G415" t="n">
        <v>2.5</v>
      </c>
      <c r="H415" t="n">
        <v>0</v>
      </c>
      <c r="I415" t="n">
        <v>0</v>
      </c>
      <c r="J415" t="n">
        <v>0</v>
      </c>
      <c r="K415" t="n">
        <v>0</v>
      </c>
      <c r="L415" t="n">
        <v>0</v>
      </c>
      <c r="M415" t="n">
        <v>0</v>
      </c>
      <c r="N415" t="n">
        <v>0</v>
      </c>
      <c r="O415" t="n">
        <v>0</v>
      </c>
      <c r="P415" t="n">
        <v>0</v>
      </c>
      <c r="Q415" t="n">
        <v>0</v>
      </c>
      <c r="R415" s="2" t="inlineStr"/>
    </row>
    <row r="416" ht="15" customHeight="1">
      <c r="A416" t="inlineStr">
        <is>
          <t>A 12120-2023</t>
        </is>
      </c>
      <c r="B416" s="1" t="n">
        <v>44998</v>
      </c>
      <c r="C416" s="1" t="n">
        <v>45508</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12356-2023</t>
        </is>
      </c>
      <c r="B417" s="1" t="n">
        <v>44998</v>
      </c>
      <c r="C417" s="1" t="n">
        <v>45508</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12363-2023</t>
        </is>
      </c>
      <c r="B418" s="1" t="n">
        <v>44998</v>
      </c>
      <c r="C418" s="1" t="n">
        <v>45508</v>
      </c>
      <c r="D418" t="inlineStr">
        <is>
          <t>DALARNAS LÄN</t>
        </is>
      </c>
      <c r="E418" t="inlineStr">
        <is>
          <t>LEKSAND</t>
        </is>
      </c>
      <c r="G418" t="n">
        <v>10</v>
      </c>
      <c r="H418" t="n">
        <v>0</v>
      </c>
      <c r="I418" t="n">
        <v>0</v>
      </c>
      <c r="J418" t="n">
        <v>0</v>
      </c>
      <c r="K418" t="n">
        <v>0</v>
      </c>
      <c r="L418" t="n">
        <v>0</v>
      </c>
      <c r="M418" t="n">
        <v>0</v>
      </c>
      <c r="N418" t="n">
        <v>0</v>
      </c>
      <c r="O418" t="n">
        <v>0</v>
      </c>
      <c r="P418" t="n">
        <v>0</v>
      </c>
      <c r="Q418" t="n">
        <v>0</v>
      </c>
      <c r="R418" s="2" t="inlineStr"/>
    </row>
    <row r="419" ht="15" customHeight="1">
      <c r="A419" t="inlineStr">
        <is>
          <t>A 12414-2023</t>
        </is>
      </c>
      <c r="B419" s="1" t="n">
        <v>44999</v>
      </c>
      <c r="C419" s="1" t="n">
        <v>45508</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12857-2023</t>
        </is>
      </c>
      <c r="B420" s="1" t="n">
        <v>45001</v>
      </c>
      <c r="C420" s="1" t="n">
        <v>45508</v>
      </c>
      <c r="D420" t="inlineStr">
        <is>
          <t>DALARNAS LÄN</t>
        </is>
      </c>
      <c r="E420" t="inlineStr">
        <is>
          <t>LEKSAND</t>
        </is>
      </c>
      <c r="G420" t="n">
        <v>0.2</v>
      </c>
      <c r="H420" t="n">
        <v>0</v>
      </c>
      <c r="I420" t="n">
        <v>0</v>
      </c>
      <c r="J420" t="n">
        <v>0</v>
      </c>
      <c r="K420" t="n">
        <v>0</v>
      </c>
      <c r="L420" t="n">
        <v>0</v>
      </c>
      <c r="M420" t="n">
        <v>0</v>
      </c>
      <c r="N420" t="n">
        <v>0</v>
      </c>
      <c r="O420" t="n">
        <v>0</v>
      </c>
      <c r="P420" t="n">
        <v>0</v>
      </c>
      <c r="Q420" t="n">
        <v>0</v>
      </c>
      <c r="R420" s="2" t="inlineStr"/>
    </row>
    <row r="421" ht="15" customHeight="1">
      <c r="A421" t="inlineStr">
        <is>
          <t>A 12851-2023</t>
        </is>
      </c>
      <c r="B421" s="1" t="n">
        <v>45001</v>
      </c>
      <c r="C421" s="1" t="n">
        <v>45508</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13024-2023</t>
        </is>
      </c>
      <c r="B422" s="1" t="n">
        <v>45001</v>
      </c>
      <c r="C422" s="1" t="n">
        <v>45508</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13063-2023</t>
        </is>
      </c>
      <c r="B423" s="1" t="n">
        <v>45001</v>
      </c>
      <c r="C423" s="1" t="n">
        <v>45508</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13027-2023</t>
        </is>
      </c>
      <c r="B424" s="1" t="n">
        <v>45001</v>
      </c>
      <c r="C424" s="1" t="n">
        <v>45508</v>
      </c>
      <c r="D424" t="inlineStr">
        <is>
          <t>DALARNAS LÄN</t>
        </is>
      </c>
      <c r="E424" t="inlineStr">
        <is>
          <t>LEKSAND</t>
        </is>
      </c>
      <c r="G424" t="n">
        <v>2.8</v>
      </c>
      <c r="H424" t="n">
        <v>0</v>
      </c>
      <c r="I424" t="n">
        <v>0</v>
      </c>
      <c r="J424" t="n">
        <v>0</v>
      </c>
      <c r="K424" t="n">
        <v>0</v>
      </c>
      <c r="L424" t="n">
        <v>0</v>
      </c>
      <c r="M424" t="n">
        <v>0</v>
      </c>
      <c r="N424" t="n">
        <v>0</v>
      </c>
      <c r="O424" t="n">
        <v>0</v>
      </c>
      <c r="P424" t="n">
        <v>0</v>
      </c>
      <c r="Q424" t="n">
        <v>0</v>
      </c>
      <c r="R424" s="2" t="inlineStr"/>
    </row>
    <row r="425" ht="15" customHeight="1">
      <c r="A425" t="inlineStr">
        <is>
          <t>A 13079-2023</t>
        </is>
      </c>
      <c r="B425" s="1" t="n">
        <v>45001</v>
      </c>
      <c r="C425" s="1" t="n">
        <v>45508</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13165-2023</t>
        </is>
      </c>
      <c r="B426" s="1" t="n">
        <v>45002</v>
      </c>
      <c r="C426" s="1" t="n">
        <v>45508</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13288-2023</t>
        </is>
      </c>
      <c r="B427" s="1" t="n">
        <v>45004</v>
      </c>
      <c r="C427" s="1" t="n">
        <v>45508</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13397-2023</t>
        </is>
      </c>
      <c r="B428" s="1" t="n">
        <v>45005</v>
      </c>
      <c r="C428" s="1" t="n">
        <v>45508</v>
      </c>
      <c r="D428" t="inlineStr">
        <is>
          <t>DALARNAS LÄN</t>
        </is>
      </c>
      <c r="E428" t="inlineStr">
        <is>
          <t>LEKSAND</t>
        </is>
      </c>
      <c r="G428" t="n">
        <v>2.6</v>
      </c>
      <c r="H428" t="n">
        <v>0</v>
      </c>
      <c r="I428" t="n">
        <v>0</v>
      </c>
      <c r="J428" t="n">
        <v>0</v>
      </c>
      <c r="K428" t="n">
        <v>0</v>
      </c>
      <c r="L428" t="n">
        <v>0</v>
      </c>
      <c r="M428" t="n">
        <v>0</v>
      </c>
      <c r="N428" t="n">
        <v>0</v>
      </c>
      <c r="O428" t="n">
        <v>0</v>
      </c>
      <c r="P428" t="n">
        <v>0</v>
      </c>
      <c r="Q428" t="n">
        <v>0</v>
      </c>
      <c r="R428" s="2" t="inlineStr"/>
    </row>
    <row r="429" ht="15" customHeight="1">
      <c r="A429" t="inlineStr">
        <is>
          <t>A 13401-2023</t>
        </is>
      </c>
      <c r="B429" s="1" t="n">
        <v>45005</v>
      </c>
      <c r="C429" s="1" t="n">
        <v>45508</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13376-2023</t>
        </is>
      </c>
      <c r="B430" s="1" t="n">
        <v>45005</v>
      </c>
      <c r="C430" s="1" t="n">
        <v>45508</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13760-2023</t>
        </is>
      </c>
      <c r="B431" s="1" t="n">
        <v>45007</v>
      </c>
      <c r="C431" s="1" t="n">
        <v>45508</v>
      </c>
      <c r="D431" t="inlineStr">
        <is>
          <t>DALARNAS LÄN</t>
        </is>
      </c>
      <c r="E431" t="inlineStr">
        <is>
          <t>LEKSAND</t>
        </is>
      </c>
      <c r="G431" t="n">
        <v>7.9</v>
      </c>
      <c r="H431" t="n">
        <v>0</v>
      </c>
      <c r="I431" t="n">
        <v>0</v>
      </c>
      <c r="J431" t="n">
        <v>0</v>
      </c>
      <c r="K431" t="n">
        <v>0</v>
      </c>
      <c r="L431" t="n">
        <v>0</v>
      </c>
      <c r="M431" t="n">
        <v>0</v>
      </c>
      <c r="N431" t="n">
        <v>0</v>
      </c>
      <c r="O431" t="n">
        <v>0</v>
      </c>
      <c r="P431" t="n">
        <v>0</v>
      </c>
      <c r="Q431" t="n">
        <v>0</v>
      </c>
      <c r="R431" s="2" t="inlineStr"/>
    </row>
    <row r="432" ht="15" customHeight="1">
      <c r="A432" t="inlineStr">
        <is>
          <t>A 14339-2023</t>
        </is>
      </c>
      <c r="B432" s="1" t="n">
        <v>45012</v>
      </c>
      <c r="C432" s="1" t="n">
        <v>45508</v>
      </c>
      <c r="D432" t="inlineStr">
        <is>
          <t>DALARNAS LÄN</t>
        </is>
      </c>
      <c r="E432" t="inlineStr">
        <is>
          <t>LEKSAND</t>
        </is>
      </c>
      <c r="G432" t="n">
        <v>5.3</v>
      </c>
      <c r="H432" t="n">
        <v>0</v>
      </c>
      <c r="I432" t="n">
        <v>0</v>
      </c>
      <c r="J432" t="n">
        <v>0</v>
      </c>
      <c r="K432" t="n">
        <v>0</v>
      </c>
      <c r="L432" t="n">
        <v>0</v>
      </c>
      <c r="M432" t="n">
        <v>0</v>
      </c>
      <c r="N432" t="n">
        <v>0</v>
      </c>
      <c r="O432" t="n">
        <v>0</v>
      </c>
      <c r="P432" t="n">
        <v>0</v>
      </c>
      <c r="Q432" t="n">
        <v>0</v>
      </c>
      <c r="R432" s="2" t="inlineStr"/>
    </row>
    <row r="433" ht="15" customHeight="1">
      <c r="A433" t="inlineStr">
        <is>
          <t>A 14558-2023</t>
        </is>
      </c>
      <c r="B433" s="1" t="n">
        <v>45013</v>
      </c>
      <c r="C433" s="1" t="n">
        <v>45508</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14809-2023</t>
        </is>
      </c>
      <c r="B434" s="1" t="n">
        <v>45014</v>
      </c>
      <c r="C434" s="1" t="n">
        <v>45508</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45508</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14967-2023</t>
        </is>
      </c>
      <c r="B436" s="1" t="n">
        <v>45015</v>
      </c>
      <c r="C436" s="1" t="n">
        <v>45508</v>
      </c>
      <c r="D436" t="inlineStr">
        <is>
          <t>DALARNAS LÄN</t>
        </is>
      </c>
      <c r="E436" t="inlineStr">
        <is>
          <t>LEKSAND</t>
        </is>
      </c>
      <c r="G436" t="n">
        <v>1.4</v>
      </c>
      <c r="H436" t="n">
        <v>0</v>
      </c>
      <c r="I436" t="n">
        <v>0</v>
      </c>
      <c r="J436" t="n">
        <v>0</v>
      </c>
      <c r="K436" t="n">
        <v>0</v>
      </c>
      <c r="L436" t="n">
        <v>0</v>
      </c>
      <c r="M436" t="n">
        <v>0</v>
      </c>
      <c r="N436" t="n">
        <v>0</v>
      </c>
      <c r="O436" t="n">
        <v>0</v>
      </c>
      <c r="P436" t="n">
        <v>0</v>
      </c>
      <c r="Q436" t="n">
        <v>0</v>
      </c>
      <c r="R436" s="2" t="inlineStr"/>
    </row>
    <row r="437" ht="15" customHeight="1">
      <c r="A437" t="inlineStr">
        <is>
          <t>A 15020-2023</t>
        </is>
      </c>
      <c r="B437" s="1" t="n">
        <v>45015</v>
      </c>
      <c r="C437" s="1" t="n">
        <v>45508</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15025-2023</t>
        </is>
      </c>
      <c r="B438" s="1" t="n">
        <v>45015</v>
      </c>
      <c r="C438" s="1" t="n">
        <v>45508</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15120-2023</t>
        </is>
      </c>
      <c r="B439" s="1" t="n">
        <v>45016</v>
      </c>
      <c r="C439" s="1" t="n">
        <v>45508</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15261-2023</t>
        </is>
      </c>
      <c r="B440" s="1" t="n">
        <v>45019</v>
      </c>
      <c r="C440" s="1" t="n">
        <v>45508</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15271-2023</t>
        </is>
      </c>
      <c r="B441" s="1" t="n">
        <v>45019</v>
      </c>
      <c r="C441" s="1" t="n">
        <v>45508</v>
      </c>
      <c r="D441" t="inlineStr">
        <is>
          <t>DALARNAS LÄN</t>
        </is>
      </c>
      <c r="E441" t="inlineStr">
        <is>
          <t>LEKSAND</t>
        </is>
      </c>
      <c r="G441" t="n">
        <v>5.5</v>
      </c>
      <c r="H441" t="n">
        <v>0</v>
      </c>
      <c r="I441" t="n">
        <v>0</v>
      </c>
      <c r="J441" t="n">
        <v>0</v>
      </c>
      <c r="K441" t="n">
        <v>0</v>
      </c>
      <c r="L441" t="n">
        <v>0</v>
      </c>
      <c r="M441" t="n">
        <v>0</v>
      </c>
      <c r="N441" t="n">
        <v>0</v>
      </c>
      <c r="O441" t="n">
        <v>0</v>
      </c>
      <c r="P441" t="n">
        <v>0</v>
      </c>
      <c r="Q441" t="n">
        <v>0</v>
      </c>
      <c r="R441" s="2" t="inlineStr"/>
    </row>
    <row r="442" ht="15" customHeight="1">
      <c r="A442" t="inlineStr">
        <is>
          <t>A 15435-2023</t>
        </is>
      </c>
      <c r="B442" s="1" t="n">
        <v>45020</v>
      </c>
      <c r="C442" s="1" t="n">
        <v>45508</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15436-2023</t>
        </is>
      </c>
      <c r="B443" s="1" t="n">
        <v>45020</v>
      </c>
      <c r="C443" s="1" t="n">
        <v>45508</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15433-2023</t>
        </is>
      </c>
      <c r="B444" s="1" t="n">
        <v>45020</v>
      </c>
      <c r="C444" s="1" t="n">
        <v>45508</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15882-2023</t>
        </is>
      </c>
      <c r="B445" s="1" t="n">
        <v>45022</v>
      </c>
      <c r="C445" s="1" t="n">
        <v>45508</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16051-2023</t>
        </is>
      </c>
      <c r="B446" s="1" t="n">
        <v>45027</v>
      </c>
      <c r="C446" s="1" t="n">
        <v>45508</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16139-2023</t>
        </is>
      </c>
      <c r="B447" s="1" t="n">
        <v>45027</v>
      </c>
      <c r="C447" s="1" t="n">
        <v>45508</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16143-2023</t>
        </is>
      </c>
      <c r="B448" s="1" t="n">
        <v>45027</v>
      </c>
      <c r="C448" s="1" t="n">
        <v>45508</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16137-2023</t>
        </is>
      </c>
      <c r="B449" s="1" t="n">
        <v>45027</v>
      </c>
      <c r="C449" s="1" t="n">
        <v>45508</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16135-2023</t>
        </is>
      </c>
      <c r="B450" s="1" t="n">
        <v>45027</v>
      </c>
      <c r="C450" s="1" t="n">
        <v>45508</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16333-2023</t>
        </is>
      </c>
      <c r="B451" s="1" t="n">
        <v>45028</v>
      </c>
      <c r="C451" s="1" t="n">
        <v>45508</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16332-2023</t>
        </is>
      </c>
      <c r="B452" s="1" t="n">
        <v>45028</v>
      </c>
      <c r="C452" s="1" t="n">
        <v>45508</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16592-2023</t>
        </is>
      </c>
      <c r="B453" s="1" t="n">
        <v>45030</v>
      </c>
      <c r="C453" s="1" t="n">
        <v>45508</v>
      </c>
      <c r="D453" t="inlineStr">
        <is>
          <t>DALARNAS LÄN</t>
        </is>
      </c>
      <c r="E453" t="inlineStr">
        <is>
          <t>LEKSAND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16818-2023</t>
        </is>
      </c>
      <c r="B454" s="1" t="n">
        <v>45033</v>
      </c>
      <c r="C454" s="1" t="n">
        <v>45508</v>
      </c>
      <c r="D454" t="inlineStr">
        <is>
          <t>DALARNAS LÄN</t>
        </is>
      </c>
      <c r="E454" t="inlineStr">
        <is>
          <t>LEKSAND</t>
        </is>
      </c>
      <c r="F454" t="inlineStr">
        <is>
          <t>Övriga statliga verk och myndigheter</t>
        </is>
      </c>
      <c r="G454" t="n">
        <v>1.3</v>
      </c>
      <c r="H454" t="n">
        <v>0</v>
      </c>
      <c r="I454" t="n">
        <v>0</v>
      </c>
      <c r="J454" t="n">
        <v>0</v>
      </c>
      <c r="K454" t="n">
        <v>0</v>
      </c>
      <c r="L454" t="n">
        <v>0</v>
      </c>
      <c r="M454" t="n">
        <v>0</v>
      </c>
      <c r="N454" t="n">
        <v>0</v>
      </c>
      <c r="O454" t="n">
        <v>0</v>
      </c>
      <c r="P454" t="n">
        <v>0</v>
      </c>
      <c r="Q454" t="n">
        <v>0</v>
      </c>
      <c r="R454" s="2" t="inlineStr"/>
    </row>
    <row r="455" ht="15" customHeight="1">
      <c r="A455" t="inlineStr">
        <is>
          <t>A 16882-2023</t>
        </is>
      </c>
      <c r="B455" s="1" t="n">
        <v>45033</v>
      </c>
      <c r="C455" s="1" t="n">
        <v>45508</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16926-2023</t>
        </is>
      </c>
      <c r="B456" s="1" t="n">
        <v>45033</v>
      </c>
      <c r="C456" s="1" t="n">
        <v>45508</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17078-2023</t>
        </is>
      </c>
      <c r="B457" s="1" t="n">
        <v>45034</v>
      </c>
      <c r="C457" s="1" t="n">
        <v>45508</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17070-2023</t>
        </is>
      </c>
      <c r="B458" s="1" t="n">
        <v>45034</v>
      </c>
      <c r="C458" s="1" t="n">
        <v>45508</v>
      </c>
      <c r="D458" t="inlineStr">
        <is>
          <t>DALARNAS LÄN</t>
        </is>
      </c>
      <c r="E458" t="inlineStr">
        <is>
          <t>LEKSAND</t>
        </is>
      </c>
      <c r="G458" t="n">
        <v>5.9</v>
      </c>
      <c r="H458" t="n">
        <v>0</v>
      </c>
      <c r="I458" t="n">
        <v>0</v>
      </c>
      <c r="J458" t="n">
        <v>0</v>
      </c>
      <c r="K458" t="n">
        <v>0</v>
      </c>
      <c r="L458" t="n">
        <v>0</v>
      </c>
      <c r="M458" t="n">
        <v>0</v>
      </c>
      <c r="N458" t="n">
        <v>0</v>
      </c>
      <c r="O458" t="n">
        <v>0</v>
      </c>
      <c r="P458" t="n">
        <v>0</v>
      </c>
      <c r="Q458" t="n">
        <v>0</v>
      </c>
      <c r="R458" s="2" t="inlineStr"/>
    </row>
    <row r="459" ht="15" customHeight="1">
      <c r="A459" t="inlineStr">
        <is>
          <t>A 17076-2023</t>
        </is>
      </c>
      <c r="B459" s="1" t="n">
        <v>45034</v>
      </c>
      <c r="C459" s="1" t="n">
        <v>45508</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17072-2023</t>
        </is>
      </c>
      <c r="B460" s="1" t="n">
        <v>45034</v>
      </c>
      <c r="C460" s="1" t="n">
        <v>45508</v>
      </c>
      <c r="D460" t="inlineStr">
        <is>
          <t>DALARNAS LÄN</t>
        </is>
      </c>
      <c r="E460" t="inlineStr">
        <is>
          <t>LEKSAND</t>
        </is>
      </c>
      <c r="G460" t="n">
        <v>5.3</v>
      </c>
      <c r="H460" t="n">
        <v>0</v>
      </c>
      <c r="I460" t="n">
        <v>0</v>
      </c>
      <c r="J460" t="n">
        <v>0</v>
      </c>
      <c r="K460" t="n">
        <v>0</v>
      </c>
      <c r="L460" t="n">
        <v>0</v>
      </c>
      <c r="M460" t="n">
        <v>0</v>
      </c>
      <c r="N460" t="n">
        <v>0</v>
      </c>
      <c r="O460" t="n">
        <v>0</v>
      </c>
      <c r="P460" t="n">
        <v>0</v>
      </c>
      <c r="Q460" t="n">
        <v>0</v>
      </c>
      <c r="R460" s="2" t="inlineStr"/>
    </row>
    <row r="461" ht="15" customHeight="1">
      <c r="A461" t="inlineStr">
        <is>
          <t>A 17084-2023</t>
        </is>
      </c>
      <c r="B461" s="1" t="n">
        <v>45034</v>
      </c>
      <c r="C461" s="1" t="n">
        <v>45508</v>
      </c>
      <c r="D461" t="inlineStr">
        <is>
          <t>DALARNAS LÄN</t>
        </is>
      </c>
      <c r="E461" t="inlineStr">
        <is>
          <t>LEKSAND</t>
        </is>
      </c>
      <c r="G461" t="n">
        <v>3.1</v>
      </c>
      <c r="H461" t="n">
        <v>0</v>
      </c>
      <c r="I461" t="n">
        <v>0</v>
      </c>
      <c r="J461" t="n">
        <v>0</v>
      </c>
      <c r="K461" t="n">
        <v>0</v>
      </c>
      <c r="L461" t="n">
        <v>0</v>
      </c>
      <c r="M461" t="n">
        <v>0</v>
      </c>
      <c r="N461" t="n">
        <v>0</v>
      </c>
      <c r="O461" t="n">
        <v>0</v>
      </c>
      <c r="P461" t="n">
        <v>0</v>
      </c>
      <c r="Q461" t="n">
        <v>0</v>
      </c>
      <c r="R461" s="2" t="inlineStr"/>
    </row>
    <row r="462" ht="15" customHeight="1">
      <c r="A462" t="inlineStr">
        <is>
          <t>A 17089-2023</t>
        </is>
      </c>
      <c r="B462" s="1" t="n">
        <v>45034</v>
      </c>
      <c r="C462" s="1" t="n">
        <v>45508</v>
      </c>
      <c r="D462" t="inlineStr">
        <is>
          <t>DALARNAS LÄN</t>
        </is>
      </c>
      <c r="E462" t="inlineStr">
        <is>
          <t>LEKSAND</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17233-2023</t>
        </is>
      </c>
      <c r="B463" s="1" t="n">
        <v>45035</v>
      </c>
      <c r="C463" s="1" t="n">
        <v>45508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17231-2023</t>
        </is>
      </c>
      <c r="B464" s="1" t="n">
        <v>45035</v>
      </c>
      <c r="C464" s="1" t="n">
        <v>45508</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17331-2023</t>
        </is>
      </c>
      <c r="B465" s="1" t="n">
        <v>45035</v>
      </c>
      <c r="C465" s="1" t="n">
        <v>45508</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17413-2023</t>
        </is>
      </c>
      <c r="B466" s="1" t="n">
        <v>45035</v>
      </c>
      <c r="C466" s="1" t="n">
        <v>45508</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17533-2023</t>
        </is>
      </c>
      <c r="B467" s="1" t="n">
        <v>45036</v>
      </c>
      <c r="C467" s="1" t="n">
        <v>45508</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17759-2023</t>
        </is>
      </c>
      <c r="B468" s="1" t="n">
        <v>45037</v>
      </c>
      <c r="C468" s="1" t="n">
        <v>45508</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17947-2023</t>
        </is>
      </c>
      <c r="B469" s="1" t="n">
        <v>45040</v>
      </c>
      <c r="C469" s="1" t="n">
        <v>45508</v>
      </c>
      <c r="D469" t="inlineStr">
        <is>
          <t>DALARNAS LÄN</t>
        </is>
      </c>
      <c r="E469" t="inlineStr">
        <is>
          <t>LEKSAND</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18351-2023</t>
        </is>
      </c>
      <c r="B470" s="1" t="n">
        <v>45041</v>
      </c>
      <c r="C470" s="1" t="n">
        <v>45508</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18383-2023</t>
        </is>
      </c>
      <c r="B471" s="1" t="n">
        <v>45042</v>
      </c>
      <c r="C471" s="1" t="n">
        <v>45508</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18407-2023</t>
        </is>
      </c>
      <c r="B472" s="1" t="n">
        <v>45042</v>
      </c>
      <c r="C472" s="1" t="n">
        <v>45508</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18677-2023</t>
        </is>
      </c>
      <c r="B473" s="1" t="n">
        <v>45043</v>
      </c>
      <c r="C473" s="1" t="n">
        <v>45508</v>
      </c>
      <c r="D473" t="inlineStr">
        <is>
          <t>DALARNAS LÄN</t>
        </is>
      </c>
      <c r="E473" t="inlineStr">
        <is>
          <t>LEKSAND</t>
        </is>
      </c>
      <c r="G473" t="n">
        <v>2.2</v>
      </c>
      <c r="H473" t="n">
        <v>0</v>
      </c>
      <c r="I473" t="n">
        <v>0</v>
      </c>
      <c r="J473" t="n">
        <v>0</v>
      </c>
      <c r="K473" t="n">
        <v>0</v>
      </c>
      <c r="L473" t="n">
        <v>0</v>
      </c>
      <c r="M473" t="n">
        <v>0</v>
      </c>
      <c r="N473" t="n">
        <v>0</v>
      </c>
      <c r="O473" t="n">
        <v>0</v>
      </c>
      <c r="P473" t="n">
        <v>0</v>
      </c>
      <c r="Q473" t="n">
        <v>0</v>
      </c>
      <c r="R473" s="2" t="inlineStr"/>
    </row>
    <row r="474" ht="15" customHeight="1">
      <c r="A474" t="inlineStr">
        <is>
          <t>A 18632-2023</t>
        </is>
      </c>
      <c r="B474" s="1" t="n">
        <v>45043</v>
      </c>
      <c r="C474" s="1" t="n">
        <v>45508</v>
      </c>
      <c r="D474" t="inlineStr">
        <is>
          <t>DALARNAS LÄN</t>
        </is>
      </c>
      <c r="E474" t="inlineStr">
        <is>
          <t>LEKSAND</t>
        </is>
      </c>
      <c r="G474" t="n">
        <v>6.8</v>
      </c>
      <c r="H474" t="n">
        <v>0</v>
      </c>
      <c r="I474" t="n">
        <v>0</v>
      </c>
      <c r="J474" t="n">
        <v>0</v>
      </c>
      <c r="K474" t="n">
        <v>0</v>
      </c>
      <c r="L474" t="n">
        <v>0</v>
      </c>
      <c r="M474" t="n">
        <v>0</v>
      </c>
      <c r="N474" t="n">
        <v>0</v>
      </c>
      <c r="O474" t="n">
        <v>0</v>
      </c>
      <c r="P474" t="n">
        <v>0</v>
      </c>
      <c r="Q474" t="n">
        <v>0</v>
      </c>
      <c r="R474" s="2" t="inlineStr"/>
    </row>
    <row r="475" ht="15" customHeight="1">
      <c r="A475" t="inlineStr">
        <is>
          <t>A 18666-2023</t>
        </is>
      </c>
      <c r="B475" s="1" t="n">
        <v>45043</v>
      </c>
      <c r="C475" s="1" t="n">
        <v>45508</v>
      </c>
      <c r="D475" t="inlineStr">
        <is>
          <t>DALARNAS LÄN</t>
        </is>
      </c>
      <c r="E475" t="inlineStr">
        <is>
          <t>LEKSAND</t>
        </is>
      </c>
      <c r="G475" t="n">
        <v>3.3</v>
      </c>
      <c r="H475" t="n">
        <v>0</v>
      </c>
      <c r="I475" t="n">
        <v>0</v>
      </c>
      <c r="J475" t="n">
        <v>0</v>
      </c>
      <c r="K475" t="n">
        <v>0</v>
      </c>
      <c r="L475" t="n">
        <v>0</v>
      </c>
      <c r="M475" t="n">
        <v>0</v>
      </c>
      <c r="N475" t="n">
        <v>0</v>
      </c>
      <c r="O475" t="n">
        <v>0</v>
      </c>
      <c r="P475" t="n">
        <v>0</v>
      </c>
      <c r="Q475" t="n">
        <v>0</v>
      </c>
      <c r="R475" s="2" t="inlineStr"/>
    </row>
    <row r="476" ht="15" customHeight="1">
      <c r="A476" t="inlineStr">
        <is>
          <t>A 18909-2023</t>
        </is>
      </c>
      <c r="B476" s="1" t="n">
        <v>45044</v>
      </c>
      <c r="C476" s="1" t="n">
        <v>45508</v>
      </c>
      <c r="D476" t="inlineStr">
        <is>
          <t>DALARNAS LÄN</t>
        </is>
      </c>
      <c r="E476" t="inlineStr">
        <is>
          <t>LEKSAND</t>
        </is>
      </c>
      <c r="G476" t="n">
        <v>10.7</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v>
      </c>
      <c r="C477" s="1" t="n">
        <v>45508</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19103-2023</t>
        </is>
      </c>
      <c r="B478" s="1" t="n">
        <v>45048</v>
      </c>
      <c r="C478" s="1" t="n">
        <v>45508</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19316-2023</t>
        </is>
      </c>
      <c r="B479" s="1" t="n">
        <v>45049</v>
      </c>
      <c r="C479" s="1" t="n">
        <v>45508</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19331-2023</t>
        </is>
      </c>
      <c r="B480" s="1" t="n">
        <v>45049</v>
      </c>
      <c r="C480" s="1" t="n">
        <v>45508</v>
      </c>
      <c r="D480" t="inlineStr">
        <is>
          <t>DALARNAS LÄN</t>
        </is>
      </c>
      <c r="E480" t="inlineStr">
        <is>
          <t>LEKSAND</t>
        </is>
      </c>
      <c r="G480" t="n">
        <v>2.3</v>
      </c>
      <c r="H480" t="n">
        <v>0</v>
      </c>
      <c r="I480" t="n">
        <v>0</v>
      </c>
      <c r="J480" t="n">
        <v>0</v>
      </c>
      <c r="K480" t="n">
        <v>0</v>
      </c>
      <c r="L480" t="n">
        <v>0</v>
      </c>
      <c r="M480" t="n">
        <v>0</v>
      </c>
      <c r="N480" t="n">
        <v>0</v>
      </c>
      <c r="O480" t="n">
        <v>0</v>
      </c>
      <c r="P480" t="n">
        <v>0</v>
      </c>
      <c r="Q480" t="n">
        <v>0</v>
      </c>
      <c r="R480" s="2" t="inlineStr"/>
    </row>
    <row r="481" ht="15" customHeight="1">
      <c r="A481" t="inlineStr">
        <is>
          <t>A 19550-2023</t>
        </is>
      </c>
      <c r="B481" s="1" t="n">
        <v>45049</v>
      </c>
      <c r="C481" s="1" t="n">
        <v>45508</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19590-2023</t>
        </is>
      </c>
      <c r="B482" s="1" t="n">
        <v>45049</v>
      </c>
      <c r="C482" s="1" t="n">
        <v>45508</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19559-2023</t>
        </is>
      </c>
      <c r="B483" s="1" t="n">
        <v>45050</v>
      </c>
      <c r="C483" s="1" t="n">
        <v>45508</v>
      </c>
      <c r="D483" t="inlineStr">
        <is>
          <t>DALARNAS LÄN</t>
        </is>
      </c>
      <c r="E483" t="inlineStr">
        <is>
          <t>LEKSAND</t>
        </is>
      </c>
      <c r="G483" t="n">
        <v>0.1</v>
      </c>
      <c r="H483" t="n">
        <v>0</v>
      </c>
      <c r="I483" t="n">
        <v>0</v>
      </c>
      <c r="J483" t="n">
        <v>0</v>
      </c>
      <c r="K483" t="n">
        <v>0</v>
      </c>
      <c r="L483" t="n">
        <v>0</v>
      </c>
      <c r="M483" t="n">
        <v>0</v>
      </c>
      <c r="N483" t="n">
        <v>0</v>
      </c>
      <c r="O483" t="n">
        <v>0</v>
      </c>
      <c r="P483" t="n">
        <v>0</v>
      </c>
      <c r="Q483" t="n">
        <v>0</v>
      </c>
      <c r="R483" s="2" t="inlineStr"/>
    </row>
    <row r="484" ht="15" customHeight="1">
      <c r="A484" t="inlineStr">
        <is>
          <t>A 19689-2023</t>
        </is>
      </c>
      <c r="B484" s="1" t="n">
        <v>45051</v>
      </c>
      <c r="C484" s="1" t="n">
        <v>45508</v>
      </c>
      <c r="D484" t="inlineStr">
        <is>
          <t>DALARNAS LÄN</t>
        </is>
      </c>
      <c r="E484" t="inlineStr">
        <is>
          <t>LEKSAND</t>
        </is>
      </c>
      <c r="G484" t="n">
        <v>15.9</v>
      </c>
      <c r="H484" t="n">
        <v>0</v>
      </c>
      <c r="I484" t="n">
        <v>0</v>
      </c>
      <c r="J484" t="n">
        <v>0</v>
      </c>
      <c r="K484" t="n">
        <v>0</v>
      </c>
      <c r="L484" t="n">
        <v>0</v>
      </c>
      <c r="M484" t="n">
        <v>0</v>
      </c>
      <c r="N484" t="n">
        <v>0</v>
      </c>
      <c r="O484" t="n">
        <v>0</v>
      </c>
      <c r="P484" t="n">
        <v>0</v>
      </c>
      <c r="Q484" t="n">
        <v>0</v>
      </c>
      <c r="R484" s="2" t="inlineStr"/>
    </row>
    <row r="485" ht="15" customHeight="1">
      <c r="A485" t="inlineStr">
        <is>
          <t>A 20150-2023</t>
        </is>
      </c>
      <c r="B485" s="1" t="n">
        <v>45051</v>
      </c>
      <c r="C485" s="1" t="n">
        <v>45508</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20514-2023</t>
        </is>
      </c>
      <c r="B486" s="1" t="n">
        <v>45054</v>
      </c>
      <c r="C486" s="1" t="n">
        <v>45508</v>
      </c>
      <c r="D486" t="inlineStr">
        <is>
          <t>DALARNAS LÄN</t>
        </is>
      </c>
      <c r="E486" t="inlineStr">
        <is>
          <t>LEKSAND</t>
        </is>
      </c>
      <c r="G486" t="n">
        <v>3.2</v>
      </c>
      <c r="H486" t="n">
        <v>0</v>
      </c>
      <c r="I486" t="n">
        <v>0</v>
      </c>
      <c r="J486" t="n">
        <v>0</v>
      </c>
      <c r="K486" t="n">
        <v>0</v>
      </c>
      <c r="L486" t="n">
        <v>0</v>
      </c>
      <c r="M486" t="n">
        <v>0</v>
      </c>
      <c r="N486" t="n">
        <v>0</v>
      </c>
      <c r="O486" t="n">
        <v>0</v>
      </c>
      <c r="P486" t="n">
        <v>0</v>
      </c>
      <c r="Q486" t="n">
        <v>0</v>
      </c>
      <c r="R486" s="2" t="inlineStr"/>
    </row>
    <row r="487" ht="15" customHeight="1">
      <c r="A487" t="inlineStr">
        <is>
          <t>A 20222-2023</t>
        </is>
      </c>
      <c r="B487" s="1" t="n">
        <v>45055</v>
      </c>
      <c r="C487" s="1" t="n">
        <v>45508</v>
      </c>
      <c r="D487" t="inlineStr">
        <is>
          <t>DALARNAS LÄN</t>
        </is>
      </c>
      <c r="E487" t="inlineStr">
        <is>
          <t>LEKSAND</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20114-2023</t>
        </is>
      </c>
      <c r="B488" s="1" t="n">
        <v>45055</v>
      </c>
      <c r="C488" s="1" t="n">
        <v>45508</v>
      </c>
      <c r="D488" t="inlineStr">
        <is>
          <t>DALARNAS LÄN</t>
        </is>
      </c>
      <c r="E488" t="inlineStr">
        <is>
          <t>LEKSAND</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20936-2023</t>
        </is>
      </c>
      <c r="B489" s="1" t="n">
        <v>45061</v>
      </c>
      <c r="C489" s="1" t="n">
        <v>45508</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20946-2023</t>
        </is>
      </c>
      <c r="B490" s="1" t="n">
        <v>45061</v>
      </c>
      <c r="C490" s="1" t="n">
        <v>45508</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21402-2023</t>
        </is>
      </c>
      <c r="B491" s="1" t="n">
        <v>45061</v>
      </c>
      <c r="C491" s="1" t="n">
        <v>45508</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21299-2023</t>
        </is>
      </c>
      <c r="B492" s="1" t="n">
        <v>45062</v>
      </c>
      <c r="C492" s="1" t="n">
        <v>45508</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21817-2023</t>
        </is>
      </c>
      <c r="B493" s="1" t="n">
        <v>45068</v>
      </c>
      <c r="C493" s="1" t="n">
        <v>45508</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21910-2023</t>
        </is>
      </c>
      <c r="B494" s="1" t="n">
        <v>45068</v>
      </c>
      <c r="C494" s="1" t="n">
        <v>45508</v>
      </c>
      <c r="D494" t="inlineStr">
        <is>
          <t>DALARNAS LÄN</t>
        </is>
      </c>
      <c r="E494" t="inlineStr">
        <is>
          <t>LEKSAND</t>
        </is>
      </c>
      <c r="F494" t="inlineStr">
        <is>
          <t>Bergvik skog väst AB</t>
        </is>
      </c>
      <c r="G494" t="n">
        <v>9.4</v>
      </c>
      <c r="H494" t="n">
        <v>0</v>
      </c>
      <c r="I494" t="n">
        <v>0</v>
      </c>
      <c r="J494" t="n">
        <v>0</v>
      </c>
      <c r="K494" t="n">
        <v>0</v>
      </c>
      <c r="L494" t="n">
        <v>0</v>
      </c>
      <c r="M494" t="n">
        <v>0</v>
      </c>
      <c r="N494" t="n">
        <v>0</v>
      </c>
      <c r="O494" t="n">
        <v>0</v>
      </c>
      <c r="P494" t="n">
        <v>0</v>
      </c>
      <c r="Q494" t="n">
        <v>0</v>
      </c>
      <c r="R494" s="2" t="inlineStr"/>
    </row>
    <row r="495" ht="15" customHeight="1">
      <c r="A495" t="inlineStr">
        <is>
          <t>A 21849-2023</t>
        </is>
      </c>
      <c r="B495" s="1" t="n">
        <v>45068</v>
      </c>
      <c r="C495" s="1" t="n">
        <v>45508</v>
      </c>
      <c r="D495" t="inlineStr">
        <is>
          <t>DALARNAS LÄN</t>
        </is>
      </c>
      <c r="E495" t="inlineStr">
        <is>
          <t>LEKSAND</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21954-2023</t>
        </is>
      </c>
      <c r="B496" s="1" t="n">
        <v>45068</v>
      </c>
      <c r="C496" s="1" t="n">
        <v>45508</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22196-2023</t>
        </is>
      </c>
      <c r="B497" s="1" t="n">
        <v>45069</v>
      </c>
      <c r="C497" s="1" t="n">
        <v>45508</v>
      </c>
      <c r="D497" t="inlineStr">
        <is>
          <t>DALARNAS LÄN</t>
        </is>
      </c>
      <c r="E497" t="inlineStr">
        <is>
          <t>LEKSAND</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22197-2023</t>
        </is>
      </c>
      <c r="B498" s="1" t="n">
        <v>45069</v>
      </c>
      <c r="C498" s="1" t="n">
        <v>45508</v>
      </c>
      <c r="D498" t="inlineStr">
        <is>
          <t>DALARNAS LÄN</t>
        </is>
      </c>
      <c r="E498" t="inlineStr">
        <is>
          <t>LEKSAND</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22570-2023</t>
        </is>
      </c>
      <c r="B499" s="1" t="n">
        <v>45071</v>
      </c>
      <c r="C499" s="1" t="n">
        <v>45508</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22684-2023</t>
        </is>
      </c>
      <c r="B500" s="1" t="n">
        <v>45071</v>
      </c>
      <c r="C500" s="1" t="n">
        <v>45508</v>
      </c>
      <c r="D500" t="inlineStr">
        <is>
          <t>DALARNAS LÄN</t>
        </is>
      </c>
      <c r="E500" t="inlineStr">
        <is>
          <t>LEKSAND</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23226-2023</t>
        </is>
      </c>
      <c r="B501" s="1" t="n">
        <v>45075</v>
      </c>
      <c r="C501" s="1" t="n">
        <v>45508</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23323-2023</t>
        </is>
      </c>
      <c r="B502" s="1" t="n">
        <v>45076</v>
      </c>
      <c r="C502" s="1" t="n">
        <v>45508</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23348-2023</t>
        </is>
      </c>
      <c r="B503" s="1" t="n">
        <v>45076</v>
      </c>
      <c r="C503" s="1" t="n">
        <v>45508</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23509-2023</t>
        </is>
      </c>
      <c r="B504" s="1" t="n">
        <v>45076</v>
      </c>
      <c r="C504" s="1" t="n">
        <v>45508</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23882-2023</t>
        </is>
      </c>
      <c r="B505" s="1" t="n">
        <v>45078</v>
      </c>
      <c r="C505" s="1" t="n">
        <v>45508</v>
      </c>
      <c r="D505" t="inlineStr">
        <is>
          <t>DALARNAS LÄN</t>
        </is>
      </c>
      <c r="E505" t="inlineStr">
        <is>
          <t>LEKSAND</t>
        </is>
      </c>
      <c r="F505" t="inlineStr">
        <is>
          <t>Bergvik skog väst AB</t>
        </is>
      </c>
      <c r="G505" t="n">
        <v>2.6</v>
      </c>
      <c r="H505" t="n">
        <v>0</v>
      </c>
      <c r="I505" t="n">
        <v>0</v>
      </c>
      <c r="J505" t="n">
        <v>0</v>
      </c>
      <c r="K505" t="n">
        <v>0</v>
      </c>
      <c r="L505" t="n">
        <v>0</v>
      </c>
      <c r="M505" t="n">
        <v>0</v>
      </c>
      <c r="N505" t="n">
        <v>0</v>
      </c>
      <c r="O505" t="n">
        <v>0</v>
      </c>
      <c r="P505" t="n">
        <v>0</v>
      </c>
      <c r="Q505" t="n">
        <v>0</v>
      </c>
      <c r="R505" s="2" t="inlineStr"/>
    </row>
    <row r="506" ht="15" customHeight="1">
      <c r="A506" t="inlineStr">
        <is>
          <t>A 23910-2023</t>
        </is>
      </c>
      <c r="B506" s="1" t="n">
        <v>45078</v>
      </c>
      <c r="C506" s="1" t="n">
        <v>45508</v>
      </c>
      <c r="D506" t="inlineStr">
        <is>
          <t>DALARNAS LÄN</t>
        </is>
      </c>
      <c r="E506" t="inlineStr">
        <is>
          <t>LEKSAND</t>
        </is>
      </c>
      <c r="G506" t="n">
        <v>3.8</v>
      </c>
      <c r="H506" t="n">
        <v>0</v>
      </c>
      <c r="I506" t="n">
        <v>0</v>
      </c>
      <c r="J506" t="n">
        <v>0</v>
      </c>
      <c r="K506" t="n">
        <v>0</v>
      </c>
      <c r="L506" t="n">
        <v>0</v>
      </c>
      <c r="M506" t="n">
        <v>0</v>
      </c>
      <c r="N506" t="n">
        <v>0</v>
      </c>
      <c r="O506" t="n">
        <v>0</v>
      </c>
      <c r="P506" t="n">
        <v>0</v>
      </c>
      <c r="Q506" t="n">
        <v>0</v>
      </c>
      <c r="R506" s="2" t="inlineStr"/>
    </row>
    <row r="507" ht="15" customHeight="1">
      <c r="A507" t="inlineStr">
        <is>
          <t>A 24728-2023</t>
        </is>
      </c>
      <c r="B507" s="1" t="n">
        <v>45084</v>
      </c>
      <c r="C507" s="1" t="n">
        <v>45508</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24823-2023</t>
        </is>
      </c>
      <c r="B508" s="1" t="n">
        <v>45084</v>
      </c>
      <c r="C508" s="1" t="n">
        <v>45508</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24814-2023</t>
        </is>
      </c>
      <c r="B509" s="1" t="n">
        <v>45084</v>
      </c>
      <c r="C509" s="1" t="n">
        <v>45508</v>
      </c>
      <c r="D509" t="inlineStr">
        <is>
          <t>DALARNAS LÄN</t>
        </is>
      </c>
      <c r="E509" t="inlineStr">
        <is>
          <t>LEKSAND</t>
        </is>
      </c>
      <c r="G509" t="n">
        <v>5.6</v>
      </c>
      <c r="H509" t="n">
        <v>0</v>
      </c>
      <c r="I509" t="n">
        <v>0</v>
      </c>
      <c r="J509" t="n">
        <v>0</v>
      </c>
      <c r="K509" t="n">
        <v>0</v>
      </c>
      <c r="L509" t="n">
        <v>0</v>
      </c>
      <c r="M509" t="n">
        <v>0</v>
      </c>
      <c r="N509" t="n">
        <v>0</v>
      </c>
      <c r="O509" t="n">
        <v>0</v>
      </c>
      <c r="P509" t="n">
        <v>0</v>
      </c>
      <c r="Q509" t="n">
        <v>0</v>
      </c>
      <c r="R509" s="2" t="inlineStr"/>
    </row>
    <row r="510" ht="15" customHeight="1">
      <c r="A510" t="inlineStr">
        <is>
          <t>A 25025-2023</t>
        </is>
      </c>
      <c r="B510" s="1" t="n">
        <v>45086</v>
      </c>
      <c r="C510" s="1" t="n">
        <v>45508</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25067-2023</t>
        </is>
      </c>
      <c r="B511" s="1" t="n">
        <v>45086</v>
      </c>
      <c r="C511" s="1" t="n">
        <v>45508</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25038-2023</t>
        </is>
      </c>
      <c r="B512" s="1" t="n">
        <v>45085</v>
      </c>
      <c r="C512" s="1" t="n">
        <v>45508</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25627-2023</t>
        </is>
      </c>
      <c r="B513" s="1" t="n">
        <v>45089</v>
      </c>
      <c r="C513" s="1" t="n">
        <v>45508</v>
      </c>
      <c r="D513" t="inlineStr">
        <is>
          <t>DALARNAS LÄN</t>
        </is>
      </c>
      <c r="E513" t="inlineStr">
        <is>
          <t>LEKSAND</t>
        </is>
      </c>
      <c r="F513" t="inlineStr">
        <is>
          <t>Bergvik skog väst AB</t>
        </is>
      </c>
      <c r="G513" t="n">
        <v>8.4</v>
      </c>
      <c r="H513" t="n">
        <v>0</v>
      </c>
      <c r="I513" t="n">
        <v>0</v>
      </c>
      <c r="J513" t="n">
        <v>0</v>
      </c>
      <c r="K513" t="n">
        <v>0</v>
      </c>
      <c r="L513" t="n">
        <v>0</v>
      </c>
      <c r="M513" t="n">
        <v>0</v>
      </c>
      <c r="N513" t="n">
        <v>0</v>
      </c>
      <c r="O513" t="n">
        <v>0</v>
      </c>
      <c r="P513" t="n">
        <v>0</v>
      </c>
      <c r="Q513" t="n">
        <v>0</v>
      </c>
      <c r="R513" s="2" t="inlineStr"/>
    </row>
    <row r="514" ht="15" customHeight="1">
      <c r="A514" t="inlineStr">
        <is>
          <t>A 25637-2023</t>
        </is>
      </c>
      <c r="B514" s="1" t="n">
        <v>45089</v>
      </c>
      <c r="C514" s="1" t="n">
        <v>45508</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25652-2023</t>
        </is>
      </c>
      <c r="B515" s="1" t="n">
        <v>45089</v>
      </c>
      <c r="C515" s="1" t="n">
        <v>45508</v>
      </c>
      <c r="D515" t="inlineStr">
        <is>
          <t>DALARNAS LÄN</t>
        </is>
      </c>
      <c r="E515" t="inlineStr">
        <is>
          <t>LEKSAND</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25715-2023</t>
        </is>
      </c>
      <c r="B516" s="1" t="n">
        <v>45090</v>
      </c>
      <c r="C516" s="1" t="n">
        <v>45508</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25907-2023</t>
        </is>
      </c>
      <c r="B517" s="1" t="n">
        <v>45090</v>
      </c>
      <c r="C517" s="1" t="n">
        <v>45508</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26742-2023</t>
        </is>
      </c>
      <c r="B518" s="1" t="n">
        <v>45090</v>
      </c>
      <c r="C518" s="1" t="n">
        <v>45508</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26038-2023</t>
        </is>
      </c>
      <c r="B519" s="1" t="n">
        <v>45091</v>
      </c>
      <c r="C519" s="1" t="n">
        <v>45508</v>
      </c>
      <c r="D519" t="inlineStr">
        <is>
          <t>DALARNAS LÄN</t>
        </is>
      </c>
      <c r="E519" t="inlineStr">
        <is>
          <t>LEKSAND</t>
        </is>
      </c>
      <c r="G519" t="n">
        <v>6.8</v>
      </c>
      <c r="H519" t="n">
        <v>0</v>
      </c>
      <c r="I519" t="n">
        <v>0</v>
      </c>
      <c r="J519" t="n">
        <v>0</v>
      </c>
      <c r="K519" t="n">
        <v>0</v>
      </c>
      <c r="L519" t="n">
        <v>0</v>
      </c>
      <c r="M519" t="n">
        <v>0</v>
      </c>
      <c r="N519" t="n">
        <v>0</v>
      </c>
      <c r="O519" t="n">
        <v>0</v>
      </c>
      <c r="P519" t="n">
        <v>0</v>
      </c>
      <c r="Q519" t="n">
        <v>0</v>
      </c>
      <c r="R519" s="2" t="inlineStr"/>
    </row>
    <row r="520" ht="15" customHeight="1">
      <c r="A520" t="inlineStr">
        <is>
          <t>A 26044-2023</t>
        </is>
      </c>
      <c r="B520" s="1" t="n">
        <v>45091</v>
      </c>
      <c r="C520" s="1" t="n">
        <v>45508</v>
      </c>
      <c r="D520" t="inlineStr">
        <is>
          <t>DALARNAS LÄN</t>
        </is>
      </c>
      <c r="E520" t="inlineStr">
        <is>
          <t>LEKSAND</t>
        </is>
      </c>
      <c r="G520" t="n">
        <v>5.3</v>
      </c>
      <c r="H520" t="n">
        <v>0</v>
      </c>
      <c r="I520" t="n">
        <v>0</v>
      </c>
      <c r="J520" t="n">
        <v>0</v>
      </c>
      <c r="K520" t="n">
        <v>0</v>
      </c>
      <c r="L520" t="n">
        <v>0</v>
      </c>
      <c r="M520" t="n">
        <v>0</v>
      </c>
      <c r="N520" t="n">
        <v>0</v>
      </c>
      <c r="O520" t="n">
        <v>0</v>
      </c>
      <c r="P520" t="n">
        <v>0</v>
      </c>
      <c r="Q520" t="n">
        <v>0</v>
      </c>
      <c r="R520" s="2" t="inlineStr"/>
    </row>
    <row r="521" ht="15" customHeight="1">
      <c r="A521" t="inlineStr">
        <is>
          <t>A 26107-2023</t>
        </is>
      </c>
      <c r="B521" s="1" t="n">
        <v>45091</v>
      </c>
      <c r="C521" s="1" t="n">
        <v>45508</v>
      </c>
      <c r="D521" t="inlineStr">
        <is>
          <t>DALARNAS LÄN</t>
        </is>
      </c>
      <c r="E521" t="inlineStr">
        <is>
          <t>LEKSAND</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26847-2023</t>
        </is>
      </c>
      <c r="B522" s="1" t="n">
        <v>45093</v>
      </c>
      <c r="C522" s="1" t="n">
        <v>45508</v>
      </c>
      <c r="D522" t="inlineStr">
        <is>
          <t>DALARNAS LÄN</t>
        </is>
      </c>
      <c r="E522" t="inlineStr">
        <is>
          <t>LEKSAND</t>
        </is>
      </c>
      <c r="G522" t="n">
        <v>3.9</v>
      </c>
      <c r="H522" t="n">
        <v>0</v>
      </c>
      <c r="I522" t="n">
        <v>0</v>
      </c>
      <c r="J522" t="n">
        <v>0</v>
      </c>
      <c r="K522" t="n">
        <v>0</v>
      </c>
      <c r="L522" t="n">
        <v>0</v>
      </c>
      <c r="M522" t="n">
        <v>0</v>
      </c>
      <c r="N522" t="n">
        <v>0</v>
      </c>
      <c r="O522" t="n">
        <v>0</v>
      </c>
      <c r="P522" t="n">
        <v>0</v>
      </c>
      <c r="Q522" t="n">
        <v>0</v>
      </c>
      <c r="R522" s="2" t="inlineStr"/>
    </row>
    <row r="523" ht="15" customHeight="1">
      <c r="A523" t="inlineStr">
        <is>
          <t>A 26957-2023</t>
        </is>
      </c>
      <c r="B523" s="1" t="n">
        <v>45093</v>
      </c>
      <c r="C523" s="1" t="n">
        <v>45508</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26924-2023</t>
        </is>
      </c>
      <c r="B524" s="1" t="n">
        <v>45093</v>
      </c>
      <c r="C524" s="1" t="n">
        <v>45508</v>
      </c>
      <c r="D524" t="inlineStr">
        <is>
          <t>DALARNAS LÄN</t>
        </is>
      </c>
      <c r="E524" t="inlineStr">
        <is>
          <t>LEKSAND</t>
        </is>
      </c>
      <c r="F524" t="inlineStr">
        <is>
          <t>Bergvik skog väst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26959-2023</t>
        </is>
      </c>
      <c r="B525" s="1" t="n">
        <v>45093</v>
      </c>
      <c r="C525" s="1" t="n">
        <v>45508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26931-2023</t>
        </is>
      </c>
      <c r="B526" s="1" t="n">
        <v>45093</v>
      </c>
      <c r="C526" s="1" t="n">
        <v>45508</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26946-2023</t>
        </is>
      </c>
      <c r="B527" s="1" t="n">
        <v>45093</v>
      </c>
      <c r="C527" s="1" t="n">
        <v>45508</v>
      </c>
      <c r="D527" t="inlineStr">
        <is>
          <t>DALARNAS LÄN</t>
        </is>
      </c>
      <c r="E527" t="inlineStr">
        <is>
          <t>LEKSAND</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27047-2023</t>
        </is>
      </c>
      <c r="B528" s="1" t="n">
        <v>45095</v>
      </c>
      <c r="C528" s="1" t="n">
        <v>45508</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27055-2023</t>
        </is>
      </c>
      <c r="B529" s="1" t="n">
        <v>45095</v>
      </c>
      <c r="C529" s="1" t="n">
        <v>45508</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c r="U529">
        <f>HYPERLINK("https://klasma.github.io/Logging_2029/knärot/A 27055-2023 karta knärot.png", "A 27055-2023")</f>
        <v/>
      </c>
      <c r="V529">
        <f>HYPERLINK("https://klasma.github.io/Logging_2029/klagomål/A 27055-2023 FSC-klagomål.docx", "A 27055-2023")</f>
        <v/>
      </c>
      <c r="W529">
        <f>HYPERLINK("https://klasma.github.io/Logging_2029/klagomålsmail/A 27055-2023 FSC-klagomål mail.docx", "A 27055-2023")</f>
        <v/>
      </c>
      <c r="X529">
        <f>HYPERLINK("https://klasma.github.io/Logging_2029/tillsyn/A 27055-2023 tillsynsbegäran.docx", "A 27055-2023")</f>
        <v/>
      </c>
      <c r="Y529">
        <f>HYPERLINK("https://klasma.github.io/Logging_2029/tillsynsmail/A 27055-2023 tillsynsbegäran mail.docx", "A 27055-2023")</f>
        <v/>
      </c>
    </row>
    <row r="530" ht="15" customHeight="1">
      <c r="A530" t="inlineStr">
        <is>
          <t>A 27048-2023</t>
        </is>
      </c>
      <c r="B530" s="1" t="n">
        <v>45095</v>
      </c>
      <c r="C530" s="1" t="n">
        <v>45508</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27046-2023</t>
        </is>
      </c>
      <c r="B531" s="1" t="n">
        <v>45095</v>
      </c>
      <c r="C531" s="1" t="n">
        <v>45508</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27054-2023</t>
        </is>
      </c>
      <c r="B532" s="1" t="n">
        <v>45095</v>
      </c>
      <c r="C532" s="1" t="n">
        <v>45508</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27244-2023</t>
        </is>
      </c>
      <c r="B533" s="1" t="n">
        <v>45096</v>
      </c>
      <c r="C533" s="1" t="n">
        <v>45508</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27348-2023</t>
        </is>
      </c>
      <c r="B534" s="1" t="n">
        <v>45096</v>
      </c>
      <c r="C534" s="1" t="n">
        <v>45508</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27511-2023</t>
        </is>
      </c>
      <c r="B535" s="1" t="n">
        <v>45097</v>
      </c>
      <c r="C535" s="1" t="n">
        <v>45508</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27520-2023</t>
        </is>
      </c>
      <c r="B536" s="1" t="n">
        <v>45097</v>
      </c>
      <c r="C536" s="1" t="n">
        <v>45508</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27543-2023</t>
        </is>
      </c>
      <c r="B537" s="1" t="n">
        <v>45097</v>
      </c>
      <c r="C537" s="1" t="n">
        <v>45508</v>
      </c>
      <c r="D537" t="inlineStr">
        <is>
          <t>DALARNAS LÄN</t>
        </is>
      </c>
      <c r="E537" t="inlineStr">
        <is>
          <t>LEKSAND</t>
        </is>
      </c>
      <c r="G537" t="n">
        <v>3.4</v>
      </c>
      <c r="H537" t="n">
        <v>0</v>
      </c>
      <c r="I537" t="n">
        <v>0</v>
      </c>
      <c r="J537" t="n">
        <v>0</v>
      </c>
      <c r="K537" t="n">
        <v>0</v>
      </c>
      <c r="L537" t="n">
        <v>0</v>
      </c>
      <c r="M537" t="n">
        <v>0</v>
      </c>
      <c r="N537" t="n">
        <v>0</v>
      </c>
      <c r="O537" t="n">
        <v>0</v>
      </c>
      <c r="P537" t="n">
        <v>0</v>
      </c>
      <c r="Q537" t="n">
        <v>0</v>
      </c>
      <c r="R537" s="2" t="inlineStr"/>
    </row>
    <row r="538" ht="15" customHeight="1">
      <c r="A538" t="inlineStr">
        <is>
          <t>A 27791-2023</t>
        </is>
      </c>
      <c r="B538" s="1" t="n">
        <v>45098</v>
      </c>
      <c r="C538" s="1" t="n">
        <v>45508</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28103-2023</t>
        </is>
      </c>
      <c r="B539" s="1" t="n">
        <v>45099</v>
      </c>
      <c r="C539" s="1" t="n">
        <v>45508</v>
      </c>
      <c r="D539" t="inlineStr">
        <is>
          <t>DALARNAS LÄN</t>
        </is>
      </c>
      <c r="E539" t="inlineStr">
        <is>
          <t>LEKSAND</t>
        </is>
      </c>
      <c r="F539" t="inlineStr">
        <is>
          <t>Bergvik skog väst AB</t>
        </is>
      </c>
      <c r="G539" t="n">
        <v>15.3</v>
      </c>
      <c r="H539" t="n">
        <v>0</v>
      </c>
      <c r="I539" t="n">
        <v>0</v>
      </c>
      <c r="J539" t="n">
        <v>0</v>
      </c>
      <c r="K539" t="n">
        <v>0</v>
      </c>
      <c r="L539" t="n">
        <v>0</v>
      </c>
      <c r="M539" t="n">
        <v>0</v>
      </c>
      <c r="N539" t="n">
        <v>0</v>
      </c>
      <c r="O539" t="n">
        <v>0</v>
      </c>
      <c r="P539" t="n">
        <v>0</v>
      </c>
      <c r="Q539" t="n">
        <v>0</v>
      </c>
      <c r="R539" s="2" t="inlineStr"/>
    </row>
    <row r="540" ht="15" customHeight="1">
      <c r="A540" t="inlineStr">
        <is>
          <t>A 28108-2023</t>
        </is>
      </c>
      <c r="B540" s="1" t="n">
        <v>45099</v>
      </c>
      <c r="C540" s="1" t="n">
        <v>45508</v>
      </c>
      <c r="D540" t="inlineStr">
        <is>
          <t>DALARNAS LÄN</t>
        </is>
      </c>
      <c r="E540" t="inlineStr">
        <is>
          <t>LEKSAND</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28578-2023</t>
        </is>
      </c>
      <c r="B541" s="1" t="n">
        <v>45103</v>
      </c>
      <c r="C541" s="1" t="n">
        <v>45508</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28592-2023</t>
        </is>
      </c>
      <c r="B542" s="1" t="n">
        <v>45103</v>
      </c>
      <c r="C542" s="1" t="n">
        <v>45508</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28633-2023</t>
        </is>
      </c>
      <c r="B543" s="1" t="n">
        <v>45103</v>
      </c>
      <c r="C543" s="1" t="n">
        <v>45508</v>
      </c>
      <c r="D543" t="inlineStr">
        <is>
          <t>DALARNAS LÄN</t>
        </is>
      </c>
      <c r="E543" t="inlineStr">
        <is>
          <t>LEKSAND</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28630-2023</t>
        </is>
      </c>
      <c r="B544" s="1" t="n">
        <v>45103</v>
      </c>
      <c r="C544" s="1" t="n">
        <v>45508</v>
      </c>
      <c r="D544" t="inlineStr">
        <is>
          <t>DALARNAS LÄN</t>
        </is>
      </c>
      <c r="E544" t="inlineStr">
        <is>
          <t>LEKSAND</t>
        </is>
      </c>
      <c r="F544" t="inlineStr">
        <is>
          <t>Bergvik skog väst AB</t>
        </is>
      </c>
      <c r="G544" t="n">
        <v>0.3</v>
      </c>
      <c r="H544" t="n">
        <v>0</v>
      </c>
      <c r="I544" t="n">
        <v>0</v>
      </c>
      <c r="J544" t="n">
        <v>0</v>
      </c>
      <c r="K544" t="n">
        <v>0</v>
      </c>
      <c r="L544" t="n">
        <v>0</v>
      </c>
      <c r="M544" t="n">
        <v>0</v>
      </c>
      <c r="N544" t="n">
        <v>0</v>
      </c>
      <c r="O544" t="n">
        <v>0</v>
      </c>
      <c r="P544" t="n">
        <v>0</v>
      </c>
      <c r="Q544" t="n">
        <v>0</v>
      </c>
      <c r="R544" s="2" t="inlineStr"/>
    </row>
    <row r="545" ht="15" customHeight="1">
      <c r="A545" t="inlineStr">
        <is>
          <t>A 28946-2023</t>
        </is>
      </c>
      <c r="B545" s="1" t="n">
        <v>45104</v>
      </c>
      <c r="C545" s="1" t="n">
        <v>45508</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28935-2023</t>
        </is>
      </c>
      <c r="B546" s="1" t="n">
        <v>45104</v>
      </c>
      <c r="C546" s="1" t="n">
        <v>45508</v>
      </c>
      <c r="D546" t="inlineStr">
        <is>
          <t>DALARNAS LÄN</t>
        </is>
      </c>
      <c r="E546" t="inlineStr">
        <is>
          <t>LEKSAND</t>
        </is>
      </c>
      <c r="G546" t="n">
        <v>2.6</v>
      </c>
      <c r="H546" t="n">
        <v>0</v>
      </c>
      <c r="I546" t="n">
        <v>0</v>
      </c>
      <c r="J546" t="n">
        <v>0</v>
      </c>
      <c r="K546" t="n">
        <v>0</v>
      </c>
      <c r="L546" t="n">
        <v>0</v>
      </c>
      <c r="M546" t="n">
        <v>0</v>
      </c>
      <c r="N546" t="n">
        <v>0</v>
      </c>
      <c r="O546" t="n">
        <v>0</v>
      </c>
      <c r="P546" t="n">
        <v>0</v>
      </c>
      <c r="Q546" t="n">
        <v>0</v>
      </c>
      <c r="R546" s="2" t="inlineStr"/>
    </row>
    <row r="547" ht="15" customHeight="1">
      <c r="A547" t="inlineStr">
        <is>
          <t>A 28965-2023</t>
        </is>
      </c>
      <c r="B547" s="1" t="n">
        <v>45104</v>
      </c>
      <c r="C547" s="1" t="n">
        <v>45508</v>
      </c>
      <c r="D547" t="inlineStr">
        <is>
          <t>DALARNAS LÄN</t>
        </is>
      </c>
      <c r="E547" t="inlineStr">
        <is>
          <t>LEKSAND</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31401-2023</t>
        </is>
      </c>
      <c r="B548" s="1" t="n">
        <v>45104</v>
      </c>
      <c r="C548" s="1" t="n">
        <v>45508</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28921-2023</t>
        </is>
      </c>
      <c r="B549" s="1" t="n">
        <v>45104</v>
      </c>
      <c r="C549" s="1" t="n">
        <v>45508</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31422-2023</t>
        </is>
      </c>
      <c r="B550" s="1" t="n">
        <v>45104</v>
      </c>
      <c r="C550" s="1" t="n">
        <v>45508</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29122-2023</t>
        </is>
      </c>
      <c r="B551" s="1" t="n">
        <v>45105</v>
      </c>
      <c r="C551" s="1" t="n">
        <v>45508</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29139-2023</t>
        </is>
      </c>
      <c r="B552" s="1" t="n">
        <v>45105</v>
      </c>
      <c r="C552" s="1" t="n">
        <v>45508</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29222-2023</t>
        </is>
      </c>
      <c r="B553" s="1" t="n">
        <v>45105</v>
      </c>
      <c r="C553" s="1" t="n">
        <v>45508</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29916-2023</t>
        </is>
      </c>
      <c r="B554" s="1" t="n">
        <v>45107</v>
      </c>
      <c r="C554" s="1" t="n">
        <v>45508</v>
      </c>
      <c r="D554" t="inlineStr">
        <is>
          <t>DALARNAS LÄN</t>
        </is>
      </c>
      <c r="E554" t="inlineStr">
        <is>
          <t>LEKSAND</t>
        </is>
      </c>
      <c r="F554" t="inlineStr">
        <is>
          <t>Bergvik skog väst AB</t>
        </is>
      </c>
      <c r="G554" t="n">
        <v>9.4</v>
      </c>
      <c r="H554" t="n">
        <v>0</v>
      </c>
      <c r="I554" t="n">
        <v>0</v>
      </c>
      <c r="J554" t="n">
        <v>0</v>
      </c>
      <c r="K554" t="n">
        <v>0</v>
      </c>
      <c r="L554" t="n">
        <v>0</v>
      </c>
      <c r="M554" t="n">
        <v>0</v>
      </c>
      <c r="N554" t="n">
        <v>0</v>
      </c>
      <c r="O554" t="n">
        <v>0</v>
      </c>
      <c r="P554" t="n">
        <v>0</v>
      </c>
      <c r="Q554" t="n">
        <v>0</v>
      </c>
      <c r="R554" s="2" t="inlineStr"/>
    </row>
    <row r="555" ht="15" customHeight="1">
      <c r="A555" t="inlineStr">
        <is>
          <t>A 29881-2023</t>
        </is>
      </c>
      <c r="B555" s="1" t="n">
        <v>45107</v>
      </c>
      <c r="C555" s="1" t="n">
        <v>45508</v>
      </c>
      <c r="D555" t="inlineStr">
        <is>
          <t>DALARNAS LÄN</t>
        </is>
      </c>
      <c r="E555" t="inlineStr">
        <is>
          <t>LEKSAND</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29694-2023</t>
        </is>
      </c>
      <c r="B556" s="1" t="n">
        <v>45107</v>
      </c>
      <c r="C556" s="1" t="n">
        <v>45508</v>
      </c>
      <c r="D556" t="inlineStr">
        <is>
          <t>DALARNAS LÄN</t>
        </is>
      </c>
      <c r="E556" t="inlineStr">
        <is>
          <t>LEKSAND</t>
        </is>
      </c>
      <c r="G556" t="n">
        <v>4.8</v>
      </c>
      <c r="H556" t="n">
        <v>0</v>
      </c>
      <c r="I556" t="n">
        <v>0</v>
      </c>
      <c r="J556" t="n">
        <v>0</v>
      </c>
      <c r="K556" t="n">
        <v>0</v>
      </c>
      <c r="L556" t="n">
        <v>0</v>
      </c>
      <c r="M556" t="n">
        <v>0</v>
      </c>
      <c r="N556" t="n">
        <v>0</v>
      </c>
      <c r="O556" t="n">
        <v>0</v>
      </c>
      <c r="P556" t="n">
        <v>0</v>
      </c>
      <c r="Q556" t="n">
        <v>0</v>
      </c>
      <c r="R556" s="2" t="inlineStr"/>
    </row>
    <row r="557" ht="15" customHeight="1">
      <c r="A557" t="inlineStr">
        <is>
          <t>A 32261-2023</t>
        </is>
      </c>
      <c r="B557" s="1" t="n">
        <v>45108</v>
      </c>
      <c r="C557" s="1" t="n">
        <v>45508</v>
      </c>
      <c r="D557" t="inlineStr">
        <is>
          <t>DALARNAS LÄN</t>
        </is>
      </c>
      <c r="E557" t="inlineStr">
        <is>
          <t>LEKSAND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30000-2023</t>
        </is>
      </c>
      <c r="B558" s="1" t="n">
        <v>45109</v>
      </c>
      <c r="C558" s="1" t="n">
        <v>45508</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30082-2023</t>
        </is>
      </c>
      <c r="B559" s="1" t="n">
        <v>45110</v>
      </c>
      <c r="C559" s="1" t="n">
        <v>45508</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30169-2023</t>
        </is>
      </c>
      <c r="B560" s="1" t="n">
        <v>45110</v>
      </c>
      <c r="C560" s="1" t="n">
        <v>45508</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30135-2023</t>
        </is>
      </c>
      <c r="B561" s="1" t="n">
        <v>45110</v>
      </c>
      <c r="C561" s="1" t="n">
        <v>45508</v>
      </c>
      <c r="D561" t="inlineStr">
        <is>
          <t>DALARNAS LÄN</t>
        </is>
      </c>
      <c r="E561" t="inlineStr">
        <is>
          <t>LEKSAND</t>
        </is>
      </c>
      <c r="F561" t="inlineStr">
        <is>
          <t>Bergvik skog väst AB</t>
        </is>
      </c>
      <c r="G561" t="n">
        <v>8.4</v>
      </c>
      <c r="H561" t="n">
        <v>0</v>
      </c>
      <c r="I561" t="n">
        <v>0</v>
      </c>
      <c r="J561" t="n">
        <v>0</v>
      </c>
      <c r="K561" t="n">
        <v>0</v>
      </c>
      <c r="L561" t="n">
        <v>0</v>
      </c>
      <c r="M561" t="n">
        <v>0</v>
      </c>
      <c r="N561" t="n">
        <v>0</v>
      </c>
      <c r="O561" t="n">
        <v>0</v>
      </c>
      <c r="P561" t="n">
        <v>0</v>
      </c>
      <c r="Q561" t="n">
        <v>0</v>
      </c>
      <c r="R561" s="2" t="inlineStr"/>
    </row>
    <row r="562" ht="15" customHeight="1">
      <c r="A562" t="inlineStr">
        <is>
          <t>A 30195-2023</t>
        </is>
      </c>
      <c r="B562" s="1" t="n">
        <v>45110</v>
      </c>
      <c r="C562" s="1" t="n">
        <v>45508</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30196-2023</t>
        </is>
      </c>
      <c r="B563" s="1" t="n">
        <v>45110</v>
      </c>
      <c r="C563" s="1" t="n">
        <v>45508</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45508</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30523-2023</t>
        </is>
      </c>
      <c r="B565" s="1" t="n">
        <v>45111</v>
      </c>
      <c r="C565" s="1" t="n">
        <v>45508</v>
      </c>
      <c r="D565" t="inlineStr">
        <is>
          <t>DALARNAS LÄN</t>
        </is>
      </c>
      <c r="E565" t="inlineStr">
        <is>
          <t>LEKSAND</t>
        </is>
      </c>
      <c r="G565" t="n">
        <v>5.6</v>
      </c>
      <c r="H565" t="n">
        <v>0</v>
      </c>
      <c r="I565" t="n">
        <v>0</v>
      </c>
      <c r="J565" t="n">
        <v>0</v>
      </c>
      <c r="K565" t="n">
        <v>0</v>
      </c>
      <c r="L565" t="n">
        <v>0</v>
      </c>
      <c r="M565" t="n">
        <v>0</v>
      </c>
      <c r="N565" t="n">
        <v>0</v>
      </c>
      <c r="O565" t="n">
        <v>0</v>
      </c>
      <c r="P565" t="n">
        <v>0</v>
      </c>
      <c r="Q565" t="n">
        <v>0</v>
      </c>
      <c r="R565" s="2" t="inlineStr"/>
    </row>
    <row r="566" ht="15" customHeight="1">
      <c r="A566" t="inlineStr">
        <is>
          <t>A 30595-2023</t>
        </is>
      </c>
      <c r="B566" s="1" t="n">
        <v>45112</v>
      </c>
      <c r="C566" s="1" t="n">
        <v>45508</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30611-2023</t>
        </is>
      </c>
      <c r="B567" s="1" t="n">
        <v>45112</v>
      </c>
      <c r="C567" s="1" t="n">
        <v>45508</v>
      </c>
      <c r="D567" t="inlineStr">
        <is>
          <t>DALARNAS LÄN</t>
        </is>
      </c>
      <c r="E567" t="inlineStr">
        <is>
          <t>LEKSAND</t>
        </is>
      </c>
      <c r="G567" t="n">
        <v>3.1</v>
      </c>
      <c r="H567" t="n">
        <v>0</v>
      </c>
      <c r="I567" t="n">
        <v>0</v>
      </c>
      <c r="J567" t="n">
        <v>0</v>
      </c>
      <c r="K567" t="n">
        <v>0</v>
      </c>
      <c r="L567" t="n">
        <v>0</v>
      </c>
      <c r="M567" t="n">
        <v>0</v>
      </c>
      <c r="N567" t="n">
        <v>0</v>
      </c>
      <c r="O567" t="n">
        <v>0</v>
      </c>
      <c r="P567" t="n">
        <v>0</v>
      </c>
      <c r="Q567" t="n">
        <v>0</v>
      </c>
      <c r="R567" s="2" t="inlineStr"/>
    </row>
    <row r="568" ht="15" customHeight="1">
      <c r="A568" t="inlineStr">
        <is>
          <t>A 30700-2023</t>
        </is>
      </c>
      <c r="B568" s="1" t="n">
        <v>45112</v>
      </c>
      <c r="C568" s="1" t="n">
        <v>45508</v>
      </c>
      <c r="D568" t="inlineStr">
        <is>
          <t>DALARNAS LÄN</t>
        </is>
      </c>
      <c r="E568" t="inlineStr">
        <is>
          <t>LEKSAND</t>
        </is>
      </c>
      <c r="G568" t="n">
        <v>2.1</v>
      </c>
      <c r="H568" t="n">
        <v>0</v>
      </c>
      <c r="I568" t="n">
        <v>0</v>
      </c>
      <c r="J568" t="n">
        <v>0</v>
      </c>
      <c r="K568" t="n">
        <v>0</v>
      </c>
      <c r="L568" t="n">
        <v>0</v>
      </c>
      <c r="M568" t="n">
        <v>0</v>
      </c>
      <c r="N568" t="n">
        <v>0</v>
      </c>
      <c r="O568" t="n">
        <v>0</v>
      </c>
      <c r="P568" t="n">
        <v>0</v>
      </c>
      <c r="Q568" t="n">
        <v>0</v>
      </c>
      <c r="R568" s="2" t="inlineStr"/>
    </row>
    <row r="569" ht="15" customHeight="1">
      <c r="A569" t="inlineStr">
        <is>
          <t>A 30654-2023</t>
        </is>
      </c>
      <c r="B569" s="1" t="n">
        <v>45112</v>
      </c>
      <c r="C569" s="1" t="n">
        <v>45508</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30880-2023</t>
        </is>
      </c>
      <c r="B570" s="1" t="n">
        <v>45113</v>
      </c>
      <c r="C570" s="1" t="n">
        <v>45508</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30992-2023</t>
        </is>
      </c>
      <c r="B571" s="1" t="n">
        <v>45113</v>
      </c>
      <c r="C571" s="1" t="n">
        <v>45508</v>
      </c>
      <c r="D571" t="inlineStr">
        <is>
          <t>DALARNAS LÄN</t>
        </is>
      </c>
      <c r="E571" t="inlineStr">
        <is>
          <t>LEKSAND</t>
        </is>
      </c>
      <c r="G571" t="n">
        <v>2.7</v>
      </c>
      <c r="H571" t="n">
        <v>0</v>
      </c>
      <c r="I571" t="n">
        <v>0</v>
      </c>
      <c r="J571" t="n">
        <v>0</v>
      </c>
      <c r="K571" t="n">
        <v>0</v>
      </c>
      <c r="L571" t="n">
        <v>0</v>
      </c>
      <c r="M571" t="n">
        <v>0</v>
      </c>
      <c r="N571" t="n">
        <v>0</v>
      </c>
      <c r="O571" t="n">
        <v>0</v>
      </c>
      <c r="P571" t="n">
        <v>0</v>
      </c>
      <c r="Q571" t="n">
        <v>0</v>
      </c>
      <c r="R571" s="2" t="inlineStr"/>
    </row>
    <row r="572" ht="15" customHeight="1">
      <c r="A572" t="inlineStr">
        <is>
          <t>A 30994-2023</t>
        </is>
      </c>
      <c r="B572" s="1" t="n">
        <v>45113</v>
      </c>
      <c r="C572" s="1" t="n">
        <v>45508</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30998-2023</t>
        </is>
      </c>
      <c r="B573" s="1" t="n">
        <v>45113</v>
      </c>
      <c r="C573" s="1" t="n">
        <v>45508</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32989-2023</t>
        </is>
      </c>
      <c r="B574" s="1" t="n">
        <v>45113</v>
      </c>
      <c r="C574" s="1" t="n">
        <v>45508</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31255-2023</t>
        </is>
      </c>
      <c r="B575" s="1" t="n">
        <v>45114</v>
      </c>
      <c r="C575" s="1" t="n">
        <v>45508</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31250-2023</t>
        </is>
      </c>
      <c r="B576" s="1" t="n">
        <v>45114</v>
      </c>
      <c r="C576" s="1" t="n">
        <v>45508</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31254-2023</t>
        </is>
      </c>
      <c r="B577" s="1" t="n">
        <v>45114</v>
      </c>
      <c r="C577" s="1" t="n">
        <v>45508</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31761-2023</t>
        </is>
      </c>
      <c r="B578" s="1" t="n">
        <v>45118</v>
      </c>
      <c r="C578" s="1" t="n">
        <v>45508</v>
      </c>
      <c r="D578" t="inlineStr">
        <is>
          <t>DALARNAS LÄN</t>
        </is>
      </c>
      <c r="E578" t="inlineStr">
        <is>
          <t>LEKSAND</t>
        </is>
      </c>
      <c r="G578" t="n">
        <v>6</v>
      </c>
      <c r="H578" t="n">
        <v>0</v>
      </c>
      <c r="I578" t="n">
        <v>0</v>
      </c>
      <c r="J578" t="n">
        <v>0</v>
      </c>
      <c r="K578" t="n">
        <v>0</v>
      </c>
      <c r="L578" t="n">
        <v>0</v>
      </c>
      <c r="M578" t="n">
        <v>0</v>
      </c>
      <c r="N578" t="n">
        <v>0</v>
      </c>
      <c r="O578" t="n">
        <v>0</v>
      </c>
      <c r="P578" t="n">
        <v>0</v>
      </c>
      <c r="Q578" t="n">
        <v>0</v>
      </c>
      <c r="R578" s="2" t="inlineStr"/>
    </row>
    <row r="579" ht="15" customHeight="1">
      <c r="A579" t="inlineStr">
        <is>
          <t>A 32307-2023</t>
        </is>
      </c>
      <c r="B579" s="1" t="n">
        <v>45120</v>
      </c>
      <c r="C579" s="1" t="n">
        <v>45508</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32311-2023</t>
        </is>
      </c>
      <c r="B580" s="1" t="n">
        <v>45120</v>
      </c>
      <c r="C580" s="1" t="n">
        <v>45508</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32544-2023</t>
        </is>
      </c>
      <c r="B581" s="1" t="n">
        <v>45121</v>
      </c>
      <c r="C581" s="1" t="n">
        <v>45508</v>
      </c>
      <c r="D581" t="inlineStr">
        <is>
          <t>DALARNAS LÄN</t>
        </is>
      </c>
      <c r="E581" t="inlineStr">
        <is>
          <t>LEKSAND</t>
        </is>
      </c>
      <c r="G581" t="n">
        <v>1.5</v>
      </c>
      <c r="H581" t="n">
        <v>0</v>
      </c>
      <c r="I581" t="n">
        <v>0</v>
      </c>
      <c r="J581" t="n">
        <v>0</v>
      </c>
      <c r="K581" t="n">
        <v>0</v>
      </c>
      <c r="L581" t="n">
        <v>0</v>
      </c>
      <c r="M581" t="n">
        <v>0</v>
      </c>
      <c r="N581" t="n">
        <v>0</v>
      </c>
      <c r="O581" t="n">
        <v>0</v>
      </c>
      <c r="P581" t="n">
        <v>0</v>
      </c>
      <c r="Q581" t="n">
        <v>0</v>
      </c>
      <c r="R581" s="2" t="inlineStr"/>
    </row>
    <row r="582" ht="15" customHeight="1">
      <c r="A582" t="inlineStr">
        <is>
          <t>A 32666-2023</t>
        </is>
      </c>
      <c r="B582" s="1" t="n">
        <v>45121</v>
      </c>
      <c r="C582" s="1" t="n">
        <v>45508</v>
      </c>
      <c r="D582" t="inlineStr">
        <is>
          <t>DALARNAS LÄN</t>
        </is>
      </c>
      <c r="E582" t="inlineStr">
        <is>
          <t>LEKSAND</t>
        </is>
      </c>
      <c r="G582" t="n">
        <v>9.9</v>
      </c>
      <c r="H582" t="n">
        <v>0</v>
      </c>
      <c r="I582" t="n">
        <v>0</v>
      </c>
      <c r="J582" t="n">
        <v>0</v>
      </c>
      <c r="K582" t="n">
        <v>0</v>
      </c>
      <c r="L582" t="n">
        <v>0</v>
      </c>
      <c r="M582" t="n">
        <v>0</v>
      </c>
      <c r="N582" t="n">
        <v>0</v>
      </c>
      <c r="O582" t="n">
        <v>0</v>
      </c>
      <c r="P582" t="n">
        <v>0</v>
      </c>
      <c r="Q582" t="n">
        <v>0</v>
      </c>
      <c r="R582" s="2" t="inlineStr"/>
    </row>
    <row r="583" ht="15" customHeight="1">
      <c r="A583" t="inlineStr">
        <is>
          <t>A 33788-2023</t>
        </is>
      </c>
      <c r="B583" s="1" t="n">
        <v>45121</v>
      </c>
      <c r="C583" s="1" t="n">
        <v>45508</v>
      </c>
      <c r="D583" t="inlineStr">
        <is>
          <t>DALARNAS LÄN</t>
        </is>
      </c>
      <c r="E583" t="inlineStr">
        <is>
          <t>LEKSAND</t>
        </is>
      </c>
      <c r="G583" t="n">
        <v>2.5</v>
      </c>
      <c r="H583" t="n">
        <v>0</v>
      </c>
      <c r="I583" t="n">
        <v>0</v>
      </c>
      <c r="J583" t="n">
        <v>0</v>
      </c>
      <c r="K583" t="n">
        <v>0</v>
      </c>
      <c r="L583" t="n">
        <v>0</v>
      </c>
      <c r="M583" t="n">
        <v>0</v>
      </c>
      <c r="N583" t="n">
        <v>0</v>
      </c>
      <c r="O583" t="n">
        <v>0</v>
      </c>
      <c r="P583" t="n">
        <v>0</v>
      </c>
      <c r="Q583" t="n">
        <v>0</v>
      </c>
      <c r="R583" s="2" t="inlineStr"/>
    </row>
    <row r="584" ht="15" customHeight="1">
      <c r="A584" t="inlineStr">
        <is>
          <t>A 33001-2023</t>
        </is>
      </c>
      <c r="B584" s="1" t="n">
        <v>45125</v>
      </c>
      <c r="C584" s="1" t="n">
        <v>45508</v>
      </c>
      <c r="D584" t="inlineStr">
        <is>
          <t>DALARNAS LÄN</t>
        </is>
      </c>
      <c r="E584" t="inlineStr">
        <is>
          <t>LEKSAND</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33308-2023</t>
        </is>
      </c>
      <c r="B585" s="1" t="n">
        <v>45127</v>
      </c>
      <c r="C585" s="1" t="n">
        <v>45508</v>
      </c>
      <c r="D585" t="inlineStr">
        <is>
          <t>DALARNAS LÄN</t>
        </is>
      </c>
      <c r="E585" t="inlineStr">
        <is>
          <t>LEKSAND</t>
        </is>
      </c>
      <c r="G585" t="n">
        <v>3.2</v>
      </c>
      <c r="H585" t="n">
        <v>0</v>
      </c>
      <c r="I585" t="n">
        <v>0</v>
      </c>
      <c r="J585" t="n">
        <v>0</v>
      </c>
      <c r="K585" t="n">
        <v>0</v>
      </c>
      <c r="L585" t="n">
        <v>0</v>
      </c>
      <c r="M585" t="n">
        <v>0</v>
      </c>
      <c r="N585" t="n">
        <v>0</v>
      </c>
      <c r="O585" t="n">
        <v>0</v>
      </c>
      <c r="P585" t="n">
        <v>0</v>
      </c>
      <c r="Q585" t="n">
        <v>0</v>
      </c>
      <c r="R585" s="2" t="inlineStr"/>
    </row>
    <row r="586" ht="15" customHeight="1">
      <c r="A586" t="inlineStr">
        <is>
          <t>A 33318-2023</t>
        </is>
      </c>
      <c r="B586" s="1" t="n">
        <v>45127</v>
      </c>
      <c r="C586" s="1" t="n">
        <v>45508</v>
      </c>
      <c r="D586" t="inlineStr">
        <is>
          <t>DALARNAS LÄN</t>
        </is>
      </c>
      <c r="E586" t="inlineStr">
        <is>
          <t>LEKSAND</t>
        </is>
      </c>
      <c r="G586" t="n">
        <v>5.5</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45508</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33312-2023</t>
        </is>
      </c>
      <c r="B588" s="1" t="n">
        <v>45127</v>
      </c>
      <c r="C588" s="1" t="n">
        <v>45508</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45508</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33310-2023</t>
        </is>
      </c>
      <c r="B590" s="1" t="n">
        <v>45127</v>
      </c>
      <c r="C590" s="1" t="n">
        <v>45508</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33317-2023</t>
        </is>
      </c>
      <c r="B591" s="1" t="n">
        <v>45127</v>
      </c>
      <c r="C591" s="1" t="n">
        <v>45508</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33480-2023</t>
        </is>
      </c>
      <c r="B592" s="1" t="n">
        <v>45131</v>
      </c>
      <c r="C592" s="1" t="n">
        <v>45508</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33462-2023</t>
        </is>
      </c>
      <c r="B593" s="1" t="n">
        <v>45131</v>
      </c>
      <c r="C593" s="1" t="n">
        <v>45508</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33463-2023</t>
        </is>
      </c>
      <c r="B594" s="1" t="n">
        <v>45131</v>
      </c>
      <c r="C594" s="1" t="n">
        <v>45508</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33566-2023</t>
        </is>
      </c>
      <c r="B595" s="1" t="n">
        <v>45131</v>
      </c>
      <c r="C595" s="1" t="n">
        <v>45508</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33674-2023</t>
        </is>
      </c>
      <c r="B596" s="1" t="n">
        <v>45132</v>
      </c>
      <c r="C596" s="1" t="n">
        <v>45508</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34294-2023</t>
        </is>
      </c>
      <c r="B597" s="1" t="n">
        <v>45138</v>
      </c>
      <c r="C597" s="1" t="n">
        <v>45508</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35228-2023</t>
        </is>
      </c>
      <c r="B598" s="1" t="n">
        <v>45145</v>
      </c>
      <c r="C598" s="1" t="n">
        <v>45508</v>
      </c>
      <c r="D598" t="inlineStr">
        <is>
          <t>DALARNAS LÄN</t>
        </is>
      </c>
      <c r="E598" t="inlineStr">
        <is>
          <t>LEKSAND</t>
        </is>
      </c>
      <c r="G598" t="n">
        <v>3.7</v>
      </c>
      <c r="H598" t="n">
        <v>0</v>
      </c>
      <c r="I598" t="n">
        <v>0</v>
      </c>
      <c r="J598" t="n">
        <v>0</v>
      </c>
      <c r="K598" t="n">
        <v>0</v>
      </c>
      <c r="L598" t="n">
        <v>0</v>
      </c>
      <c r="M598" t="n">
        <v>0</v>
      </c>
      <c r="N598" t="n">
        <v>0</v>
      </c>
      <c r="O598" t="n">
        <v>0</v>
      </c>
      <c r="P598" t="n">
        <v>0</v>
      </c>
      <c r="Q598" t="n">
        <v>0</v>
      </c>
      <c r="R598" s="2" t="inlineStr"/>
    </row>
    <row r="599" ht="15" customHeight="1">
      <c r="A599" t="inlineStr">
        <is>
          <t>A 35173-2023</t>
        </is>
      </c>
      <c r="B599" s="1" t="n">
        <v>45145</v>
      </c>
      <c r="C599" s="1" t="n">
        <v>45508</v>
      </c>
      <c r="D599" t="inlineStr">
        <is>
          <t>DALARNAS LÄN</t>
        </is>
      </c>
      <c r="E599" t="inlineStr">
        <is>
          <t>LEKSAND</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35189-2023</t>
        </is>
      </c>
      <c r="B600" s="1" t="n">
        <v>45145</v>
      </c>
      <c r="C600" s="1" t="n">
        <v>45508</v>
      </c>
      <c r="D600" t="inlineStr">
        <is>
          <t>DALARNAS LÄN</t>
        </is>
      </c>
      <c r="E600" t="inlineStr">
        <is>
          <t>LEKSAND</t>
        </is>
      </c>
      <c r="G600" t="n">
        <v>3.7</v>
      </c>
      <c r="H600" t="n">
        <v>0</v>
      </c>
      <c r="I600" t="n">
        <v>0</v>
      </c>
      <c r="J600" t="n">
        <v>0</v>
      </c>
      <c r="K600" t="n">
        <v>0</v>
      </c>
      <c r="L600" t="n">
        <v>0</v>
      </c>
      <c r="M600" t="n">
        <v>0</v>
      </c>
      <c r="N600" t="n">
        <v>0</v>
      </c>
      <c r="O600" t="n">
        <v>0</v>
      </c>
      <c r="P600" t="n">
        <v>0</v>
      </c>
      <c r="Q600" t="n">
        <v>0</v>
      </c>
      <c r="R600" s="2" t="inlineStr"/>
    </row>
    <row r="601" ht="15" customHeight="1">
      <c r="A601" t="inlineStr">
        <is>
          <t>A 36261-2023</t>
        </is>
      </c>
      <c r="B601" s="1" t="n">
        <v>45151</v>
      </c>
      <c r="C601" s="1" t="n">
        <v>45508</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36262-2023</t>
        </is>
      </c>
      <c r="B602" s="1" t="n">
        <v>45151</v>
      </c>
      <c r="C602" s="1" t="n">
        <v>45508</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36444-2023</t>
        </is>
      </c>
      <c r="B603" s="1" t="n">
        <v>45152</v>
      </c>
      <c r="C603" s="1" t="n">
        <v>45508</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36450-2023</t>
        </is>
      </c>
      <c r="B604" s="1" t="n">
        <v>45152</v>
      </c>
      <c r="C604" s="1" t="n">
        <v>45508</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36515-2023</t>
        </is>
      </c>
      <c r="B605" s="1" t="n">
        <v>45153</v>
      </c>
      <c r="C605" s="1" t="n">
        <v>45508</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36932-2023</t>
        </is>
      </c>
      <c r="B606" s="1" t="n">
        <v>45154</v>
      </c>
      <c r="C606" s="1" t="n">
        <v>45508</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37397-2023</t>
        </is>
      </c>
      <c r="B607" s="1" t="n">
        <v>45156</v>
      </c>
      <c r="C607" s="1" t="n">
        <v>45508</v>
      </c>
      <c r="D607" t="inlineStr">
        <is>
          <t>DALARNAS LÄN</t>
        </is>
      </c>
      <c r="E607" t="inlineStr">
        <is>
          <t>LEKSAND</t>
        </is>
      </c>
      <c r="F607" t="inlineStr">
        <is>
          <t>Kommuner</t>
        </is>
      </c>
      <c r="G607" t="n">
        <v>2.9</v>
      </c>
      <c r="H607" t="n">
        <v>0</v>
      </c>
      <c r="I607" t="n">
        <v>0</v>
      </c>
      <c r="J607" t="n">
        <v>0</v>
      </c>
      <c r="K607" t="n">
        <v>0</v>
      </c>
      <c r="L607" t="n">
        <v>0</v>
      </c>
      <c r="M607" t="n">
        <v>0</v>
      </c>
      <c r="N607" t="n">
        <v>0</v>
      </c>
      <c r="O607" t="n">
        <v>0</v>
      </c>
      <c r="P607" t="n">
        <v>0</v>
      </c>
      <c r="Q607" t="n">
        <v>0</v>
      </c>
      <c r="R607" s="2" t="inlineStr"/>
    </row>
    <row r="608" ht="15" customHeight="1">
      <c r="A608" t="inlineStr">
        <is>
          <t>A 37516-2023</t>
        </is>
      </c>
      <c r="B608" s="1" t="n">
        <v>45158</v>
      </c>
      <c r="C608" s="1" t="n">
        <v>45508</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37832-2023</t>
        </is>
      </c>
      <c r="B609" s="1" t="n">
        <v>45160</v>
      </c>
      <c r="C609" s="1" t="n">
        <v>45508</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37919-2023</t>
        </is>
      </c>
      <c r="B610" s="1" t="n">
        <v>45160</v>
      </c>
      <c r="C610" s="1" t="n">
        <v>45508</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38058-2023</t>
        </is>
      </c>
      <c r="B611" s="1" t="n">
        <v>45160</v>
      </c>
      <c r="C611" s="1" t="n">
        <v>45508</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38001-2023</t>
        </is>
      </c>
      <c r="B612" s="1" t="n">
        <v>45160</v>
      </c>
      <c r="C612" s="1" t="n">
        <v>45508</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38145-2023</t>
        </is>
      </c>
      <c r="B613" s="1" t="n">
        <v>45160</v>
      </c>
      <c r="C613" s="1" t="n">
        <v>45508</v>
      </c>
      <c r="D613" t="inlineStr">
        <is>
          <t>DALARNAS LÄN</t>
        </is>
      </c>
      <c r="E613" t="inlineStr">
        <is>
          <t>LEKSAND</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38273-2023</t>
        </is>
      </c>
      <c r="B614" s="1" t="n">
        <v>45161</v>
      </c>
      <c r="C614" s="1" t="n">
        <v>45508</v>
      </c>
      <c r="D614" t="inlineStr">
        <is>
          <t>DALARNAS LÄN</t>
        </is>
      </c>
      <c r="E614" t="inlineStr">
        <is>
          <t>LEKSAND</t>
        </is>
      </c>
      <c r="F614" t="inlineStr">
        <is>
          <t>Bergvik skog väst AB</t>
        </is>
      </c>
      <c r="G614" t="n">
        <v>4.1</v>
      </c>
      <c r="H614" t="n">
        <v>0</v>
      </c>
      <c r="I614" t="n">
        <v>0</v>
      </c>
      <c r="J614" t="n">
        <v>0</v>
      </c>
      <c r="K614" t="n">
        <v>0</v>
      </c>
      <c r="L614" t="n">
        <v>0</v>
      </c>
      <c r="M614" t="n">
        <v>0</v>
      </c>
      <c r="N614" t="n">
        <v>0</v>
      </c>
      <c r="O614" t="n">
        <v>0</v>
      </c>
      <c r="P614" t="n">
        <v>0</v>
      </c>
      <c r="Q614" t="n">
        <v>0</v>
      </c>
      <c r="R614" s="2" t="inlineStr"/>
    </row>
    <row r="615" ht="15" customHeight="1">
      <c r="A615" t="inlineStr">
        <is>
          <t>A 38277-2023</t>
        </is>
      </c>
      <c r="B615" s="1" t="n">
        <v>45161</v>
      </c>
      <c r="C615" s="1" t="n">
        <v>45508</v>
      </c>
      <c r="D615" t="inlineStr">
        <is>
          <t>DALARNAS LÄN</t>
        </is>
      </c>
      <c r="E615" t="inlineStr">
        <is>
          <t>LEKSAND</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38117-2023</t>
        </is>
      </c>
      <c r="B616" s="1" t="n">
        <v>45161</v>
      </c>
      <c r="C616" s="1" t="n">
        <v>45508</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39136-2023</t>
        </is>
      </c>
      <c r="B617" s="1" t="n">
        <v>45165</v>
      </c>
      <c r="C617" s="1" t="n">
        <v>45508</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39387-2023</t>
        </is>
      </c>
      <c r="B618" s="1" t="n">
        <v>45166</v>
      </c>
      <c r="C618" s="1" t="n">
        <v>45508</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39332-2023</t>
        </is>
      </c>
      <c r="B619" s="1" t="n">
        <v>45166</v>
      </c>
      <c r="C619" s="1" t="n">
        <v>45508</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39354-2023</t>
        </is>
      </c>
      <c r="B620" s="1" t="n">
        <v>45166</v>
      </c>
      <c r="C620" s="1" t="n">
        <v>45508</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39595-2023</t>
        </is>
      </c>
      <c r="B621" s="1" t="n">
        <v>45167</v>
      </c>
      <c r="C621" s="1" t="n">
        <v>45508</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39558-2023</t>
        </is>
      </c>
      <c r="B622" s="1" t="n">
        <v>45167</v>
      </c>
      <c r="C622" s="1" t="n">
        <v>45508</v>
      </c>
      <c r="D622" t="inlineStr">
        <is>
          <t>DALARNAS LÄN</t>
        </is>
      </c>
      <c r="E622" t="inlineStr">
        <is>
          <t>LEKSAND</t>
        </is>
      </c>
      <c r="G622" t="n">
        <v>39.9</v>
      </c>
      <c r="H622" t="n">
        <v>0</v>
      </c>
      <c r="I622" t="n">
        <v>0</v>
      </c>
      <c r="J622" t="n">
        <v>0</v>
      </c>
      <c r="K622" t="n">
        <v>0</v>
      </c>
      <c r="L622" t="n">
        <v>0</v>
      </c>
      <c r="M622" t="n">
        <v>0</v>
      </c>
      <c r="N622" t="n">
        <v>0</v>
      </c>
      <c r="O622" t="n">
        <v>0</v>
      </c>
      <c r="P622" t="n">
        <v>0</v>
      </c>
      <c r="Q622" t="n">
        <v>0</v>
      </c>
      <c r="R622" s="2" t="inlineStr"/>
    </row>
    <row r="623" ht="15" customHeight="1">
      <c r="A623" t="inlineStr">
        <is>
          <t>A 39577-2023</t>
        </is>
      </c>
      <c r="B623" s="1" t="n">
        <v>45167</v>
      </c>
      <c r="C623" s="1" t="n">
        <v>45508</v>
      </c>
      <c r="D623" t="inlineStr">
        <is>
          <t>DALARNAS LÄN</t>
        </is>
      </c>
      <c r="E623" t="inlineStr">
        <is>
          <t>LEKSAND</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39665-2023</t>
        </is>
      </c>
      <c r="B624" s="1" t="n">
        <v>45167</v>
      </c>
      <c r="C624" s="1" t="n">
        <v>45508</v>
      </c>
      <c r="D624" t="inlineStr">
        <is>
          <t>DALARNAS LÄN</t>
        </is>
      </c>
      <c r="E624" t="inlineStr">
        <is>
          <t>LEKSAND</t>
        </is>
      </c>
      <c r="F624" t="inlineStr">
        <is>
          <t>Bergvik skog väst AB</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40201-2023</t>
        </is>
      </c>
      <c r="B625" s="1" t="n">
        <v>45169</v>
      </c>
      <c r="C625" s="1" t="n">
        <v>45508</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40181-2023</t>
        </is>
      </c>
      <c r="B626" s="1" t="n">
        <v>45169</v>
      </c>
      <c r="C626" s="1" t="n">
        <v>45508</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40230-2023</t>
        </is>
      </c>
      <c r="B627" s="1" t="n">
        <v>45169</v>
      </c>
      <c r="C627" s="1" t="n">
        <v>45508</v>
      </c>
      <c r="D627" t="inlineStr">
        <is>
          <t>DALARNAS LÄN</t>
        </is>
      </c>
      <c r="E627" t="inlineStr">
        <is>
          <t>LEKSAND</t>
        </is>
      </c>
      <c r="G627" t="n">
        <v>0.5</v>
      </c>
      <c r="H627" t="n">
        <v>0</v>
      </c>
      <c r="I627" t="n">
        <v>0</v>
      </c>
      <c r="J627" t="n">
        <v>0</v>
      </c>
      <c r="K627" t="n">
        <v>0</v>
      </c>
      <c r="L627" t="n">
        <v>0</v>
      </c>
      <c r="M627" t="n">
        <v>0</v>
      </c>
      <c r="N627" t="n">
        <v>0</v>
      </c>
      <c r="O627" t="n">
        <v>0</v>
      </c>
      <c r="P627" t="n">
        <v>0</v>
      </c>
      <c r="Q627" t="n">
        <v>0</v>
      </c>
      <c r="R627" s="2" t="inlineStr"/>
    </row>
    <row r="628" ht="15" customHeight="1">
      <c r="A628" t="inlineStr">
        <is>
          <t>A 40642-2023</t>
        </is>
      </c>
      <c r="B628" s="1" t="n">
        <v>45169</v>
      </c>
      <c r="C628" s="1" t="n">
        <v>45508</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40183-2023</t>
        </is>
      </c>
      <c r="B629" s="1" t="n">
        <v>45169</v>
      </c>
      <c r="C629" s="1" t="n">
        <v>45508</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40580-2023</t>
        </is>
      </c>
      <c r="B630" s="1" t="n">
        <v>45170</v>
      </c>
      <c r="C630" s="1" t="n">
        <v>45508</v>
      </c>
      <c r="D630" t="inlineStr">
        <is>
          <t>DALARNAS LÄN</t>
        </is>
      </c>
      <c r="E630" t="inlineStr">
        <is>
          <t>LEKSAND</t>
        </is>
      </c>
      <c r="F630" t="inlineStr">
        <is>
          <t>Bergvik skog väst AB</t>
        </is>
      </c>
      <c r="G630" t="n">
        <v>5.8</v>
      </c>
      <c r="H630" t="n">
        <v>0</v>
      </c>
      <c r="I630" t="n">
        <v>0</v>
      </c>
      <c r="J630" t="n">
        <v>0</v>
      </c>
      <c r="K630" t="n">
        <v>0</v>
      </c>
      <c r="L630" t="n">
        <v>0</v>
      </c>
      <c r="M630" t="n">
        <v>0</v>
      </c>
      <c r="N630" t="n">
        <v>0</v>
      </c>
      <c r="O630" t="n">
        <v>0</v>
      </c>
      <c r="P630" t="n">
        <v>0</v>
      </c>
      <c r="Q630" t="n">
        <v>0</v>
      </c>
      <c r="R630" s="2" t="inlineStr"/>
    </row>
    <row r="631" ht="15" customHeight="1">
      <c r="A631" t="inlineStr">
        <is>
          <t>A 40634-2023</t>
        </is>
      </c>
      <c r="B631" s="1" t="n">
        <v>45170</v>
      </c>
      <c r="C631" s="1" t="n">
        <v>45508</v>
      </c>
      <c r="D631" t="inlineStr">
        <is>
          <t>DALARNAS LÄN</t>
        </is>
      </c>
      <c r="E631" t="inlineStr">
        <is>
          <t>LEKSAND</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40640-2023</t>
        </is>
      </c>
      <c r="B632" s="1" t="n">
        <v>45170</v>
      </c>
      <c r="C632" s="1" t="n">
        <v>45508</v>
      </c>
      <c r="D632" t="inlineStr">
        <is>
          <t>DALARNAS LÄN</t>
        </is>
      </c>
      <c r="E632" t="inlineStr">
        <is>
          <t>LEKSAND</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40577-2023</t>
        </is>
      </c>
      <c r="B633" s="1" t="n">
        <v>45170</v>
      </c>
      <c r="C633" s="1" t="n">
        <v>45508</v>
      </c>
      <c r="D633" t="inlineStr">
        <is>
          <t>DALARNAS LÄN</t>
        </is>
      </c>
      <c r="E633" t="inlineStr">
        <is>
          <t>LEKSAND</t>
        </is>
      </c>
      <c r="F633" t="inlineStr">
        <is>
          <t>Bergvik skog väst AB</t>
        </is>
      </c>
      <c r="G633" t="n">
        <v>20.6</v>
      </c>
      <c r="H633" t="n">
        <v>0</v>
      </c>
      <c r="I633" t="n">
        <v>0</v>
      </c>
      <c r="J633" t="n">
        <v>0</v>
      </c>
      <c r="K633" t="n">
        <v>0</v>
      </c>
      <c r="L633" t="n">
        <v>0</v>
      </c>
      <c r="M633" t="n">
        <v>0</v>
      </c>
      <c r="N633" t="n">
        <v>0</v>
      </c>
      <c r="O633" t="n">
        <v>0</v>
      </c>
      <c r="P633" t="n">
        <v>0</v>
      </c>
      <c r="Q633" t="n">
        <v>0</v>
      </c>
      <c r="R633" s="2" t="inlineStr"/>
    </row>
    <row r="634" ht="15" customHeight="1">
      <c r="A634" t="inlineStr">
        <is>
          <t>A 40627-2023</t>
        </is>
      </c>
      <c r="B634" s="1" t="n">
        <v>45170</v>
      </c>
      <c r="C634" s="1" t="n">
        <v>45508</v>
      </c>
      <c r="D634" t="inlineStr">
        <is>
          <t>DALARNAS LÄN</t>
        </is>
      </c>
      <c r="E634" t="inlineStr">
        <is>
          <t>LEKSAND</t>
        </is>
      </c>
      <c r="F634" t="inlineStr">
        <is>
          <t>Bergvik skog väst AB</t>
        </is>
      </c>
      <c r="G634" t="n">
        <v>3.3</v>
      </c>
      <c r="H634" t="n">
        <v>0</v>
      </c>
      <c r="I634" t="n">
        <v>0</v>
      </c>
      <c r="J634" t="n">
        <v>0</v>
      </c>
      <c r="K634" t="n">
        <v>0</v>
      </c>
      <c r="L634" t="n">
        <v>0</v>
      </c>
      <c r="M634" t="n">
        <v>0</v>
      </c>
      <c r="N634" t="n">
        <v>0</v>
      </c>
      <c r="O634" t="n">
        <v>0</v>
      </c>
      <c r="P634" t="n">
        <v>0</v>
      </c>
      <c r="Q634" t="n">
        <v>0</v>
      </c>
      <c r="R634" s="2" t="inlineStr"/>
    </row>
    <row r="635" ht="15" customHeight="1">
      <c r="A635" t="inlineStr">
        <is>
          <t>A 41853-2023</t>
        </is>
      </c>
      <c r="B635" s="1" t="n">
        <v>45176</v>
      </c>
      <c r="C635" s="1" t="n">
        <v>45508</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42230-2023</t>
        </is>
      </c>
      <c r="B636" s="1" t="n">
        <v>45180</v>
      </c>
      <c r="C636" s="1" t="n">
        <v>45508</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42305-2023</t>
        </is>
      </c>
      <c r="B637" s="1" t="n">
        <v>45180</v>
      </c>
      <c r="C637" s="1" t="n">
        <v>45508</v>
      </c>
      <c r="D637" t="inlineStr">
        <is>
          <t>DALARNAS LÄN</t>
        </is>
      </c>
      <c r="E637" t="inlineStr">
        <is>
          <t>LEKSAND</t>
        </is>
      </c>
      <c r="G637" t="n">
        <v>6.9</v>
      </c>
      <c r="H637" t="n">
        <v>0</v>
      </c>
      <c r="I637" t="n">
        <v>0</v>
      </c>
      <c r="J637" t="n">
        <v>0</v>
      </c>
      <c r="K637" t="n">
        <v>0</v>
      </c>
      <c r="L637" t="n">
        <v>0</v>
      </c>
      <c r="M637" t="n">
        <v>0</v>
      </c>
      <c r="N637" t="n">
        <v>0</v>
      </c>
      <c r="O637" t="n">
        <v>0</v>
      </c>
      <c r="P637" t="n">
        <v>0</v>
      </c>
      <c r="Q637" t="n">
        <v>0</v>
      </c>
      <c r="R637" s="2" t="inlineStr"/>
    </row>
    <row r="638" ht="15" customHeight="1">
      <c r="A638" t="inlineStr">
        <is>
          <t>A 42290-2023</t>
        </is>
      </c>
      <c r="B638" s="1" t="n">
        <v>45180</v>
      </c>
      <c r="C638" s="1" t="n">
        <v>45508</v>
      </c>
      <c r="D638" t="inlineStr">
        <is>
          <t>DALARNAS LÄN</t>
        </is>
      </c>
      <c r="E638" t="inlineStr">
        <is>
          <t>LEKSAND</t>
        </is>
      </c>
      <c r="G638" t="n">
        <v>6.8</v>
      </c>
      <c r="H638" t="n">
        <v>0</v>
      </c>
      <c r="I638" t="n">
        <v>0</v>
      </c>
      <c r="J638" t="n">
        <v>0</v>
      </c>
      <c r="K638" t="n">
        <v>0</v>
      </c>
      <c r="L638" t="n">
        <v>0</v>
      </c>
      <c r="M638" t="n">
        <v>0</v>
      </c>
      <c r="N638" t="n">
        <v>0</v>
      </c>
      <c r="O638" t="n">
        <v>0</v>
      </c>
      <c r="P638" t="n">
        <v>0</v>
      </c>
      <c r="Q638" t="n">
        <v>0</v>
      </c>
      <c r="R638" s="2" t="inlineStr"/>
    </row>
    <row r="639" ht="15" customHeight="1">
      <c r="A639" t="inlineStr">
        <is>
          <t>A 42739-2023</t>
        </is>
      </c>
      <c r="B639" s="1" t="n">
        <v>45181</v>
      </c>
      <c r="C639" s="1" t="n">
        <v>45508</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42774-2023</t>
        </is>
      </c>
      <c r="B640" s="1" t="n">
        <v>45181</v>
      </c>
      <c r="C640" s="1" t="n">
        <v>45508</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42771-2023</t>
        </is>
      </c>
      <c r="B641" s="1" t="n">
        <v>45181</v>
      </c>
      <c r="C641" s="1" t="n">
        <v>45508</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44491-2023</t>
        </is>
      </c>
      <c r="B642" s="1" t="n">
        <v>45183</v>
      </c>
      <c r="C642" s="1" t="n">
        <v>45508</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43436-2023</t>
        </is>
      </c>
      <c r="B643" s="1" t="n">
        <v>45184</v>
      </c>
      <c r="C643" s="1" t="n">
        <v>45508</v>
      </c>
      <c r="D643" t="inlineStr">
        <is>
          <t>DALARNAS LÄN</t>
        </is>
      </c>
      <c r="E643" t="inlineStr">
        <is>
          <t>LEKSAND</t>
        </is>
      </c>
      <c r="G643" t="n">
        <v>6</v>
      </c>
      <c r="H643" t="n">
        <v>0</v>
      </c>
      <c r="I643" t="n">
        <v>0</v>
      </c>
      <c r="J643" t="n">
        <v>0</v>
      </c>
      <c r="K643" t="n">
        <v>0</v>
      </c>
      <c r="L643" t="n">
        <v>0</v>
      </c>
      <c r="M643" t="n">
        <v>0</v>
      </c>
      <c r="N643" t="n">
        <v>0</v>
      </c>
      <c r="O643" t="n">
        <v>0</v>
      </c>
      <c r="P643" t="n">
        <v>0</v>
      </c>
      <c r="Q643" t="n">
        <v>0</v>
      </c>
      <c r="R643" s="2" t="inlineStr"/>
    </row>
    <row r="644" ht="15" customHeight="1">
      <c r="A644" t="inlineStr">
        <is>
          <t>A 43440-2023</t>
        </is>
      </c>
      <c r="B644" s="1" t="n">
        <v>45184</v>
      </c>
      <c r="C644" s="1" t="n">
        <v>45508</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43508-2023</t>
        </is>
      </c>
      <c r="B645" s="1" t="n">
        <v>45184</v>
      </c>
      <c r="C645" s="1" t="n">
        <v>45508</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43642-2023</t>
        </is>
      </c>
      <c r="B646" s="1" t="n">
        <v>45186</v>
      </c>
      <c r="C646" s="1" t="n">
        <v>45508</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43650-2023</t>
        </is>
      </c>
      <c r="B647" s="1" t="n">
        <v>45187</v>
      </c>
      <c r="C647" s="1" t="n">
        <v>45508</v>
      </c>
      <c r="D647" t="inlineStr">
        <is>
          <t>DALARNAS LÄN</t>
        </is>
      </c>
      <c r="E647" t="inlineStr">
        <is>
          <t>LEKSAND</t>
        </is>
      </c>
      <c r="G647" t="n">
        <v>4.5</v>
      </c>
      <c r="H647" t="n">
        <v>0</v>
      </c>
      <c r="I647" t="n">
        <v>0</v>
      </c>
      <c r="J647" t="n">
        <v>0</v>
      </c>
      <c r="K647" t="n">
        <v>0</v>
      </c>
      <c r="L647" t="n">
        <v>0</v>
      </c>
      <c r="M647" t="n">
        <v>0</v>
      </c>
      <c r="N647" t="n">
        <v>0</v>
      </c>
      <c r="O647" t="n">
        <v>0</v>
      </c>
      <c r="P647" t="n">
        <v>0</v>
      </c>
      <c r="Q647" t="n">
        <v>0</v>
      </c>
      <c r="R647" s="2" t="inlineStr"/>
    </row>
    <row r="648" ht="15" customHeight="1">
      <c r="A648" t="inlineStr">
        <is>
          <t>A 44712-2023</t>
        </is>
      </c>
      <c r="B648" s="1" t="n">
        <v>45190</v>
      </c>
      <c r="C648" s="1" t="n">
        <v>45508</v>
      </c>
      <c r="D648" t="inlineStr">
        <is>
          <t>DALARNAS LÄN</t>
        </is>
      </c>
      <c r="E648" t="inlineStr">
        <is>
          <t>LEKSAND</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45254-2023</t>
        </is>
      </c>
      <c r="B649" s="1" t="n">
        <v>45191</v>
      </c>
      <c r="C649" s="1" t="n">
        <v>45508</v>
      </c>
      <c r="D649" t="inlineStr">
        <is>
          <t>DALARNAS LÄN</t>
        </is>
      </c>
      <c r="E649" t="inlineStr">
        <is>
          <t>LEKSAND</t>
        </is>
      </c>
      <c r="G649" t="n">
        <v>16.9</v>
      </c>
      <c r="H649" t="n">
        <v>0</v>
      </c>
      <c r="I649" t="n">
        <v>0</v>
      </c>
      <c r="J649" t="n">
        <v>0</v>
      </c>
      <c r="K649" t="n">
        <v>0</v>
      </c>
      <c r="L649" t="n">
        <v>0</v>
      </c>
      <c r="M649" t="n">
        <v>0</v>
      </c>
      <c r="N649" t="n">
        <v>0</v>
      </c>
      <c r="O649" t="n">
        <v>0</v>
      </c>
      <c r="P649" t="n">
        <v>0</v>
      </c>
      <c r="Q649" t="n">
        <v>0</v>
      </c>
      <c r="R649" s="2" t="inlineStr"/>
    </row>
    <row r="650" ht="15" customHeight="1">
      <c r="A650" t="inlineStr">
        <is>
          <t>A 45633-2023</t>
        </is>
      </c>
      <c r="B650" s="1" t="n">
        <v>45194</v>
      </c>
      <c r="C650" s="1" t="n">
        <v>45508</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45512-2023</t>
        </is>
      </c>
      <c r="B651" s="1" t="n">
        <v>45194</v>
      </c>
      <c r="C651" s="1" t="n">
        <v>45508</v>
      </c>
      <c r="D651" t="inlineStr">
        <is>
          <t>DALARNAS LÄN</t>
        </is>
      </c>
      <c r="E651" t="inlineStr">
        <is>
          <t>LEKSAND</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45768-2023</t>
        </is>
      </c>
      <c r="B652" s="1" t="n">
        <v>45195</v>
      </c>
      <c r="C652" s="1" t="n">
        <v>45508</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45679-2023</t>
        </is>
      </c>
      <c r="B653" s="1" t="n">
        <v>45195</v>
      </c>
      <c r="C653" s="1" t="n">
        <v>45508</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45813-2023</t>
        </is>
      </c>
      <c r="B654" s="1" t="n">
        <v>45195</v>
      </c>
      <c r="C654" s="1" t="n">
        <v>45508</v>
      </c>
      <c r="D654" t="inlineStr">
        <is>
          <t>DALARNAS LÄN</t>
        </is>
      </c>
      <c r="E654" t="inlineStr">
        <is>
          <t>LEKSAND</t>
        </is>
      </c>
      <c r="G654" t="n">
        <v>3</v>
      </c>
      <c r="H654" t="n">
        <v>0</v>
      </c>
      <c r="I654" t="n">
        <v>0</v>
      </c>
      <c r="J654" t="n">
        <v>0</v>
      </c>
      <c r="K654" t="n">
        <v>0</v>
      </c>
      <c r="L654" t="n">
        <v>0</v>
      </c>
      <c r="M654" t="n">
        <v>0</v>
      </c>
      <c r="N654" t="n">
        <v>0</v>
      </c>
      <c r="O654" t="n">
        <v>0</v>
      </c>
      <c r="P654" t="n">
        <v>0</v>
      </c>
      <c r="Q654" t="n">
        <v>0</v>
      </c>
      <c r="R654" s="2" t="inlineStr"/>
    </row>
    <row r="655" ht="15" customHeight="1">
      <c r="A655" t="inlineStr">
        <is>
          <t>A 46163-2023</t>
        </is>
      </c>
      <c r="B655" s="1" t="n">
        <v>45196</v>
      </c>
      <c r="C655" s="1" t="n">
        <v>45508</v>
      </c>
      <c r="D655" t="inlineStr">
        <is>
          <t>DALARNAS LÄN</t>
        </is>
      </c>
      <c r="E655" t="inlineStr">
        <is>
          <t>LEKSAND</t>
        </is>
      </c>
      <c r="G655" t="n">
        <v>7.3</v>
      </c>
      <c r="H655" t="n">
        <v>0</v>
      </c>
      <c r="I655" t="n">
        <v>0</v>
      </c>
      <c r="J655" t="n">
        <v>0</v>
      </c>
      <c r="K655" t="n">
        <v>0</v>
      </c>
      <c r="L655" t="n">
        <v>0</v>
      </c>
      <c r="M655" t="n">
        <v>0</v>
      </c>
      <c r="N655" t="n">
        <v>0</v>
      </c>
      <c r="O655" t="n">
        <v>0</v>
      </c>
      <c r="P655" t="n">
        <v>0</v>
      </c>
      <c r="Q655" t="n">
        <v>0</v>
      </c>
      <c r="R655" s="2" t="inlineStr"/>
    </row>
    <row r="656" ht="15" customHeight="1">
      <c r="A656" t="inlineStr">
        <is>
          <t>A 46446-2023</t>
        </is>
      </c>
      <c r="B656" s="1" t="n">
        <v>45197</v>
      </c>
      <c r="C656" s="1" t="n">
        <v>45508</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46505-2023</t>
        </is>
      </c>
      <c r="B657" s="1" t="n">
        <v>45197</v>
      </c>
      <c r="C657" s="1" t="n">
        <v>45508</v>
      </c>
      <c r="D657" t="inlineStr">
        <is>
          <t>DALARNAS LÄN</t>
        </is>
      </c>
      <c r="E657" t="inlineStr">
        <is>
          <t>LEKSAND</t>
        </is>
      </c>
      <c r="G657" t="n">
        <v>2.3</v>
      </c>
      <c r="H657" t="n">
        <v>0</v>
      </c>
      <c r="I657" t="n">
        <v>0</v>
      </c>
      <c r="J657" t="n">
        <v>0</v>
      </c>
      <c r="K657" t="n">
        <v>0</v>
      </c>
      <c r="L657" t="n">
        <v>0</v>
      </c>
      <c r="M657" t="n">
        <v>0</v>
      </c>
      <c r="N657" t="n">
        <v>0</v>
      </c>
      <c r="O657" t="n">
        <v>0</v>
      </c>
      <c r="P657" t="n">
        <v>0</v>
      </c>
      <c r="Q657" t="n">
        <v>0</v>
      </c>
      <c r="R657" s="2" t="inlineStr"/>
    </row>
    <row r="658" ht="15" customHeight="1">
      <c r="A658" t="inlineStr">
        <is>
          <t>A 46593-2023</t>
        </is>
      </c>
      <c r="B658" s="1" t="n">
        <v>45198</v>
      </c>
      <c r="C658" s="1" t="n">
        <v>45508</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46669-2023</t>
        </is>
      </c>
      <c r="B659" s="1" t="n">
        <v>45198</v>
      </c>
      <c r="C659" s="1" t="n">
        <v>45508</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46594-2023</t>
        </is>
      </c>
      <c r="B660" s="1" t="n">
        <v>45198</v>
      </c>
      <c r="C660" s="1" t="n">
        <v>45508</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46600-2023</t>
        </is>
      </c>
      <c r="B661" s="1" t="n">
        <v>45198</v>
      </c>
      <c r="C661" s="1" t="n">
        <v>45508</v>
      </c>
      <c r="D661" t="inlineStr">
        <is>
          <t>DALARNAS LÄN</t>
        </is>
      </c>
      <c r="E661" t="inlineStr">
        <is>
          <t>LEKSAND</t>
        </is>
      </c>
      <c r="G661" t="n">
        <v>2.6</v>
      </c>
      <c r="H661" t="n">
        <v>0</v>
      </c>
      <c r="I661" t="n">
        <v>0</v>
      </c>
      <c r="J661" t="n">
        <v>0</v>
      </c>
      <c r="K661" t="n">
        <v>0</v>
      </c>
      <c r="L661" t="n">
        <v>0</v>
      </c>
      <c r="M661" t="n">
        <v>0</v>
      </c>
      <c r="N661" t="n">
        <v>0</v>
      </c>
      <c r="O661" t="n">
        <v>0</v>
      </c>
      <c r="P661" t="n">
        <v>0</v>
      </c>
      <c r="Q661" t="n">
        <v>0</v>
      </c>
      <c r="R661" s="2" t="inlineStr"/>
    </row>
    <row r="662" ht="15" customHeight="1">
      <c r="A662" t="inlineStr">
        <is>
          <t>A 46665-2023</t>
        </is>
      </c>
      <c r="B662" s="1" t="n">
        <v>45198</v>
      </c>
      <c r="C662" s="1" t="n">
        <v>45508</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46635-2023</t>
        </is>
      </c>
      <c r="B663" s="1" t="n">
        <v>45198</v>
      </c>
      <c r="C663" s="1" t="n">
        <v>45508</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46834-2023</t>
        </is>
      </c>
      <c r="B664" s="1" t="n">
        <v>45199</v>
      </c>
      <c r="C664" s="1" t="n">
        <v>45508</v>
      </c>
      <c r="D664" t="inlineStr">
        <is>
          <t>DALARNAS LÄN</t>
        </is>
      </c>
      <c r="E664" t="inlineStr">
        <is>
          <t>LEKSAND</t>
        </is>
      </c>
      <c r="G664" t="n">
        <v>16.3</v>
      </c>
      <c r="H664" t="n">
        <v>0</v>
      </c>
      <c r="I664" t="n">
        <v>0</v>
      </c>
      <c r="J664" t="n">
        <v>0</v>
      </c>
      <c r="K664" t="n">
        <v>0</v>
      </c>
      <c r="L664" t="n">
        <v>0</v>
      </c>
      <c r="M664" t="n">
        <v>0</v>
      </c>
      <c r="N664" t="n">
        <v>0</v>
      </c>
      <c r="O664" t="n">
        <v>0</v>
      </c>
      <c r="P664" t="n">
        <v>0</v>
      </c>
      <c r="Q664" t="n">
        <v>0</v>
      </c>
      <c r="R664" s="2" t="inlineStr"/>
    </row>
    <row r="665" ht="15" customHeight="1">
      <c r="A665" t="inlineStr">
        <is>
          <t>A 46876-2023</t>
        </is>
      </c>
      <c r="B665" s="1" t="n">
        <v>45200</v>
      </c>
      <c r="C665" s="1" t="n">
        <v>45508</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47039-2023</t>
        </is>
      </c>
      <c r="B666" s="1" t="n">
        <v>45201</v>
      </c>
      <c r="C666" s="1" t="n">
        <v>45508</v>
      </c>
      <c r="D666" t="inlineStr">
        <is>
          <t>DALARNAS LÄN</t>
        </is>
      </c>
      <c r="E666" t="inlineStr">
        <is>
          <t>LEKSAND</t>
        </is>
      </c>
      <c r="G666" t="n">
        <v>3.2</v>
      </c>
      <c r="H666" t="n">
        <v>0</v>
      </c>
      <c r="I666" t="n">
        <v>0</v>
      </c>
      <c r="J666" t="n">
        <v>0</v>
      </c>
      <c r="K666" t="n">
        <v>0</v>
      </c>
      <c r="L666" t="n">
        <v>0</v>
      </c>
      <c r="M666" t="n">
        <v>0</v>
      </c>
      <c r="N666" t="n">
        <v>0</v>
      </c>
      <c r="O666" t="n">
        <v>0</v>
      </c>
      <c r="P666" t="n">
        <v>0</v>
      </c>
      <c r="Q666" t="n">
        <v>0</v>
      </c>
      <c r="R666" s="2" t="inlineStr"/>
    </row>
    <row r="667" ht="15" customHeight="1">
      <c r="A667" t="inlineStr">
        <is>
          <t>A 46931-2023</t>
        </is>
      </c>
      <c r="B667" s="1" t="n">
        <v>45201</v>
      </c>
      <c r="C667" s="1" t="n">
        <v>45508</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47011-2023</t>
        </is>
      </c>
      <c r="B668" s="1" t="n">
        <v>45201</v>
      </c>
      <c r="C668" s="1" t="n">
        <v>45508</v>
      </c>
      <c r="D668" t="inlineStr">
        <is>
          <t>DALARNAS LÄN</t>
        </is>
      </c>
      <c r="E668" t="inlineStr">
        <is>
          <t>LEKSAND</t>
        </is>
      </c>
      <c r="G668" t="n">
        <v>4</v>
      </c>
      <c r="H668" t="n">
        <v>0</v>
      </c>
      <c r="I668" t="n">
        <v>0</v>
      </c>
      <c r="J668" t="n">
        <v>0</v>
      </c>
      <c r="K668" t="n">
        <v>0</v>
      </c>
      <c r="L668" t="n">
        <v>0</v>
      </c>
      <c r="M668" t="n">
        <v>0</v>
      </c>
      <c r="N668" t="n">
        <v>0</v>
      </c>
      <c r="O668" t="n">
        <v>0</v>
      </c>
      <c r="P668" t="n">
        <v>0</v>
      </c>
      <c r="Q668" t="n">
        <v>0</v>
      </c>
      <c r="R668" s="2" t="inlineStr"/>
    </row>
    <row r="669" ht="15" customHeight="1">
      <c r="A669" t="inlineStr">
        <is>
          <t>A 47203-2023</t>
        </is>
      </c>
      <c r="B669" s="1" t="n">
        <v>45202</v>
      </c>
      <c r="C669" s="1" t="n">
        <v>45508</v>
      </c>
      <c r="D669" t="inlineStr">
        <is>
          <t>DALARNAS LÄN</t>
        </is>
      </c>
      <c r="E669" t="inlineStr">
        <is>
          <t>LEKSAND</t>
        </is>
      </c>
      <c r="G669" t="n">
        <v>2.1</v>
      </c>
      <c r="H669" t="n">
        <v>0</v>
      </c>
      <c r="I669" t="n">
        <v>0</v>
      </c>
      <c r="J669" t="n">
        <v>0</v>
      </c>
      <c r="K669" t="n">
        <v>0</v>
      </c>
      <c r="L669" t="n">
        <v>0</v>
      </c>
      <c r="M669" t="n">
        <v>0</v>
      </c>
      <c r="N669" t="n">
        <v>0</v>
      </c>
      <c r="O669" t="n">
        <v>0</v>
      </c>
      <c r="P669" t="n">
        <v>0</v>
      </c>
      <c r="Q669" t="n">
        <v>0</v>
      </c>
      <c r="R669" s="2" t="inlineStr"/>
    </row>
    <row r="670" ht="15" customHeight="1">
      <c r="A670" t="inlineStr">
        <is>
          <t>A 47673-2023</t>
        </is>
      </c>
      <c r="B670" s="1" t="n">
        <v>45203</v>
      </c>
      <c r="C670" s="1" t="n">
        <v>45508</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47655-2023</t>
        </is>
      </c>
      <c r="B671" s="1" t="n">
        <v>45203</v>
      </c>
      <c r="C671" s="1" t="n">
        <v>45508</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48714-2023</t>
        </is>
      </c>
      <c r="B672" s="1" t="n">
        <v>45203</v>
      </c>
      <c r="C672" s="1" t="n">
        <v>45508</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48721-2023</t>
        </is>
      </c>
      <c r="B673" s="1" t="n">
        <v>45203</v>
      </c>
      <c r="C673" s="1" t="n">
        <v>45508</v>
      </c>
      <c r="D673" t="inlineStr">
        <is>
          <t>DALARNAS LÄN</t>
        </is>
      </c>
      <c r="E673" t="inlineStr">
        <is>
          <t>LEKSAND</t>
        </is>
      </c>
      <c r="G673" t="n">
        <v>2.9</v>
      </c>
      <c r="H673" t="n">
        <v>0</v>
      </c>
      <c r="I673" t="n">
        <v>0</v>
      </c>
      <c r="J673" t="n">
        <v>0</v>
      </c>
      <c r="K673" t="n">
        <v>0</v>
      </c>
      <c r="L673" t="n">
        <v>0</v>
      </c>
      <c r="M673" t="n">
        <v>0</v>
      </c>
      <c r="N673" t="n">
        <v>0</v>
      </c>
      <c r="O673" t="n">
        <v>0</v>
      </c>
      <c r="P673" t="n">
        <v>0</v>
      </c>
      <c r="Q673" t="n">
        <v>0</v>
      </c>
      <c r="R673" s="2" t="inlineStr"/>
    </row>
    <row r="674" ht="15" customHeight="1">
      <c r="A674" t="inlineStr">
        <is>
          <t>A 48029-2023</t>
        </is>
      </c>
      <c r="B674" s="1" t="n">
        <v>45204</v>
      </c>
      <c r="C674" s="1" t="n">
        <v>45508</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48644-2023</t>
        </is>
      </c>
      <c r="B675" s="1" t="n">
        <v>45208</v>
      </c>
      <c r="C675" s="1" t="n">
        <v>45508</v>
      </c>
      <c r="D675" t="inlineStr">
        <is>
          <t>DALARNAS LÄN</t>
        </is>
      </c>
      <c r="E675" t="inlineStr">
        <is>
          <t>LEKSAND</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50374-2023</t>
        </is>
      </c>
      <c r="B676" s="1" t="n">
        <v>45209</v>
      </c>
      <c r="C676" s="1" t="n">
        <v>45508</v>
      </c>
      <c r="D676" t="inlineStr">
        <is>
          <t>DALARNAS LÄN</t>
        </is>
      </c>
      <c r="E676" t="inlineStr">
        <is>
          <t>LEKSAND</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50082-2023</t>
        </is>
      </c>
      <c r="B677" s="1" t="n">
        <v>45215</v>
      </c>
      <c r="C677" s="1" t="n">
        <v>45508</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v>
      </c>
      <c r="C678" s="1" t="n">
        <v>45508</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50278-2023</t>
        </is>
      </c>
      <c r="B679" s="1" t="n">
        <v>45216</v>
      </c>
      <c r="C679" s="1" t="n">
        <v>45508</v>
      </c>
      <c r="D679" t="inlineStr">
        <is>
          <t>DALARNAS LÄN</t>
        </is>
      </c>
      <c r="E679" t="inlineStr">
        <is>
          <t>LEKSAND</t>
        </is>
      </c>
      <c r="G679" t="n">
        <v>0.4</v>
      </c>
      <c r="H679" t="n">
        <v>0</v>
      </c>
      <c r="I679" t="n">
        <v>0</v>
      </c>
      <c r="J679" t="n">
        <v>0</v>
      </c>
      <c r="K679" t="n">
        <v>0</v>
      </c>
      <c r="L679" t="n">
        <v>0</v>
      </c>
      <c r="M679" t="n">
        <v>0</v>
      </c>
      <c r="N679" t="n">
        <v>0</v>
      </c>
      <c r="O679" t="n">
        <v>0</v>
      </c>
      <c r="P679" t="n">
        <v>0</v>
      </c>
      <c r="Q679" t="n">
        <v>0</v>
      </c>
      <c r="R679" s="2" t="inlineStr"/>
    </row>
    <row r="680" ht="15" customHeight="1">
      <c r="A680" t="inlineStr">
        <is>
          <t>A 50553-2023</t>
        </is>
      </c>
      <c r="B680" s="1" t="n">
        <v>45217</v>
      </c>
      <c r="C680" s="1" t="n">
        <v>45508</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51090-2023</t>
        </is>
      </c>
      <c r="B681" s="1" t="n">
        <v>45218</v>
      </c>
      <c r="C681" s="1" t="n">
        <v>45508</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51377-2023</t>
        </is>
      </c>
      <c r="B682" s="1" t="n">
        <v>45219</v>
      </c>
      <c r="C682" s="1" t="n">
        <v>45508</v>
      </c>
      <c r="D682" t="inlineStr">
        <is>
          <t>DALARNAS LÄN</t>
        </is>
      </c>
      <c r="E682" t="inlineStr">
        <is>
          <t>LEKSAND</t>
        </is>
      </c>
      <c r="G682" t="n">
        <v>0.9</v>
      </c>
      <c r="H682" t="n">
        <v>0</v>
      </c>
      <c r="I682" t="n">
        <v>0</v>
      </c>
      <c r="J682" t="n">
        <v>0</v>
      </c>
      <c r="K682" t="n">
        <v>0</v>
      </c>
      <c r="L682" t="n">
        <v>0</v>
      </c>
      <c r="M682" t="n">
        <v>0</v>
      </c>
      <c r="N682" t="n">
        <v>0</v>
      </c>
      <c r="O682" t="n">
        <v>0</v>
      </c>
      <c r="P682" t="n">
        <v>0</v>
      </c>
      <c r="Q682" t="n">
        <v>0</v>
      </c>
      <c r="R682" s="2" t="inlineStr"/>
    </row>
    <row r="683" ht="15" customHeight="1">
      <c r="A683" t="inlineStr">
        <is>
          <t>A 52801-2023</t>
        </is>
      </c>
      <c r="B683" s="1" t="n">
        <v>45219</v>
      </c>
      <c r="C683" s="1" t="n">
        <v>45508</v>
      </c>
      <c r="D683" t="inlineStr">
        <is>
          <t>DALARNAS LÄN</t>
        </is>
      </c>
      <c r="E683" t="inlineStr">
        <is>
          <t>LEKSAND</t>
        </is>
      </c>
      <c r="G683" t="n">
        <v>4.9</v>
      </c>
      <c r="H683" t="n">
        <v>0</v>
      </c>
      <c r="I683" t="n">
        <v>0</v>
      </c>
      <c r="J683" t="n">
        <v>0</v>
      </c>
      <c r="K683" t="n">
        <v>0</v>
      </c>
      <c r="L683" t="n">
        <v>0</v>
      </c>
      <c r="M683" t="n">
        <v>0</v>
      </c>
      <c r="N683" t="n">
        <v>0</v>
      </c>
      <c r="O683" t="n">
        <v>0</v>
      </c>
      <c r="P683" t="n">
        <v>0</v>
      </c>
      <c r="Q683" t="n">
        <v>0</v>
      </c>
      <c r="R683" s="2" t="inlineStr"/>
    </row>
    <row r="684" ht="15" customHeight="1">
      <c r="A684" t="inlineStr">
        <is>
          <t>A 52216-2023</t>
        </is>
      </c>
      <c r="B684" s="1" t="n">
        <v>45219</v>
      </c>
      <c r="C684" s="1" t="n">
        <v>45508</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51320-2023</t>
        </is>
      </c>
      <c r="B685" s="1" t="n">
        <v>45219</v>
      </c>
      <c r="C685" s="1" t="n">
        <v>45508</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51736-2023</t>
        </is>
      </c>
      <c r="B686" s="1" t="n">
        <v>45222</v>
      </c>
      <c r="C686" s="1" t="n">
        <v>45508</v>
      </c>
      <c r="D686" t="inlineStr">
        <is>
          <t>DALARNAS LÄN</t>
        </is>
      </c>
      <c r="E686" t="inlineStr">
        <is>
          <t>LEKSAND</t>
        </is>
      </c>
      <c r="G686" t="n">
        <v>2.8</v>
      </c>
      <c r="H686" t="n">
        <v>0</v>
      </c>
      <c r="I686" t="n">
        <v>0</v>
      </c>
      <c r="J686" t="n">
        <v>0</v>
      </c>
      <c r="K686" t="n">
        <v>0</v>
      </c>
      <c r="L686" t="n">
        <v>0</v>
      </c>
      <c r="M686" t="n">
        <v>0</v>
      </c>
      <c r="N686" t="n">
        <v>0</v>
      </c>
      <c r="O686" t="n">
        <v>0</v>
      </c>
      <c r="P686" t="n">
        <v>0</v>
      </c>
      <c r="Q686" t="n">
        <v>0</v>
      </c>
      <c r="R686" s="2" t="inlineStr"/>
    </row>
    <row r="687" ht="15" customHeight="1">
      <c r="A687" t="inlineStr">
        <is>
          <t>A 52959-2023</t>
        </is>
      </c>
      <c r="B687" s="1" t="n">
        <v>45222</v>
      </c>
      <c r="C687" s="1" t="n">
        <v>45508</v>
      </c>
      <c r="D687" t="inlineStr">
        <is>
          <t>DALARNAS LÄN</t>
        </is>
      </c>
      <c r="E687" t="inlineStr">
        <is>
          <t>LEKSAND</t>
        </is>
      </c>
      <c r="G687" t="n">
        <v>6.5</v>
      </c>
      <c r="H687" t="n">
        <v>0</v>
      </c>
      <c r="I687" t="n">
        <v>0</v>
      </c>
      <c r="J687" t="n">
        <v>0</v>
      </c>
      <c r="K687" t="n">
        <v>0</v>
      </c>
      <c r="L687" t="n">
        <v>0</v>
      </c>
      <c r="M687" t="n">
        <v>0</v>
      </c>
      <c r="N687" t="n">
        <v>0</v>
      </c>
      <c r="O687" t="n">
        <v>0</v>
      </c>
      <c r="P687" t="n">
        <v>0</v>
      </c>
      <c r="Q687" t="n">
        <v>0</v>
      </c>
      <c r="R687" s="2" t="inlineStr"/>
    </row>
    <row r="688" ht="15" customHeight="1">
      <c r="A688" t="inlineStr">
        <is>
          <t>A 52016-2023</t>
        </is>
      </c>
      <c r="B688" s="1" t="n">
        <v>45223</v>
      </c>
      <c r="C688" s="1" t="n">
        <v>45508</v>
      </c>
      <c r="D688" t="inlineStr">
        <is>
          <t>DALARNAS LÄN</t>
        </is>
      </c>
      <c r="E688" t="inlineStr">
        <is>
          <t>LEKSAND</t>
        </is>
      </c>
      <c r="F688" t="inlineStr">
        <is>
          <t>Bergvik skog väst AB</t>
        </is>
      </c>
      <c r="G688" t="n">
        <v>3.2</v>
      </c>
      <c r="H688" t="n">
        <v>0</v>
      </c>
      <c r="I688" t="n">
        <v>0</v>
      </c>
      <c r="J688" t="n">
        <v>0</v>
      </c>
      <c r="K688" t="n">
        <v>0</v>
      </c>
      <c r="L688" t="n">
        <v>0</v>
      </c>
      <c r="M688" t="n">
        <v>0</v>
      </c>
      <c r="N688" t="n">
        <v>0</v>
      </c>
      <c r="O688" t="n">
        <v>0</v>
      </c>
      <c r="P688" t="n">
        <v>0</v>
      </c>
      <c r="Q688" t="n">
        <v>0</v>
      </c>
      <c r="R688" s="2" t="inlineStr"/>
    </row>
    <row r="689" ht="15" customHeight="1">
      <c r="A689" t="inlineStr">
        <is>
          <t>A 52732-2023</t>
        </is>
      </c>
      <c r="B689" s="1" t="n">
        <v>45226</v>
      </c>
      <c r="C689" s="1" t="n">
        <v>45508</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53120-2023</t>
        </is>
      </c>
      <c r="B690" s="1" t="n">
        <v>45228</v>
      </c>
      <c r="C690" s="1" t="n">
        <v>45508</v>
      </c>
      <c r="D690" t="inlineStr">
        <is>
          <t>DALARNAS LÄN</t>
        </is>
      </c>
      <c r="E690" t="inlineStr">
        <is>
          <t>LEKSAND</t>
        </is>
      </c>
      <c r="G690" t="n">
        <v>18</v>
      </c>
      <c r="H690" t="n">
        <v>0</v>
      </c>
      <c r="I690" t="n">
        <v>0</v>
      </c>
      <c r="J690" t="n">
        <v>0</v>
      </c>
      <c r="K690" t="n">
        <v>0</v>
      </c>
      <c r="L690" t="n">
        <v>0</v>
      </c>
      <c r="M690" t="n">
        <v>0</v>
      </c>
      <c r="N690" t="n">
        <v>0</v>
      </c>
      <c r="O690" t="n">
        <v>0</v>
      </c>
      <c r="P690" t="n">
        <v>0</v>
      </c>
      <c r="Q690" t="n">
        <v>0</v>
      </c>
      <c r="R690" s="2" t="inlineStr"/>
    </row>
    <row r="691" ht="15" customHeight="1">
      <c r="A691" t="inlineStr">
        <is>
          <t>A 53122-2023</t>
        </is>
      </c>
      <c r="B691" s="1" t="n">
        <v>45228</v>
      </c>
      <c r="C691" s="1" t="n">
        <v>45508</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53248-2023</t>
        </is>
      </c>
      <c r="B692" s="1" t="n">
        <v>45229</v>
      </c>
      <c r="C692" s="1" t="n">
        <v>45508</v>
      </c>
      <c r="D692" t="inlineStr">
        <is>
          <t>DALARNAS LÄN</t>
        </is>
      </c>
      <c r="E692" t="inlineStr">
        <is>
          <t>LEKSAND</t>
        </is>
      </c>
      <c r="G692" t="n">
        <v>2.2</v>
      </c>
      <c r="H692" t="n">
        <v>0</v>
      </c>
      <c r="I692" t="n">
        <v>0</v>
      </c>
      <c r="J692" t="n">
        <v>0</v>
      </c>
      <c r="K692" t="n">
        <v>0</v>
      </c>
      <c r="L692" t="n">
        <v>0</v>
      </c>
      <c r="M692" t="n">
        <v>0</v>
      </c>
      <c r="N692" t="n">
        <v>0</v>
      </c>
      <c r="O692" t="n">
        <v>0</v>
      </c>
      <c r="P692" t="n">
        <v>0</v>
      </c>
      <c r="Q692" t="n">
        <v>0</v>
      </c>
      <c r="R692" s="2" t="inlineStr"/>
    </row>
    <row r="693" ht="15" customHeight="1">
      <c r="A693" t="inlineStr">
        <is>
          <t>A 53128-2023</t>
        </is>
      </c>
      <c r="B693" s="1" t="n">
        <v>45229</v>
      </c>
      <c r="C693" s="1" t="n">
        <v>45508</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53291-2023</t>
        </is>
      </c>
      <c r="B694" s="1" t="n">
        <v>45229</v>
      </c>
      <c r="C694" s="1" t="n">
        <v>45508</v>
      </c>
      <c r="D694" t="inlineStr">
        <is>
          <t>DALARNAS LÄN</t>
        </is>
      </c>
      <c r="E694" t="inlineStr">
        <is>
          <t>LEKSAND</t>
        </is>
      </c>
      <c r="G694" t="n">
        <v>2.5</v>
      </c>
      <c r="H694" t="n">
        <v>0</v>
      </c>
      <c r="I694" t="n">
        <v>0</v>
      </c>
      <c r="J694" t="n">
        <v>0</v>
      </c>
      <c r="K694" t="n">
        <v>0</v>
      </c>
      <c r="L694" t="n">
        <v>0</v>
      </c>
      <c r="M694" t="n">
        <v>0</v>
      </c>
      <c r="N694" t="n">
        <v>0</v>
      </c>
      <c r="O694" t="n">
        <v>0</v>
      </c>
      <c r="P694" t="n">
        <v>0</v>
      </c>
      <c r="Q694" t="n">
        <v>0</v>
      </c>
      <c r="R694" s="2" t="inlineStr"/>
    </row>
    <row r="695" ht="15" customHeight="1">
      <c r="A695" t="inlineStr">
        <is>
          <t>A 53621-2023</t>
        </is>
      </c>
      <c r="B695" s="1" t="n">
        <v>45230</v>
      </c>
      <c r="C695" s="1" t="n">
        <v>45508</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53636-2023</t>
        </is>
      </c>
      <c r="B696" s="1" t="n">
        <v>45230</v>
      </c>
      <c r="C696" s="1" t="n">
        <v>45508</v>
      </c>
      <c r="D696" t="inlineStr">
        <is>
          <t>DALARNAS LÄN</t>
        </is>
      </c>
      <c r="E696" t="inlineStr">
        <is>
          <t>LEKSAND</t>
        </is>
      </c>
      <c r="G696" t="n">
        <v>3.6</v>
      </c>
      <c r="H696" t="n">
        <v>0</v>
      </c>
      <c r="I696" t="n">
        <v>0</v>
      </c>
      <c r="J696" t="n">
        <v>0</v>
      </c>
      <c r="K696" t="n">
        <v>0</v>
      </c>
      <c r="L696" t="n">
        <v>0</v>
      </c>
      <c r="M696" t="n">
        <v>0</v>
      </c>
      <c r="N696" t="n">
        <v>0</v>
      </c>
      <c r="O696" t="n">
        <v>0</v>
      </c>
      <c r="P696" t="n">
        <v>0</v>
      </c>
      <c r="Q696" t="n">
        <v>0</v>
      </c>
      <c r="R696" s="2" t="inlineStr"/>
    </row>
    <row r="697" ht="15" customHeight="1">
      <c r="A697" t="inlineStr">
        <is>
          <t>A 53717-2023</t>
        </is>
      </c>
      <c r="B697" s="1" t="n">
        <v>45230</v>
      </c>
      <c r="C697" s="1" t="n">
        <v>45508</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55196-2023</t>
        </is>
      </c>
      <c r="B698" s="1" t="n">
        <v>45230</v>
      </c>
      <c r="C698" s="1" t="n">
        <v>45508</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53799-2023</t>
        </is>
      </c>
      <c r="B699" s="1" t="n">
        <v>45231</v>
      </c>
      <c r="C699" s="1" t="n">
        <v>45508</v>
      </c>
      <c r="D699" t="inlineStr">
        <is>
          <t>DALARNAS LÄN</t>
        </is>
      </c>
      <c r="E699" t="inlineStr">
        <is>
          <t>LEKSAND</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53823-2023</t>
        </is>
      </c>
      <c r="B700" s="1" t="n">
        <v>45231</v>
      </c>
      <c r="C700" s="1" t="n">
        <v>45508</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53817-2023</t>
        </is>
      </c>
      <c r="B701" s="1" t="n">
        <v>45231</v>
      </c>
      <c r="C701" s="1" t="n">
        <v>45508</v>
      </c>
      <c r="D701" t="inlineStr">
        <is>
          <t>DALARNAS LÄN</t>
        </is>
      </c>
      <c r="E701" t="inlineStr">
        <is>
          <t>LEKSAND</t>
        </is>
      </c>
      <c r="G701" t="n">
        <v>1.2</v>
      </c>
      <c r="H701" t="n">
        <v>0</v>
      </c>
      <c r="I701" t="n">
        <v>0</v>
      </c>
      <c r="J701" t="n">
        <v>0</v>
      </c>
      <c r="K701" t="n">
        <v>0</v>
      </c>
      <c r="L701" t="n">
        <v>0</v>
      </c>
      <c r="M701" t="n">
        <v>0</v>
      </c>
      <c r="N701" t="n">
        <v>0</v>
      </c>
      <c r="O701" t="n">
        <v>0</v>
      </c>
      <c r="P701" t="n">
        <v>0</v>
      </c>
      <c r="Q701" t="n">
        <v>0</v>
      </c>
      <c r="R701" s="2" t="inlineStr"/>
    </row>
    <row r="702" ht="15" customHeight="1">
      <c r="A702" t="inlineStr">
        <is>
          <t>A 54251-2023</t>
        </is>
      </c>
      <c r="B702" s="1" t="n">
        <v>45232</v>
      </c>
      <c r="C702" s="1" t="n">
        <v>45508</v>
      </c>
      <c r="D702" t="inlineStr">
        <is>
          <t>DALARNAS LÄN</t>
        </is>
      </c>
      <c r="E702" t="inlineStr">
        <is>
          <t>LEKSAND</t>
        </is>
      </c>
      <c r="F702" t="inlineStr">
        <is>
          <t>Övriga Aktiebolag</t>
        </is>
      </c>
      <c r="G702" t="n">
        <v>6.7</v>
      </c>
      <c r="H702" t="n">
        <v>0</v>
      </c>
      <c r="I702" t="n">
        <v>0</v>
      </c>
      <c r="J702" t="n">
        <v>0</v>
      </c>
      <c r="K702" t="n">
        <v>0</v>
      </c>
      <c r="L702" t="n">
        <v>0</v>
      </c>
      <c r="M702" t="n">
        <v>0</v>
      </c>
      <c r="N702" t="n">
        <v>0</v>
      </c>
      <c r="O702" t="n">
        <v>0</v>
      </c>
      <c r="P702" t="n">
        <v>0</v>
      </c>
      <c r="Q702" t="n">
        <v>0</v>
      </c>
      <c r="R702" s="2" t="inlineStr"/>
    </row>
    <row r="703" ht="15" customHeight="1">
      <c r="A703" t="inlineStr">
        <is>
          <t>A 54289-2023</t>
        </is>
      </c>
      <c r="B703" s="1" t="n">
        <v>45232</v>
      </c>
      <c r="C703" s="1" t="n">
        <v>45508</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54682-2023</t>
        </is>
      </c>
      <c r="B704" s="1" t="n">
        <v>45235</v>
      </c>
      <c r="C704" s="1" t="n">
        <v>45508</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54690-2023</t>
        </is>
      </c>
      <c r="B705" s="1" t="n">
        <v>45236</v>
      </c>
      <c r="C705" s="1" t="n">
        <v>45508</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55418-2023</t>
        </is>
      </c>
      <c r="B706" s="1" t="n">
        <v>45238</v>
      </c>
      <c r="C706" s="1" t="n">
        <v>45508</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55438-2023</t>
        </is>
      </c>
      <c r="B707" s="1" t="n">
        <v>45238</v>
      </c>
      <c r="C707" s="1" t="n">
        <v>45508</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55464-2023</t>
        </is>
      </c>
      <c r="B708" s="1" t="n">
        <v>45238</v>
      </c>
      <c r="C708" s="1" t="n">
        <v>45508</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55430-2023</t>
        </is>
      </c>
      <c r="B709" s="1" t="n">
        <v>45238</v>
      </c>
      <c r="C709" s="1" t="n">
        <v>45508</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56221-2023</t>
        </is>
      </c>
      <c r="B710" s="1" t="n">
        <v>45240</v>
      </c>
      <c r="C710" s="1" t="n">
        <v>45508</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56211-2023</t>
        </is>
      </c>
      <c r="B711" s="1" t="n">
        <v>45240</v>
      </c>
      <c r="C711" s="1" t="n">
        <v>45508</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56099-2023</t>
        </is>
      </c>
      <c r="B712" s="1" t="n">
        <v>45240</v>
      </c>
      <c r="C712" s="1" t="n">
        <v>45508</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56067-2023</t>
        </is>
      </c>
      <c r="B713" s="1" t="n">
        <v>45240</v>
      </c>
      <c r="C713" s="1" t="n">
        <v>45508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56065-2023</t>
        </is>
      </c>
      <c r="B714" s="1" t="n">
        <v>45240</v>
      </c>
      <c r="C714" s="1" t="n">
        <v>45508</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56350-2023</t>
        </is>
      </c>
      <c r="B715" s="1" t="n">
        <v>45243</v>
      </c>
      <c r="C715" s="1" t="n">
        <v>45508</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56632-2023</t>
        </is>
      </c>
      <c r="B716" s="1" t="n">
        <v>45243</v>
      </c>
      <c r="C716" s="1" t="n">
        <v>45508</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56753-2023</t>
        </is>
      </c>
      <c r="B717" s="1" t="n">
        <v>45244</v>
      </c>
      <c r="C717" s="1" t="n">
        <v>45508</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56810-2023</t>
        </is>
      </c>
      <c r="B718" s="1" t="n">
        <v>45244</v>
      </c>
      <c r="C718" s="1" t="n">
        <v>45508</v>
      </c>
      <c r="D718" t="inlineStr">
        <is>
          <t>DALARNAS LÄN</t>
        </is>
      </c>
      <c r="E718" t="inlineStr">
        <is>
          <t>LEKSAND</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56812-2023</t>
        </is>
      </c>
      <c r="B719" s="1" t="n">
        <v>45244</v>
      </c>
      <c r="C719" s="1" t="n">
        <v>45508</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57013-2023</t>
        </is>
      </c>
      <c r="B720" s="1" t="n">
        <v>45244</v>
      </c>
      <c r="C720" s="1" t="n">
        <v>45508</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57323-2023</t>
        </is>
      </c>
      <c r="B721" s="1" t="n">
        <v>45245</v>
      </c>
      <c r="C721" s="1" t="n">
        <v>45508</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57106-2023</t>
        </is>
      </c>
      <c r="B722" s="1" t="n">
        <v>45245</v>
      </c>
      <c r="C722" s="1" t="n">
        <v>45508</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57093-2023</t>
        </is>
      </c>
      <c r="B723" s="1" t="n">
        <v>45245</v>
      </c>
      <c r="C723" s="1" t="n">
        <v>45508</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57468-2023</t>
        </is>
      </c>
      <c r="B724" s="1" t="n">
        <v>45246</v>
      </c>
      <c r="C724" s="1" t="n">
        <v>45508</v>
      </c>
      <c r="D724" t="inlineStr">
        <is>
          <t>DALARNAS LÄN</t>
        </is>
      </c>
      <c r="E724" t="inlineStr">
        <is>
          <t>LEKSAND</t>
        </is>
      </c>
      <c r="G724" t="n">
        <v>4.6</v>
      </c>
      <c r="H724" t="n">
        <v>0</v>
      </c>
      <c r="I724" t="n">
        <v>0</v>
      </c>
      <c r="J724" t="n">
        <v>0</v>
      </c>
      <c r="K724" t="n">
        <v>0</v>
      </c>
      <c r="L724" t="n">
        <v>0</v>
      </c>
      <c r="M724" t="n">
        <v>0</v>
      </c>
      <c r="N724" t="n">
        <v>0</v>
      </c>
      <c r="O724" t="n">
        <v>0</v>
      </c>
      <c r="P724" t="n">
        <v>0</v>
      </c>
      <c r="Q724" t="n">
        <v>0</v>
      </c>
      <c r="R724" s="2" t="inlineStr"/>
    </row>
    <row r="725" ht="15" customHeight="1">
      <c r="A725" t="inlineStr">
        <is>
          <t>A 57635-2023</t>
        </is>
      </c>
      <c r="B725" s="1" t="n">
        <v>45246</v>
      </c>
      <c r="C725" s="1" t="n">
        <v>45508</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57681-2023</t>
        </is>
      </c>
      <c r="B726" s="1" t="n">
        <v>45246</v>
      </c>
      <c r="C726" s="1" t="n">
        <v>45508</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57665-2023</t>
        </is>
      </c>
      <c r="B727" s="1" t="n">
        <v>45246</v>
      </c>
      <c r="C727" s="1" t="n">
        <v>45508</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57852-2023</t>
        </is>
      </c>
      <c r="B728" s="1" t="n">
        <v>45247</v>
      </c>
      <c r="C728" s="1" t="n">
        <v>45508</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58405-2023</t>
        </is>
      </c>
      <c r="B729" s="1" t="n">
        <v>45250</v>
      </c>
      <c r="C729" s="1" t="n">
        <v>45508</v>
      </c>
      <c r="D729" t="inlineStr">
        <is>
          <t>DALARNAS LÄN</t>
        </is>
      </c>
      <c r="E729" t="inlineStr">
        <is>
          <t>LEKSAND</t>
        </is>
      </c>
      <c r="G729" t="n">
        <v>2.6</v>
      </c>
      <c r="H729" t="n">
        <v>0</v>
      </c>
      <c r="I729" t="n">
        <v>0</v>
      </c>
      <c r="J729" t="n">
        <v>0</v>
      </c>
      <c r="K729" t="n">
        <v>0</v>
      </c>
      <c r="L729" t="n">
        <v>0</v>
      </c>
      <c r="M729" t="n">
        <v>0</v>
      </c>
      <c r="N729" t="n">
        <v>0</v>
      </c>
      <c r="O729" t="n">
        <v>0</v>
      </c>
      <c r="P729" t="n">
        <v>0</v>
      </c>
      <c r="Q729" t="n">
        <v>0</v>
      </c>
      <c r="R729" s="2" t="inlineStr"/>
    </row>
    <row r="730" ht="15" customHeight="1">
      <c r="A730" t="inlineStr">
        <is>
          <t>A 58402-2023</t>
        </is>
      </c>
      <c r="B730" s="1" t="n">
        <v>45250</v>
      </c>
      <c r="C730" s="1" t="n">
        <v>45508</v>
      </c>
      <c r="D730" t="inlineStr">
        <is>
          <t>DALARNAS LÄN</t>
        </is>
      </c>
      <c r="E730" t="inlineStr">
        <is>
          <t>LEKSAND</t>
        </is>
      </c>
      <c r="G730" t="n">
        <v>4.5</v>
      </c>
      <c r="H730" t="n">
        <v>0</v>
      </c>
      <c r="I730" t="n">
        <v>0</v>
      </c>
      <c r="J730" t="n">
        <v>0</v>
      </c>
      <c r="K730" t="n">
        <v>0</v>
      </c>
      <c r="L730" t="n">
        <v>0</v>
      </c>
      <c r="M730" t="n">
        <v>0</v>
      </c>
      <c r="N730" t="n">
        <v>0</v>
      </c>
      <c r="O730" t="n">
        <v>0</v>
      </c>
      <c r="P730" t="n">
        <v>0</v>
      </c>
      <c r="Q730" t="n">
        <v>0</v>
      </c>
      <c r="R730" s="2" t="inlineStr"/>
    </row>
    <row r="731" ht="15" customHeight="1">
      <c r="A731" t="inlineStr">
        <is>
          <t>A 58495-2023</t>
        </is>
      </c>
      <c r="B731" s="1" t="n">
        <v>45251</v>
      </c>
      <c r="C731" s="1" t="n">
        <v>45508</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58730-2023</t>
        </is>
      </c>
      <c r="B732" s="1" t="n">
        <v>45251</v>
      </c>
      <c r="C732" s="1" t="n">
        <v>45508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58877-2023</t>
        </is>
      </c>
      <c r="B733" s="1" t="n">
        <v>45252</v>
      </c>
      <c r="C733" s="1" t="n">
        <v>45508</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58950-2023</t>
        </is>
      </c>
      <c r="B734" s="1" t="n">
        <v>45252</v>
      </c>
      <c r="C734" s="1" t="n">
        <v>45508</v>
      </c>
      <c r="D734" t="inlineStr">
        <is>
          <t>DALARNAS LÄN</t>
        </is>
      </c>
      <c r="E734" t="inlineStr">
        <is>
          <t>LEKSAND</t>
        </is>
      </c>
      <c r="G734" t="n">
        <v>1.8</v>
      </c>
      <c r="H734" t="n">
        <v>0</v>
      </c>
      <c r="I734" t="n">
        <v>0</v>
      </c>
      <c r="J734" t="n">
        <v>0</v>
      </c>
      <c r="K734" t="n">
        <v>0</v>
      </c>
      <c r="L734" t="n">
        <v>0</v>
      </c>
      <c r="M734" t="n">
        <v>0</v>
      </c>
      <c r="N734" t="n">
        <v>0</v>
      </c>
      <c r="O734" t="n">
        <v>0</v>
      </c>
      <c r="P734" t="n">
        <v>0</v>
      </c>
      <c r="Q734" t="n">
        <v>0</v>
      </c>
      <c r="R734" s="2" t="inlineStr"/>
    </row>
    <row r="735" ht="15" customHeight="1">
      <c r="A735" t="inlineStr">
        <is>
          <t>A 58949-2023</t>
        </is>
      </c>
      <c r="B735" s="1" t="n">
        <v>45252</v>
      </c>
      <c r="C735" s="1" t="n">
        <v>45508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59011-2023</t>
        </is>
      </c>
      <c r="B736" s="1" t="n">
        <v>45252</v>
      </c>
      <c r="C736" s="1" t="n">
        <v>45508</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58853-2023</t>
        </is>
      </c>
      <c r="B737" s="1" t="n">
        <v>45252</v>
      </c>
      <c r="C737" s="1" t="n">
        <v>45508</v>
      </c>
      <c r="D737" t="inlineStr">
        <is>
          <t>DALARNAS LÄN</t>
        </is>
      </c>
      <c r="E737" t="inlineStr">
        <is>
          <t>LEKSAND</t>
        </is>
      </c>
      <c r="G737" t="n">
        <v>2.4</v>
      </c>
      <c r="H737" t="n">
        <v>0</v>
      </c>
      <c r="I737" t="n">
        <v>0</v>
      </c>
      <c r="J737" t="n">
        <v>0</v>
      </c>
      <c r="K737" t="n">
        <v>0</v>
      </c>
      <c r="L737" t="n">
        <v>0</v>
      </c>
      <c r="M737" t="n">
        <v>0</v>
      </c>
      <c r="N737" t="n">
        <v>0</v>
      </c>
      <c r="O737" t="n">
        <v>0</v>
      </c>
      <c r="P737" t="n">
        <v>0</v>
      </c>
      <c r="Q737" t="n">
        <v>0</v>
      </c>
      <c r="R737" s="2" t="inlineStr"/>
    </row>
    <row r="738" ht="15" customHeight="1">
      <c r="A738" t="inlineStr">
        <is>
          <t>A 58880-2023</t>
        </is>
      </c>
      <c r="B738" s="1" t="n">
        <v>45252</v>
      </c>
      <c r="C738" s="1" t="n">
        <v>45508</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59222-2023</t>
        </is>
      </c>
      <c r="B739" s="1" t="n">
        <v>45252</v>
      </c>
      <c r="C739" s="1" t="n">
        <v>45508</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59392-2023</t>
        </is>
      </c>
      <c r="B740" s="1" t="n">
        <v>45253</v>
      </c>
      <c r="C740" s="1" t="n">
        <v>45508</v>
      </c>
      <c r="D740" t="inlineStr">
        <is>
          <t>DALARNAS LÄN</t>
        </is>
      </c>
      <c r="E740" t="inlineStr">
        <is>
          <t>LEKSAND</t>
        </is>
      </c>
      <c r="G740" t="n">
        <v>1.6</v>
      </c>
      <c r="H740" t="n">
        <v>0</v>
      </c>
      <c r="I740" t="n">
        <v>0</v>
      </c>
      <c r="J740" t="n">
        <v>0</v>
      </c>
      <c r="K740" t="n">
        <v>0</v>
      </c>
      <c r="L740" t="n">
        <v>0</v>
      </c>
      <c r="M740" t="n">
        <v>0</v>
      </c>
      <c r="N740" t="n">
        <v>0</v>
      </c>
      <c r="O740" t="n">
        <v>0</v>
      </c>
      <c r="P740" t="n">
        <v>0</v>
      </c>
      <c r="Q740" t="n">
        <v>0</v>
      </c>
      <c r="R740" s="2" t="inlineStr"/>
    </row>
    <row r="741" ht="15" customHeight="1">
      <c r="A741" t="inlineStr">
        <is>
          <t>A 59562-2023</t>
        </is>
      </c>
      <c r="B741" s="1" t="n">
        <v>45253</v>
      </c>
      <c r="C741" s="1" t="n">
        <v>45508</v>
      </c>
      <c r="D741" t="inlineStr">
        <is>
          <t>DALARNAS LÄN</t>
        </is>
      </c>
      <c r="E741" t="inlineStr">
        <is>
          <t>LEKSAND</t>
        </is>
      </c>
      <c r="G741" t="n">
        <v>2.1</v>
      </c>
      <c r="H741" t="n">
        <v>0</v>
      </c>
      <c r="I741" t="n">
        <v>0</v>
      </c>
      <c r="J741" t="n">
        <v>0</v>
      </c>
      <c r="K741" t="n">
        <v>0</v>
      </c>
      <c r="L741" t="n">
        <v>0</v>
      </c>
      <c r="M741" t="n">
        <v>0</v>
      </c>
      <c r="N741" t="n">
        <v>0</v>
      </c>
      <c r="O741" t="n">
        <v>0</v>
      </c>
      <c r="P741" t="n">
        <v>0</v>
      </c>
      <c r="Q741" t="n">
        <v>0</v>
      </c>
      <c r="R741" s="2" t="inlineStr"/>
    </row>
    <row r="742" ht="15" customHeight="1">
      <c r="A742" t="inlineStr">
        <is>
          <t>A 59809-2023</t>
        </is>
      </c>
      <c r="B742" s="1" t="n">
        <v>45254</v>
      </c>
      <c r="C742" s="1" t="n">
        <v>45508</v>
      </c>
      <c r="D742" t="inlineStr">
        <is>
          <t>DALARNAS LÄN</t>
        </is>
      </c>
      <c r="E742" t="inlineStr">
        <is>
          <t>LEKSAND</t>
        </is>
      </c>
      <c r="G742" t="n">
        <v>3.9</v>
      </c>
      <c r="H742" t="n">
        <v>0</v>
      </c>
      <c r="I742" t="n">
        <v>0</v>
      </c>
      <c r="J742" t="n">
        <v>0</v>
      </c>
      <c r="K742" t="n">
        <v>0</v>
      </c>
      <c r="L742" t="n">
        <v>0</v>
      </c>
      <c r="M742" t="n">
        <v>0</v>
      </c>
      <c r="N742" t="n">
        <v>0</v>
      </c>
      <c r="O742" t="n">
        <v>0</v>
      </c>
      <c r="P742" t="n">
        <v>0</v>
      </c>
      <c r="Q742" t="n">
        <v>0</v>
      </c>
      <c r="R742" s="2" t="inlineStr"/>
    </row>
    <row r="743" ht="15" customHeight="1">
      <c r="A743" t="inlineStr">
        <is>
          <t>A 59803-2023</t>
        </is>
      </c>
      <c r="B743" s="1" t="n">
        <v>45254</v>
      </c>
      <c r="C743" s="1" t="n">
        <v>45508</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59826-2023</t>
        </is>
      </c>
      <c r="B744" s="1" t="n">
        <v>45254</v>
      </c>
      <c r="C744" s="1" t="n">
        <v>45508</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59673-2023</t>
        </is>
      </c>
      <c r="B745" s="1" t="n">
        <v>45255</v>
      </c>
      <c r="C745" s="1" t="n">
        <v>45508</v>
      </c>
      <c r="D745" t="inlineStr">
        <is>
          <t>DALARNAS LÄN</t>
        </is>
      </c>
      <c r="E745" t="inlineStr">
        <is>
          <t>LEKSAND</t>
        </is>
      </c>
      <c r="G745" t="n">
        <v>12.2</v>
      </c>
      <c r="H745" t="n">
        <v>0</v>
      </c>
      <c r="I745" t="n">
        <v>0</v>
      </c>
      <c r="J745" t="n">
        <v>0</v>
      </c>
      <c r="K745" t="n">
        <v>0</v>
      </c>
      <c r="L745" t="n">
        <v>0</v>
      </c>
      <c r="M745" t="n">
        <v>0</v>
      </c>
      <c r="N745" t="n">
        <v>0</v>
      </c>
      <c r="O745" t="n">
        <v>0</v>
      </c>
      <c r="P745" t="n">
        <v>0</v>
      </c>
      <c r="Q745" t="n">
        <v>0</v>
      </c>
      <c r="R745" s="2" t="inlineStr"/>
    </row>
    <row r="746" ht="15" customHeight="1">
      <c r="A746" t="inlineStr">
        <is>
          <t>A 60042-2023</t>
        </is>
      </c>
      <c r="B746" s="1" t="n">
        <v>45256</v>
      </c>
      <c r="C746" s="1" t="n">
        <v>45508</v>
      </c>
      <c r="D746" t="inlineStr">
        <is>
          <t>DALARNAS LÄN</t>
        </is>
      </c>
      <c r="E746" t="inlineStr">
        <is>
          <t>LEKSAND</t>
        </is>
      </c>
      <c r="G746" t="n">
        <v>2</v>
      </c>
      <c r="H746" t="n">
        <v>0</v>
      </c>
      <c r="I746" t="n">
        <v>0</v>
      </c>
      <c r="J746" t="n">
        <v>0</v>
      </c>
      <c r="K746" t="n">
        <v>0</v>
      </c>
      <c r="L746" t="n">
        <v>0</v>
      </c>
      <c r="M746" t="n">
        <v>0</v>
      </c>
      <c r="N746" t="n">
        <v>0</v>
      </c>
      <c r="O746" t="n">
        <v>0</v>
      </c>
      <c r="P746" t="n">
        <v>0</v>
      </c>
      <c r="Q746" t="n">
        <v>0</v>
      </c>
      <c r="R746" s="2" t="inlineStr"/>
    </row>
    <row r="747" ht="15" customHeight="1">
      <c r="A747" t="inlineStr">
        <is>
          <t>A 60040-2023</t>
        </is>
      </c>
      <c r="B747" s="1" t="n">
        <v>45256</v>
      </c>
      <c r="C747" s="1" t="n">
        <v>45508</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59718-2023</t>
        </is>
      </c>
      <c r="B748" s="1" t="n">
        <v>45257</v>
      </c>
      <c r="C748" s="1" t="n">
        <v>45508</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59763-2023</t>
        </is>
      </c>
      <c r="B749" s="1" t="n">
        <v>45257</v>
      </c>
      <c r="C749" s="1" t="n">
        <v>45508</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59859-2023</t>
        </is>
      </c>
      <c r="B750" s="1" t="n">
        <v>45257</v>
      </c>
      <c r="C750" s="1" t="n">
        <v>45508</v>
      </c>
      <c r="D750" t="inlineStr">
        <is>
          <t>DALARNAS LÄN</t>
        </is>
      </c>
      <c r="E750" t="inlineStr">
        <is>
          <t>LEKSAND</t>
        </is>
      </c>
      <c r="F750" t="inlineStr">
        <is>
          <t>Bergvik skog väst AB</t>
        </is>
      </c>
      <c r="G750" t="n">
        <v>2.1</v>
      </c>
      <c r="H750" t="n">
        <v>0</v>
      </c>
      <c r="I750" t="n">
        <v>0</v>
      </c>
      <c r="J750" t="n">
        <v>0</v>
      </c>
      <c r="K750" t="n">
        <v>0</v>
      </c>
      <c r="L750" t="n">
        <v>0</v>
      </c>
      <c r="M750" t="n">
        <v>0</v>
      </c>
      <c r="N750" t="n">
        <v>0</v>
      </c>
      <c r="O750" t="n">
        <v>0</v>
      </c>
      <c r="P750" t="n">
        <v>0</v>
      </c>
      <c r="Q750" t="n">
        <v>0</v>
      </c>
      <c r="R750" s="2" t="inlineStr"/>
    </row>
    <row r="751" ht="15" customHeight="1">
      <c r="A751" t="inlineStr">
        <is>
          <t>A 60132-2023</t>
        </is>
      </c>
      <c r="B751" s="1" t="n">
        <v>45258</v>
      </c>
      <c r="C751" s="1" t="n">
        <v>45508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60024-2023</t>
        </is>
      </c>
      <c r="B752" s="1" t="n">
        <v>45258</v>
      </c>
      <c r="C752" s="1" t="n">
        <v>45508</v>
      </c>
      <c r="D752" t="inlineStr">
        <is>
          <t>DALARNAS LÄN</t>
        </is>
      </c>
      <c r="E752" t="inlineStr">
        <is>
          <t>LEKSAND</t>
        </is>
      </c>
      <c r="G752" t="n">
        <v>4.2</v>
      </c>
      <c r="H752" t="n">
        <v>0</v>
      </c>
      <c r="I752" t="n">
        <v>0</v>
      </c>
      <c r="J752" t="n">
        <v>0</v>
      </c>
      <c r="K752" t="n">
        <v>0</v>
      </c>
      <c r="L752" t="n">
        <v>0</v>
      </c>
      <c r="M752" t="n">
        <v>0</v>
      </c>
      <c r="N752" t="n">
        <v>0</v>
      </c>
      <c r="O752" t="n">
        <v>0</v>
      </c>
      <c r="P752" t="n">
        <v>0</v>
      </c>
      <c r="Q752" t="n">
        <v>0</v>
      </c>
      <c r="R752" s="2" t="inlineStr"/>
    </row>
    <row r="753" ht="15" customHeight="1">
      <c r="A753" t="inlineStr">
        <is>
          <t>A 60028-2023</t>
        </is>
      </c>
      <c r="B753" s="1" t="n">
        <v>45258</v>
      </c>
      <c r="C753" s="1" t="n">
        <v>45508</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60044-2023</t>
        </is>
      </c>
      <c r="B754" s="1" t="n">
        <v>45258</v>
      </c>
      <c r="C754" s="1" t="n">
        <v>45508</v>
      </c>
      <c r="D754" t="inlineStr">
        <is>
          <t>DALARNAS LÄN</t>
        </is>
      </c>
      <c r="E754" t="inlineStr">
        <is>
          <t>LEKSAND</t>
        </is>
      </c>
      <c r="F754" t="inlineStr">
        <is>
          <t>Bergvik skog väst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60080-2023</t>
        </is>
      </c>
      <c r="B755" s="1" t="n">
        <v>45258</v>
      </c>
      <c r="C755" s="1" t="n">
        <v>45508</v>
      </c>
      <c r="D755" t="inlineStr">
        <is>
          <t>DALARNAS LÄN</t>
        </is>
      </c>
      <c r="E755" t="inlineStr">
        <is>
          <t>LEKSAND</t>
        </is>
      </c>
      <c r="G755" t="n">
        <v>2.7</v>
      </c>
      <c r="H755" t="n">
        <v>0</v>
      </c>
      <c r="I755" t="n">
        <v>0</v>
      </c>
      <c r="J755" t="n">
        <v>0</v>
      </c>
      <c r="K755" t="n">
        <v>0</v>
      </c>
      <c r="L755" t="n">
        <v>0</v>
      </c>
      <c r="M755" t="n">
        <v>0</v>
      </c>
      <c r="N755" t="n">
        <v>0</v>
      </c>
      <c r="O755" t="n">
        <v>0</v>
      </c>
      <c r="P755" t="n">
        <v>0</v>
      </c>
      <c r="Q755" t="n">
        <v>0</v>
      </c>
      <c r="R755" s="2" t="inlineStr"/>
    </row>
    <row r="756" ht="15" customHeight="1">
      <c r="A756" t="inlineStr">
        <is>
          <t>A 60045-2023</t>
        </is>
      </c>
      <c r="B756" s="1" t="n">
        <v>45258</v>
      </c>
      <c r="C756" s="1" t="n">
        <v>45508</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60120-2023</t>
        </is>
      </c>
      <c r="B757" s="1" t="n">
        <v>45258</v>
      </c>
      <c r="C757" s="1" t="n">
        <v>45508</v>
      </c>
      <c r="D757" t="inlineStr">
        <is>
          <t>DALARNAS LÄN</t>
        </is>
      </c>
      <c r="E757" t="inlineStr">
        <is>
          <t>LEKSAND</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60129-2023</t>
        </is>
      </c>
      <c r="B758" s="1" t="n">
        <v>45258</v>
      </c>
      <c r="C758" s="1" t="n">
        <v>45508</v>
      </c>
      <c r="D758" t="inlineStr">
        <is>
          <t>DALARNAS LÄN</t>
        </is>
      </c>
      <c r="E758" t="inlineStr">
        <is>
          <t>LEKSAND</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60189-2023</t>
        </is>
      </c>
      <c r="B759" s="1" t="n">
        <v>45258</v>
      </c>
      <c r="C759" s="1" t="n">
        <v>45508</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60310-2023</t>
        </is>
      </c>
      <c r="B760" s="1" t="n">
        <v>45258</v>
      </c>
      <c r="C760" s="1" t="n">
        <v>45508</v>
      </c>
      <c r="D760" t="inlineStr">
        <is>
          <t>DALARNAS LÄN</t>
        </is>
      </c>
      <c r="E760" t="inlineStr">
        <is>
          <t>LEKSAND</t>
        </is>
      </c>
      <c r="G760" t="n">
        <v>4.9</v>
      </c>
      <c r="H760" t="n">
        <v>0</v>
      </c>
      <c r="I760" t="n">
        <v>0</v>
      </c>
      <c r="J760" t="n">
        <v>0</v>
      </c>
      <c r="K760" t="n">
        <v>0</v>
      </c>
      <c r="L760" t="n">
        <v>0</v>
      </c>
      <c r="M760" t="n">
        <v>0</v>
      </c>
      <c r="N760" t="n">
        <v>0</v>
      </c>
      <c r="O760" t="n">
        <v>0</v>
      </c>
      <c r="P760" t="n">
        <v>0</v>
      </c>
      <c r="Q760" t="n">
        <v>0</v>
      </c>
      <c r="R760" s="2" t="inlineStr"/>
    </row>
    <row r="761" ht="15" customHeight="1">
      <c r="A761" t="inlineStr">
        <is>
          <t>A 60309-2023</t>
        </is>
      </c>
      <c r="B761" s="1" t="n">
        <v>45258</v>
      </c>
      <c r="C761" s="1" t="n">
        <v>45508</v>
      </c>
      <c r="D761" t="inlineStr">
        <is>
          <t>DALARNAS LÄN</t>
        </is>
      </c>
      <c r="E761" t="inlineStr">
        <is>
          <t>LEKSAND</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60315-2023</t>
        </is>
      </c>
      <c r="B762" s="1" t="n">
        <v>45258</v>
      </c>
      <c r="C762" s="1" t="n">
        <v>45508</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60546-2023</t>
        </is>
      </c>
      <c r="B763" s="1" t="n">
        <v>45259</v>
      </c>
      <c r="C763" s="1" t="n">
        <v>45508</v>
      </c>
      <c r="D763" t="inlineStr">
        <is>
          <t>DALARNAS LÄN</t>
        </is>
      </c>
      <c r="E763" t="inlineStr">
        <is>
          <t>LEKSAND</t>
        </is>
      </c>
      <c r="G763" t="n">
        <v>6.6</v>
      </c>
      <c r="H763" t="n">
        <v>0</v>
      </c>
      <c r="I763" t="n">
        <v>0</v>
      </c>
      <c r="J763" t="n">
        <v>0</v>
      </c>
      <c r="K763" t="n">
        <v>0</v>
      </c>
      <c r="L763" t="n">
        <v>0</v>
      </c>
      <c r="M763" t="n">
        <v>0</v>
      </c>
      <c r="N763" t="n">
        <v>0</v>
      </c>
      <c r="O763" t="n">
        <v>0</v>
      </c>
      <c r="P763" t="n">
        <v>0</v>
      </c>
      <c r="Q763" t="n">
        <v>0</v>
      </c>
      <c r="R763" s="2" t="inlineStr"/>
    </row>
    <row r="764" ht="15" customHeight="1">
      <c r="A764" t="inlineStr">
        <is>
          <t>A 60878-2023</t>
        </is>
      </c>
      <c r="B764" s="1" t="n">
        <v>45259</v>
      </c>
      <c r="C764" s="1" t="n">
        <v>45508</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60692-2023</t>
        </is>
      </c>
      <c r="B765" s="1" t="n">
        <v>45260</v>
      </c>
      <c r="C765" s="1" t="n">
        <v>45508</v>
      </c>
      <c r="D765" t="inlineStr">
        <is>
          <t>DALARNAS LÄN</t>
        </is>
      </c>
      <c r="E765" t="inlineStr">
        <is>
          <t>LEKSAND</t>
        </is>
      </c>
      <c r="G765" t="n">
        <v>1.2</v>
      </c>
      <c r="H765" t="n">
        <v>0</v>
      </c>
      <c r="I765" t="n">
        <v>0</v>
      </c>
      <c r="J765" t="n">
        <v>0</v>
      </c>
      <c r="K765" t="n">
        <v>0</v>
      </c>
      <c r="L765" t="n">
        <v>0</v>
      </c>
      <c r="M765" t="n">
        <v>0</v>
      </c>
      <c r="N765" t="n">
        <v>0</v>
      </c>
      <c r="O765" t="n">
        <v>0</v>
      </c>
      <c r="P765" t="n">
        <v>0</v>
      </c>
      <c r="Q765" t="n">
        <v>0</v>
      </c>
      <c r="R765" s="2" t="inlineStr"/>
    </row>
    <row r="766" ht="15" customHeight="1">
      <c r="A766" t="inlineStr">
        <is>
          <t>A 60755-2023</t>
        </is>
      </c>
      <c r="B766" s="1" t="n">
        <v>45260</v>
      </c>
      <c r="C766" s="1" t="n">
        <v>45508</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61208-2023</t>
        </is>
      </c>
      <c r="B767" s="1" t="n">
        <v>45260</v>
      </c>
      <c r="C767" s="1" t="n">
        <v>45508</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61244-2023</t>
        </is>
      </c>
      <c r="B768" s="1" t="n">
        <v>45260</v>
      </c>
      <c r="C768" s="1" t="n">
        <v>45508</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60873-2023</t>
        </is>
      </c>
      <c r="B769" s="1" t="n">
        <v>45261</v>
      </c>
      <c r="C769" s="1" t="n">
        <v>45508</v>
      </c>
      <c r="D769" t="inlineStr">
        <is>
          <t>DALARNAS LÄN</t>
        </is>
      </c>
      <c r="E769" t="inlineStr">
        <is>
          <t>LEKSAND</t>
        </is>
      </c>
      <c r="G769" t="n">
        <v>5.2</v>
      </c>
      <c r="H769" t="n">
        <v>0</v>
      </c>
      <c r="I769" t="n">
        <v>0</v>
      </c>
      <c r="J769" t="n">
        <v>0</v>
      </c>
      <c r="K769" t="n">
        <v>0</v>
      </c>
      <c r="L769" t="n">
        <v>0</v>
      </c>
      <c r="M769" t="n">
        <v>0</v>
      </c>
      <c r="N769" t="n">
        <v>0</v>
      </c>
      <c r="O769" t="n">
        <v>0</v>
      </c>
      <c r="P769" t="n">
        <v>0</v>
      </c>
      <c r="Q769" t="n">
        <v>0</v>
      </c>
      <c r="R769" s="2" t="inlineStr"/>
    </row>
    <row r="770" ht="15" customHeight="1">
      <c r="A770" t="inlineStr">
        <is>
          <t>A 61052-2023</t>
        </is>
      </c>
      <c r="B770" s="1" t="n">
        <v>45261</v>
      </c>
      <c r="C770" s="1" t="n">
        <v>45508</v>
      </c>
      <c r="D770" t="inlineStr">
        <is>
          <t>DALARNAS LÄN</t>
        </is>
      </c>
      <c r="E770" t="inlineStr">
        <is>
          <t>LEKSAND</t>
        </is>
      </c>
      <c r="G770" t="n">
        <v>8.6</v>
      </c>
      <c r="H770" t="n">
        <v>0</v>
      </c>
      <c r="I770" t="n">
        <v>0</v>
      </c>
      <c r="J770" t="n">
        <v>0</v>
      </c>
      <c r="K770" t="n">
        <v>0</v>
      </c>
      <c r="L770" t="n">
        <v>0</v>
      </c>
      <c r="M770" t="n">
        <v>0</v>
      </c>
      <c r="N770" t="n">
        <v>0</v>
      </c>
      <c r="O770" t="n">
        <v>0</v>
      </c>
      <c r="P770" t="n">
        <v>0</v>
      </c>
      <c r="Q770" t="n">
        <v>0</v>
      </c>
      <c r="R770" s="2" t="inlineStr"/>
    </row>
    <row r="771" ht="15" customHeight="1">
      <c r="A771" t="inlineStr">
        <is>
          <t>A 61056-2023</t>
        </is>
      </c>
      <c r="B771" s="1" t="n">
        <v>45261</v>
      </c>
      <c r="C771" s="1" t="n">
        <v>45508</v>
      </c>
      <c r="D771" t="inlineStr">
        <is>
          <t>DALARNAS LÄN</t>
        </is>
      </c>
      <c r="E771" t="inlineStr">
        <is>
          <t>LEKSAND</t>
        </is>
      </c>
      <c r="G771" t="n">
        <v>0.3</v>
      </c>
      <c r="H771" t="n">
        <v>0</v>
      </c>
      <c r="I771" t="n">
        <v>0</v>
      </c>
      <c r="J771" t="n">
        <v>0</v>
      </c>
      <c r="K771" t="n">
        <v>0</v>
      </c>
      <c r="L771" t="n">
        <v>0</v>
      </c>
      <c r="M771" t="n">
        <v>0</v>
      </c>
      <c r="N771" t="n">
        <v>0</v>
      </c>
      <c r="O771" t="n">
        <v>0</v>
      </c>
      <c r="P771" t="n">
        <v>0</v>
      </c>
      <c r="Q771" t="n">
        <v>0</v>
      </c>
      <c r="R771" s="2" t="inlineStr"/>
    </row>
    <row r="772" ht="15" customHeight="1">
      <c r="A772" t="inlineStr">
        <is>
          <t>A 61054-2023</t>
        </is>
      </c>
      <c r="B772" s="1" t="n">
        <v>45261</v>
      </c>
      <c r="C772" s="1" t="n">
        <v>45508</v>
      </c>
      <c r="D772" t="inlineStr">
        <is>
          <t>DALARNAS LÄN</t>
        </is>
      </c>
      <c r="E772" t="inlineStr">
        <is>
          <t>LEKSAND</t>
        </is>
      </c>
      <c r="G772" t="n">
        <v>0.4</v>
      </c>
      <c r="H772" t="n">
        <v>0</v>
      </c>
      <c r="I772" t="n">
        <v>0</v>
      </c>
      <c r="J772" t="n">
        <v>0</v>
      </c>
      <c r="K772" t="n">
        <v>0</v>
      </c>
      <c r="L772" t="n">
        <v>0</v>
      </c>
      <c r="M772" t="n">
        <v>0</v>
      </c>
      <c r="N772" t="n">
        <v>0</v>
      </c>
      <c r="O772" t="n">
        <v>0</v>
      </c>
      <c r="P772" t="n">
        <v>0</v>
      </c>
      <c r="Q772" t="n">
        <v>0</v>
      </c>
      <c r="R772" s="2" t="inlineStr"/>
    </row>
    <row r="773" ht="15" customHeight="1">
      <c r="A773" t="inlineStr">
        <is>
          <t>A 61055-2023</t>
        </is>
      </c>
      <c r="B773" s="1" t="n">
        <v>45261</v>
      </c>
      <c r="C773" s="1" t="n">
        <v>45508</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61252-2023</t>
        </is>
      </c>
      <c r="B774" s="1" t="n">
        <v>45261</v>
      </c>
      <c r="C774" s="1" t="n">
        <v>45508</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61617-2023</t>
        </is>
      </c>
      <c r="B775" s="1" t="n">
        <v>45261</v>
      </c>
      <c r="C775" s="1" t="n">
        <v>45508</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61637-2023</t>
        </is>
      </c>
      <c r="B776" s="1" t="n">
        <v>45261</v>
      </c>
      <c r="C776" s="1" t="n">
        <v>45508</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61614-2023</t>
        </is>
      </c>
      <c r="B777" s="1" t="n">
        <v>45261</v>
      </c>
      <c r="C777" s="1" t="n">
        <v>45508</v>
      </c>
      <c r="D777" t="inlineStr">
        <is>
          <t>DALARNAS LÄN</t>
        </is>
      </c>
      <c r="E777" t="inlineStr">
        <is>
          <t>LEKSAND</t>
        </is>
      </c>
      <c r="G777" t="n">
        <v>0.8</v>
      </c>
      <c r="H777" t="n">
        <v>0</v>
      </c>
      <c r="I777" t="n">
        <v>0</v>
      </c>
      <c r="J777" t="n">
        <v>0</v>
      </c>
      <c r="K777" t="n">
        <v>0</v>
      </c>
      <c r="L777" t="n">
        <v>0</v>
      </c>
      <c r="M777" t="n">
        <v>0</v>
      </c>
      <c r="N777" t="n">
        <v>0</v>
      </c>
      <c r="O777" t="n">
        <v>0</v>
      </c>
      <c r="P777" t="n">
        <v>0</v>
      </c>
      <c r="Q777" t="n">
        <v>0</v>
      </c>
      <c r="R777" s="2" t="inlineStr"/>
    </row>
    <row r="778" ht="15" customHeight="1">
      <c r="A778" t="inlineStr">
        <is>
          <t>A 61627-2023</t>
        </is>
      </c>
      <c r="B778" s="1" t="n">
        <v>45261</v>
      </c>
      <c r="C778" s="1" t="n">
        <v>45508</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61225-2023</t>
        </is>
      </c>
      <c r="B779" s="1" t="n">
        <v>45264</v>
      </c>
      <c r="C779" s="1" t="n">
        <v>45508</v>
      </c>
      <c r="D779" t="inlineStr">
        <is>
          <t>DALARNAS LÄN</t>
        </is>
      </c>
      <c r="E779" t="inlineStr">
        <is>
          <t>LEKSAND</t>
        </is>
      </c>
      <c r="G779" t="n">
        <v>7</v>
      </c>
      <c r="H779" t="n">
        <v>0</v>
      </c>
      <c r="I779" t="n">
        <v>0</v>
      </c>
      <c r="J779" t="n">
        <v>0</v>
      </c>
      <c r="K779" t="n">
        <v>0</v>
      </c>
      <c r="L779" t="n">
        <v>0</v>
      </c>
      <c r="M779" t="n">
        <v>0</v>
      </c>
      <c r="N779" t="n">
        <v>0</v>
      </c>
      <c r="O779" t="n">
        <v>0</v>
      </c>
      <c r="P779" t="n">
        <v>0</v>
      </c>
      <c r="Q779" t="n">
        <v>0</v>
      </c>
      <c r="R779" s="2" t="inlineStr"/>
    </row>
    <row r="780" ht="15" customHeight="1">
      <c r="A780" t="inlineStr">
        <is>
          <t>A 61502-2023</t>
        </is>
      </c>
      <c r="B780" s="1" t="n">
        <v>45264</v>
      </c>
      <c r="C780" s="1" t="n">
        <v>45508</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61652-2023</t>
        </is>
      </c>
      <c r="B781" s="1" t="n">
        <v>45265</v>
      </c>
      <c r="C781" s="1" t="n">
        <v>45508</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61598-2023</t>
        </is>
      </c>
      <c r="B782" s="1" t="n">
        <v>45265</v>
      </c>
      <c r="C782" s="1" t="n">
        <v>45508</v>
      </c>
      <c r="D782" t="inlineStr">
        <is>
          <t>DALARNAS LÄN</t>
        </is>
      </c>
      <c r="E782" t="inlineStr">
        <is>
          <t>LEKSAND</t>
        </is>
      </c>
      <c r="F782" t="inlineStr">
        <is>
          <t>Bergvik skog väst AB</t>
        </is>
      </c>
      <c r="G782" t="n">
        <v>5.8</v>
      </c>
      <c r="H782" t="n">
        <v>0</v>
      </c>
      <c r="I782" t="n">
        <v>0</v>
      </c>
      <c r="J782" t="n">
        <v>0</v>
      </c>
      <c r="K782" t="n">
        <v>0</v>
      </c>
      <c r="L782" t="n">
        <v>0</v>
      </c>
      <c r="M782" t="n">
        <v>0</v>
      </c>
      <c r="N782" t="n">
        <v>0</v>
      </c>
      <c r="O782" t="n">
        <v>0</v>
      </c>
      <c r="P782" t="n">
        <v>0</v>
      </c>
      <c r="Q782" t="n">
        <v>0</v>
      </c>
      <c r="R782" s="2" t="inlineStr"/>
    </row>
    <row r="783" ht="15" customHeight="1">
      <c r="A783" t="inlineStr">
        <is>
          <t>A 61633-2023</t>
        </is>
      </c>
      <c r="B783" s="1" t="n">
        <v>45265</v>
      </c>
      <c r="C783" s="1" t="n">
        <v>45508</v>
      </c>
      <c r="D783" t="inlineStr">
        <is>
          <t>DALARNAS LÄN</t>
        </is>
      </c>
      <c r="E783" t="inlineStr">
        <is>
          <t>LEKSAND</t>
        </is>
      </c>
      <c r="G783" t="n">
        <v>5.3</v>
      </c>
      <c r="H783" t="n">
        <v>0</v>
      </c>
      <c r="I783" t="n">
        <v>0</v>
      </c>
      <c r="J783" t="n">
        <v>0</v>
      </c>
      <c r="K783" t="n">
        <v>0</v>
      </c>
      <c r="L783" t="n">
        <v>0</v>
      </c>
      <c r="M783" t="n">
        <v>0</v>
      </c>
      <c r="N783" t="n">
        <v>0</v>
      </c>
      <c r="O783" t="n">
        <v>0</v>
      </c>
      <c r="P783" t="n">
        <v>0</v>
      </c>
      <c r="Q783" t="n">
        <v>0</v>
      </c>
      <c r="R783" s="2" t="inlineStr"/>
    </row>
    <row r="784" ht="15" customHeight="1">
      <c r="A784" t="inlineStr">
        <is>
          <t>A 61910-2023</t>
        </is>
      </c>
      <c r="B784" s="1" t="n">
        <v>45266</v>
      </c>
      <c r="C784" s="1" t="n">
        <v>45508</v>
      </c>
      <c r="D784" t="inlineStr">
        <is>
          <t>DALARNAS LÄN</t>
        </is>
      </c>
      <c r="E784" t="inlineStr">
        <is>
          <t>LEKSAND</t>
        </is>
      </c>
      <c r="G784" t="n">
        <v>7.3</v>
      </c>
      <c r="H784" t="n">
        <v>0</v>
      </c>
      <c r="I784" t="n">
        <v>0</v>
      </c>
      <c r="J784" t="n">
        <v>0</v>
      </c>
      <c r="K784" t="n">
        <v>0</v>
      </c>
      <c r="L784" t="n">
        <v>0</v>
      </c>
      <c r="M784" t="n">
        <v>0</v>
      </c>
      <c r="N784" t="n">
        <v>0</v>
      </c>
      <c r="O784" t="n">
        <v>0</v>
      </c>
      <c r="P784" t="n">
        <v>0</v>
      </c>
      <c r="Q784" t="n">
        <v>0</v>
      </c>
      <c r="R784" s="2" t="inlineStr"/>
    </row>
    <row r="785" ht="15" customHeight="1">
      <c r="A785" t="inlineStr">
        <is>
          <t>A 61933-2023</t>
        </is>
      </c>
      <c r="B785" s="1" t="n">
        <v>45266</v>
      </c>
      <c r="C785" s="1" t="n">
        <v>45508</v>
      </c>
      <c r="D785" t="inlineStr">
        <is>
          <t>DALARNAS LÄN</t>
        </is>
      </c>
      <c r="E785" t="inlineStr">
        <is>
          <t>LEKSAND</t>
        </is>
      </c>
      <c r="G785" t="n">
        <v>0.2</v>
      </c>
      <c r="H785" t="n">
        <v>0</v>
      </c>
      <c r="I785" t="n">
        <v>0</v>
      </c>
      <c r="J785" t="n">
        <v>0</v>
      </c>
      <c r="K785" t="n">
        <v>0</v>
      </c>
      <c r="L785" t="n">
        <v>0</v>
      </c>
      <c r="M785" t="n">
        <v>0</v>
      </c>
      <c r="N785" t="n">
        <v>0</v>
      </c>
      <c r="O785" t="n">
        <v>0</v>
      </c>
      <c r="P785" t="n">
        <v>0</v>
      </c>
      <c r="Q785" t="n">
        <v>0</v>
      </c>
      <c r="R785" s="2" t="inlineStr"/>
    </row>
    <row r="786" ht="15" customHeight="1">
      <c r="A786" t="inlineStr">
        <is>
          <t>A 61953-2023</t>
        </is>
      </c>
      <c r="B786" s="1" t="n">
        <v>45266</v>
      </c>
      <c r="C786" s="1" t="n">
        <v>45508</v>
      </c>
      <c r="D786" t="inlineStr">
        <is>
          <t>DALARNAS LÄN</t>
        </is>
      </c>
      <c r="E786" t="inlineStr">
        <is>
          <t>LEKSAND</t>
        </is>
      </c>
      <c r="G786" t="n">
        <v>0.1</v>
      </c>
      <c r="H786" t="n">
        <v>0</v>
      </c>
      <c r="I786" t="n">
        <v>0</v>
      </c>
      <c r="J786" t="n">
        <v>0</v>
      </c>
      <c r="K786" t="n">
        <v>0</v>
      </c>
      <c r="L786" t="n">
        <v>0</v>
      </c>
      <c r="M786" t="n">
        <v>0</v>
      </c>
      <c r="N786" t="n">
        <v>0</v>
      </c>
      <c r="O786" t="n">
        <v>0</v>
      </c>
      <c r="P786" t="n">
        <v>0</v>
      </c>
      <c r="Q786" t="n">
        <v>0</v>
      </c>
      <c r="R786" s="2" t="inlineStr"/>
    </row>
    <row r="787" ht="15" customHeight="1">
      <c r="A787" t="inlineStr">
        <is>
          <t>A 61957-2023</t>
        </is>
      </c>
      <c r="B787" s="1" t="n">
        <v>45266</v>
      </c>
      <c r="C787" s="1" t="n">
        <v>45508</v>
      </c>
      <c r="D787" t="inlineStr">
        <is>
          <t>DALARNAS LÄN</t>
        </is>
      </c>
      <c r="E787" t="inlineStr">
        <is>
          <t>LEKSAND</t>
        </is>
      </c>
      <c r="G787" t="n">
        <v>0.9</v>
      </c>
      <c r="H787" t="n">
        <v>0</v>
      </c>
      <c r="I787" t="n">
        <v>0</v>
      </c>
      <c r="J787" t="n">
        <v>0</v>
      </c>
      <c r="K787" t="n">
        <v>0</v>
      </c>
      <c r="L787" t="n">
        <v>0</v>
      </c>
      <c r="M787" t="n">
        <v>0</v>
      </c>
      <c r="N787" t="n">
        <v>0</v>
      </c>
      <c r="O787" t="n">
        <v>0</v>
      </c>
      <c r="P787" t="n">
        <v>0</v>
      </c>
      <c r="Q787" t="n">
        <v>0</v>
      </c>
      <c r="R787" s="2" t="inlineStr"/>
    </row>
    <row r="788" ht="15" customHeight="1">
      <c r="A788" t="inlineStr">
        <is>
          <t>A 61938-2023</t>
        </is>
      </c>
      <c r="B788" s="1" t="n">
        <v>45266</v>
      </c>
      <c r="C788" s="1" t="n">
        <v>45508</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61950-2023</t>
        </is>
      </c>
      <c r="B789" s="1" t="n">
        <v>45266</v>
      </c>
      <c r="C789" s="1" t="n">
        <v>45508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61884-2023</t>
        </is>
      </c>
      <c r="B790" s="1" t="n">
        <v>45266</v>
      </c>
      <c r="C790" s="1" t="n">
        <v>45508</v>
      </c>
      <c r="D790" t="inlineStr">
        <is>
          <t>DALARNAS LÄN</t>
        </is>
      </c>
      <c r="E790" t="inlineStr">
        <is>
          <t>LEKSAND</t>
        </is>
      </c>
      <c r="G790" t="n">
        <v>4.4</v>
      </c>
      <c r="H790" t="n">
        <v>0</v>
      </c>
      <c r="I790" t="n">
        <v>0</v>
      </c>
      <c r="J790" t="n">
        <v>0</v>
      </c>
      <c r="K790" t="n">
        <v>0</v>
      </c>
      <c r="L790" t="n">
        <v>0</v>
      </c>
      <c r="M790" t="n">
        <v>0</v>
      </c>
      <c r="N790" t="n">
        <v>0</v>
      </c>
      <c r="O790" t="n">
        <v>0</v>
      </c>
      <c r="P790" t="n">
        <v>0</v>
      </c>
      <c r="Q790" t="n">
        <v>0</v>
      </c>
      <c r="R790" s="2" t="inlineStr"/>
    </row>
    <row r="791" ht="15" customHeight="1">
      <c r="A791" t="inlineStr">
        <is>
          <t>A 62306-2023</t>
        </is>
      </c>
      <c r="B791" s="1" t="n">
        <v>45266</v>
      </c>
      <c r="C791" s="1" t="n">
        <v>45508</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62307-2023</t>
        </is>
      </c>
      <c r="B792" s="1" t="n">
        <v>45266</v>
      </c>
      <c r="C792" s="1" t="n">
        <v>45508</v>
      </c>
      <c r="D792" t="inlineStr">
        <is>
          <t>DALARNAS LÄN</t>
        </is>
      </c>
      <c r="E792" t="inlineStr">
        <is>
          <t>LEKSAND</t>
        </is>
      </c>
      <c r="G792" t="n">
        <v>3.9</v>
      </c>
      <c r="H792" t="n">
        <v>0</v>
      </c>
      <c r="I792" t="n">
        <v>0</v>
      </c>
      <c r="J792" t="n">
        <v>0</v>
      </c>
      <c r="K792" t="n">
        <v>0</v>
      </c>
      <c r="L792" t="n">
        <v>0</v>
      </c>
      <c r="M792" t="n">
        <v>0</v>
      </c>
      <c r="N792" t="n">
        <v>0</v>
      </c>
      <c r="O792" t="n">
        <v>0</v>
      </c>
      <c r="P792" t="n">
        <v>0</v>
      </c>
      <c r="Q792" t="n">
        <v>0</v>
      </c>
      <c r="R792" s="2" t="inlineStr"/>
    </row>
    <row r="793" ht="15" customHeight="1">
      <c r="A793" t="inlineStr">
        <is>
          <t>A 62133-2023</t>
        </is>
      </c>
      <c r="B793" s="1" t="n">
        <v>45267</v>
      </c>
      <c r="C793" s="1" t="n">
        <v>45508</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62295-2023</t>
        </is>
      </c>
      <c r="B794" s="1" t="n">
        <v>45267</v>
      </c>
      <c r="C794" s="1" t="n">
        <v>45508</v>
      </c>
      <c r="D794" t="inlineStr">
        <is>
          <t>DALARNAS LÄN</t>
        </is>
      </c>
      <c r="E794" t="inlineStr">
        <is>
          <t>LEKSAND</t>
        </is>
      </c>
      <c r="G794" t="n">
        <v>2.5</v>
      </c>
      <c r="H794" t="n">
        <v>0</v>
      </c>
      <c r="I794" t="n">
        <v>0</v>
      </c>
      <c r="J794" t="n">
        <v>0</v>
      </c>
      <c r="K794" t="n">
        <v>0</v>
      </c>
      <c r="L794" t="n">
        <v>0</v>
      </c>
      <c r="M794" t="n">
        <v>0</v>
      </c>
      <c r="N794" t="n">
        <v>0</v>
      </c>
      <c r="O794" t="n">
        <v>0</v>
      </c>
      <c r="P794" t="n">
        <v>0</v>
      </c>
      <c r="Q794" t="n">
        <v>0</v>
      </c>
      <c r="R794" s="2" t="inlineStr"/>
    </row>
    <row r="795" ht="15" customHeight="1">
      <c r="A795" t="inlineStr">
        <is>
          <t>A 62305-2023</t>
        </is>
      </c>
      <c r="B795" s="1" t="n">
        <v>45267</v>
      </c>
      <c r="C795" s="1" t="n">
        <v>45508</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62587-2023</t>
        </is>
      </c>
      <c r="B796" s="1" t="n">
        <v>45270</v>
      </c>
      <c r="C796" s="1" t="n">
        <v>45508</v>
      </c>
      <c r="D796" t="inlineStr">
        <is>
          <t>DALARNAS LÄN</t>
        </is>
      </c>
      <c r="E796" t="inlineStr">
        <is>
          <t>LEKSAND</t>
        </is>
      </c>
      <c r="G796" t="n">
        <v>4.8</v>
      </c>
      <c r="H796" t="n">
        <v>0</v>
      </c>
      <c r="I796" t="n">
        <v>0</v>
      </c>
      <c r="J796" t="n">
        <v>0</v>
      </c>
      <c r="K796" t="n">
        <v>0</v>
      </c>
      <c r="L796" t="n">
        <v>0</v>
      </c>
      <c r="M796" t="n">
        <v>0</v>
      </c>
      <c r="N796" t="n">
        <v>0</v>
      </c>
      <c r="O796" t="n">
        <v>0</v>
      </c>
      <c r="P796" t="n">
        <v>0</v>
      </c>
      <c r="Q796" t="n">
        <v>0</v>
      </c>
      <c r="R796" s="2" t="inlineStr"/>
    </row>
    <row r="797" ht="15" customHeight="1">
      <c r="A797" t="inlineStr">
        <is>
          <t>A 62863-2023</t>
        </is>
      </c>
      <c r="B797" s="1" t="n">
        <v>45272</v>
      </c>
      <c r="C797" s="1" t="n">
        <v>45508</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62993-2023</t>
        </is>
      </c>
      <c r="B798" s="1" t="n">
        <v>45272</v>
      </c>
      <c r="C798" s="1" t="n">
        <v>45508</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63105-2023</t>
        </is>
      </c>
      <c r="B799" s="1" t="n">
        <v>45273</v>
      </c>
      <c r="C799" s="1" t="n">
        <v>45508</v>
      </c>
      <c r="D799" t="inlineStr">
        <is>
          <t>DALARNAS LÄN</t>
        </is>
      </c>
      <c r="E799" t="inlineStr">
        <is>
          <t>LEKSAND</t>
        </is>
      </c>
      <c r="G799" t="n">
        <v>3.7</v>
      </c>
      <c r="H799" t="n">
        <v>0</v>
      </c>
      <c r="I799" t="n">
        <v>0</v>
      </c>
      <c r="J799" t="n">
        <v>0</v>
      </c>
      <c r="K799" t="n">
        <v>0</v>
      </c>
      <c r="L799" t="n">
        <v>0</v>
      </c>
      <c r="M799" t="n">
        <v>0</v>
      </c>
      <c r="N799" t="n">
        <v>0</v>
      </c>
      <c r="O799" t="n">
        <v>0</v>
      </c>
      <c r="P799" t="n">
        <v>0</v>
      </c>
      <c r="Q799" t="n">
        <v>0</v>
      </c>
      <c r="R799" s="2" t="inlineStr"/>
    </row>
    <row r="800" ht="15" customHeight="1">
      <c r="A800" t="inlineStr">
        <is>
          <t>A 63107-2023</t>
        </is>
      </c>
      <c r="B800" s="1" t="n">
        <v>45273</v>
      </c>
      <c r="C800" s="1" t="n">
        <v>45508</v>
      </c>
      <c r="D800" t="inlineStr">
        <is>
          <t>DALARNAS LÄN</t>
        </is>
      </c>
      <c r="E800" t="inlineStr">
        <is>
          <t>LEKSAND</t>
        </is>
      </c>
      <c r="G800" t="n">
        <v>1.2</v>
      </c>
      <c r="H800" t="n">
        <v>0</v>
      </c>
      <c r="I800" t="n">
        <v>0</v>
      </c>
      <c r="J800" t="n">
        <v>0</v>
      </c>
      <c r="K800" t="n">
        <v>0</v>
      </c>
      <c r="L800" t="n">
        <v>0</v>
      </c>
      <c r="M800" t="n">
        <v>0</v>
      </c>
      <c r="N800" t="n">
        <v>0</v>
      </c>
      <c r="O800" t="n">
        <v>0</v>
      </c>
      <c r="P800" t="n">
        <v>0</v>
      </c>
      <c r="Q800" t="n">
        <v>0</v>
      </c>
      <c r="R800" s="2" t="inlineStr"/>
    </row>
    <row r="801" ht="15" customHeight="1">
      <c r="A801" t="inlineStr">
        <is>
          <t>A 63514-2023</t>
        </is>
      </c>
      <c r="B801" s="1" t="n">
        <v>45274</v>
      </c>
      <c r="C801" s="1" t="n">
        <v>45508</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45508</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63544-2023</t>
        </is>
      </c>
      <c r="B803" s="1" t="n">
        <v>45275</v>
      </c>
      <c r="C803" s="1" t="n">
        <v>45508</v>
      </c>
      <c r="D803" t="inlineStr">
        <is>
          <t>DALARNAS LÄN</t>
        </is>
      </c>
      <c r="E803" t="inlineStr">
        <is>
          <t>LEKSAND</t>
        </is>
      </c>
      <c r="G803" t="n">
        <v>0.3</v>
      </c>
      <c r="H803" t="n">
        <v>0</v>
      </c>
      <c r="I803" t="n">
        <v>0</v>
      </c>
      <c r="J803" t="n">
        <v>0</v>
      </c>
      <c r="K803" t="n">
        <v>0</v>
      </c>
      <c r="L803" t="n">
        <v>0</v>
      </c>
      <c r="M803" t="n">
        <v>0</v>
      </c>
      <c r="N803" t="n">
        <v>0</v>
      </c>
      <c r="O803" t="n">
        <v>0</v>
      </c>
      <c r="P803" t="n">
        <v>0</v>
      </c>
      <c r="Q803" t="n">
        <v>0</v>
      </c>
      <c r="R803" s="2" t="inlineStr"/>
    </row>
    <row r="804" ht="15" customHeight="1">
      <c r="A804" t="inlineStr">
        <is>
          <t>A 63548-2023</t>
        </is>
      </c>
      <c r="B804" s="1" t="n">
        <v>45275</v>
      </c>
      <c r="C804" s="1" t="n">
        <v>45508</v>
      </c>
      <c r="D804" t="inlineStr">
        <is>
          <t>DALARNAS LÄN</t>
        </is>
      </c>
      <c r="E804" t="inlineStr">
        <is>
          <t>LEKSAND</t>
        </is>
      </c>
      <c r="G804" t="n">
        <v>1.7</v>
      </c>
      <c r="H804" t="n">
        <v>0</v>
      </c>
      <c r="I804" t="n">
        <v>0</v>
      </c>
      <c r="J804" t="n">
        <v>0</v>
      </c>
      <c r="K804" t="n">
        <v>0</v>
      </c>
      <c r="L804" t="n">
        <v>0</v>
      </c>
      <c r="M804" t="n">
        <v>0</v>
      </c>
      <c r="N804" t="n">
        <v>0</v>
      </c>
      <c r="O804" t="n">
        <v>0</v>
      </c>
      <c r="P804" t="n">
        <v>0</v>
      </c>
      <c r="Q804" t="n">
        <v>0</v>
      </c>
      <c r="R804" s="2" t="inlineStr"/>
    </row>
    <row r="805" ht="15" customHeight="1">
      <c r="A805" t="inlineStr">
        <is>
          <t>A 64146-2023</t>
        </is>
      </c>
      <c r="B805" s="1" t="n">
        <v>45279</v>
      </c>
      <c r="C805" s="1" t="n">
        <v>45508</v>
      </c>
      <c r="D805" t="inlineStr">
        <is>
          <t>DALARNAS LÄN</t>
        </is>
      </c>
      <c r="E805" t="inlineStr">
        <is>
          <t>LEKSAND</t>
        </is>
      </c>
      <c r="G805" t="n">
        <v>4.3</v>
      </c>
      <c r="H805" t="n">
        <v>0</v>
      </c>
      <c r="I805" t="n">
        <v>0</v>
      </c>
      <c r="J805" t="n">
        <v>0</v>
      </c>
      <c r="K805" t="n">
        <v>0</v>
      </c>
      <c r="L805" t="n">
        <v>0</v>
      </c>
      <c r="M805" t="n">
        <v>0</v>
      </c>
      <c r="N805" t="n">
        <v>0</v>
      </c>
      <c r="O805" t="n">
        <v>0</v>
      </c>
      <c r="P805" t="n">
        <v>0</v>
      </c>
      <c r="Q805" t="n">
        <v>0</v>
      </c>
      <c r="R805" s="2" t="inlineStr"/>
    </row>
    <row r="806" ht="15" customHeight="1">
      <c r="A806" t="inlineStr">
        <is>
          <t>A 64418-2023</t>
        </is>
      </c>
      <c r="B806" s="1" t="n">
        <v>45280</v>
      </c>
      <c r="C806" s="1" t="n">
        <v>45508</v>
      </c>
      <c r="D806" t="inlineStr">
        <is>
          <t>DALARNAS LÄN</t>
        </is>
      </c>
      <c r="E806" t="inlineStr">
        <is>
          <t>LEKSAND</t>
        </is>
      </c>
      <c r="G806" t="n">
        <v>3.4</v>
      </c>
      <c r="H806" t="n">
        <v>0</v>
      </c>
      <c r="I806" t="n">
        <v>0</v>
      </c>
      <c r="J806" t="n">
        <v>0</v>
      </c>
      <c r="K806" t="n">
        <v>0</v>
      </c>
      <c r="L806" t="n">
        <v>0</v>
      </c>
      <c r="M806" t="n">
        <v>0</v>
      </c>
      <c r="N806" t="n">
        <v>0</v>
      </c>
      <c r="O806" t="n">
        <v>0</v>
      </c>
      <c r="P806" t="n">
        <v>0</v>
      </c>
      <c r="Q806" t="n">
        <v>0</v>
      </c>
      <c r="R806" s="2" t="inlineStr"/>
    </row>
    <row r="807" ht="15" customHeight="1">
      <c r="A807" t="inlineStr">
        <is>
          <t>A 64516-2023</t>
        </is>
      </c>
      <c r="B807" s="1" t="n">
        <v>45280</v>
      </c>
      <c r="C807" s="1" t="n">
        <v>45508</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64515-2023</t>
        </is>
      </c>
      <c r="B808" s="1" t="n">
        <v>45280</v>
      </c>
      <c r="C808" s="1" t="n">
        <v>45508</v>
      </c>
      <c r="D808" t="inlineStr">
        <is>
          <t>DALARNAS LÄN</t>
        </is>
      </c>
      <c r="E808" t="inlineStr">
        <is>
          <t>LEKSAND</t>
        </is>
      </c>
      <c r="G808" t="n">
        <v>9.1</v>
      </c>
      <c r="H808" t="n">
        <v>0</v>
      </c>
      <c r="I808" t="n">
        <v>0</v>
      </c>
      <c r="J808" t="n">
        <v>0</v>
      </c>
      <c r="K808" t="n">
        <v>0</v>
      </c>
      <c r="L808" t="n">
        <v>0</v>
      </c>
      <c r="M808" t="n">
        <v>0</v>
      </c>
      <c r="N808" t="n">
        <v>0</v>
      </c>
      <c r="O808" t="n">
        <v>0</v>
      </c>
      <c r="P808" t="n">
        <v>0</v>
      </c>
      <c r="Q808" t="n">
        <v>0</v>
      </c>
      <c r="R808" s="2" t="inlineStr"/>
    </row>
    <row r="809" ht="15" customHeight="1">
      <c r="A809" t="inlineStr">
        <is>
          <t>A 64677-2023</t>
        </is>
      </c>
      <c r="B809" s="1" t="n">
        <v>45281</v>
      </c>
      <c r="C809" s="1" t="n">
        <v>45508</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64612-2023</t>
        </is>
      </c>
      <c r="B810" s="1" t="n">
        <v>45281</v>
      </c>
      <c r="C810" s="1" t="n">
        <v>45508</v>
      </c>
      <c r="D810" t="inlineStr">
        <is>
          <t>DALARNAS LÄN</t>
        </is>
      </c>
      <c r="E810" t="inlineStr">
        <is>
          <t>LEKSAND</t>
        </is>
      </c>
      <c r="G810" t="n">
        <v>3.6</v>
      </c>
      <c r="H810" t="n">
        <v>0</v>
      </c>
      <c r="I810" t="n">
        <v>0</v>
      </c>
      <c r="J810" t="n">
        <v>0</v>
      </c>
      <c r="K810" t="n">
        <v>0</v>
      </c>
      <c r="L810" t="n">
        <v>0</v>
      </c>
      <c r="M810" t="n">
        <v>0</v>
      </c>
      <c r="N810" t="n">
        <v>0</v>
      </c>
      <c r="O810" t="n">
        <v>0</v>
      </c>
      <c r="P810" t="n">
        <v>0</v>
      </c>
      <c r="Q810" t="n">
        <v>0</v>
      </c>
      <c r="R810" s="2" t="inlineStr"/>
    </row>
    <row r="811" ht="15" customHeight="1">
      <c r="A811" t="inlineStr">
        <is>
          <t>A 64867-2023</t>
        </is>
      </c>
      <c r="B811" s="1" t="n">
        <v>45282</v>
      </c>
      <c r="C811" s="1" t="n">
        <v>45508</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64931-2023</t>
        </is>
      </c>
      <c r="B812" s="1" t="n">
        <v>45282</v>
      </c>
      <c r="C812" s="1" t="n">
        <v>45508</v>
      </c>
      <c r="D812" t="inlineStr">
        <is>
          <t>DALARNAS LÄN</t>
        </is>
      </c>
      <c r="E812" t="inlineStr">
        <is>
          <t>LEKSAND</t>
        </is>
      </c>
      <c r="G812" t="n">
        <v>6.3</v>
      </c>
      <c r="H812" t="n">
        <v>0</v>
      </c>
      <c r="I812" t="n">
        <v>0</v>
      </c>
      <c r="J812" t="n">
        <v>0</v>
      </c>
      <c r="K812" t="n">
        <v>0</v>
      </c>
      <c r="L812" t="n">
        <v>0</v>
      </c>
      <c r="M812" t="n">
        <v>0</v>
      </c>
      <c r="N812" t="n">
        <v>0</v>
      </c>
      <c r="O812" t="n">
        <v>0</v>
      </c>
      <c r="P812" t="n">
        <v>0</v>
      </c>
      <c r="Q812" t="n">
        <v>0</v>
      </c>
      <c r="R812" s="2" t="inlineStr"/>
    </row>
    <row r="813" ht="15" customHeight="1">
      <c r="A813" t="inlineStr">
        <is>
          <t>A 64933-2023</t>
        </is>
      </c>
      <c r="B813" s="1" t="n">
        <v>45282</v>
      </c>
      <c r="C813" s="1" t="n">
        <v>45508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65047-2023</t>
        </is>
      </c>
      <c r="B814" s="1" t="n">
        <v>45283</v>
      </c>
      <c r="C814" s="1" t="n">
        <v>45508</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23-2024</t>
        </is>
      </c>
      <c r="B815" s="1" t="n">
        <v>45293</v>
      </c>
      <c r="C815" s="1" t="n">
        <v>45508</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32-2024</t>
        </is>
      </c>
      <c r="B816" s="1" t="n">
        <v>45293</v>
      </c>
      <c r="C816" s="1" t="n">
        <v>45508</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121-2024</t>
        </is>
      </c>
      <c r="B817" s="1" t="n">
        <v>45294</v>
      </c>
      <c r="C817" s="1" t="n">
        <v>45508</v>
      </c>
      <c r="D817" t="inlineStr">
        <is>
          <t>DALARNAS LÄN</t>
        </is>
      </c>
      <c r="E817" t="inlineStr">
        <is>
          <t>LEKSAND</t>
        </is>
      </c>
      <c r="G817" t="n">
        <v>8.6</v>
      </c>
      <c r="H817" t="n">
        <v>0</v>
      </c>
      <c r="I817" t="n">
        <v>0</v>
      </c>
      <c r="J817" t="n">
        <v>0</v>
      </c>
      <c r="K817" t="n">
        <v>0</v>
      </c>
      <c r="L817" t="n">
        <v>0</v>
      </c>
      <c r="M817" t="n">
        <v>0</v>
      </c>
      <c r="N817" t="n">
        <v>0</v>
      </c>
      <c r="O817" t="n">
        <v>0</v>
      </c>
      <c r="P817" t="n">
        <v>0</v>
      </c>
      <c r="Q817" t="n">
        <v>0</v>
      </c>
      <c r="R817" s="2" t="inlineStr"/>
    </row>
    <row r="818" ht="15" customHeight="1">
      <c r="A818" t="inlineStr">
        <is>
          <t>A 402-2024</t>
        </is>
      </c>
      <c r="B818" s="1" t="n">
        <v>45296</v>
      </c>
      <c r="C818" s="1" t="n">
        <v>45508</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412-2024</t>
        </is>
      </c>
      <c r="B819" s="1" t="n">
        <v>45296</v>
      </c>
      <c r="C819" s="1" t="n">
        <v>45508</v>
      </c>
      <c r="D819" t="inlineStr">
        <is>
          <t>DALARNAS LÄN</t>
        </is>
      </c>
      <c r="E819" t="inlineStr">
        <is>
          <t>LEKSAND</t>
        </is>
      </c>
      <c r="G819" t="n">
        <v>1.9</v>
      </c>
      <c r="H819" t="n">
        <v>0</v>
      </c>
      <c r="I819" t="n">
        <v>0</v>
      </c>
      <c r="J819" t="n">
        <v>0</v>
      </c>
      <c r="K819" t="n">
        <v>0</v>
      </c>
      <c r="L819" t="n">
        <v>0</v>
      </c>
      <c r="M819" t="n">
        <v>0</v>
      </c>
      <c r="N819" t="n">
        <v>0</v>
      </c>
      <c r="O819" t="n">
        <v>0</v>
      </c>
      <c r="P819" t="n">
        <v>0</v>
      </c>
      <c r="Q819" t="n">
        <v>0</v>
      </c>
      <c r="R819" s="2" t="inlineStr"/>
    </row>
    <row r="820" ht="15" customHeight="1">
      <c r="A820" t="inlineStr">
        <is>
          <t>A 481-2024</t>
        </is>
      </c>
      <c r="B820" s="1" t="n">
        <v>45298</v>
      </c>
      <c r="C820" s="1" t="n">
        <v>45508</v>
      </c>
      <c r="D820" t="inlineStr">
        <is>
          <t>DALARNAS LÄN</t>
        </is>
      </c>
      <c r="E820" t="inlineStr">
        <is>
          <t>LEKSAND</t>
        </is>
      </c>
      <c r="G820" t="n">
        <v>7</v>
      </c>
      <c r="H820" t="n">
        <v>0</v>
      </c>
      <c r="I820" t="n">
        <v>0</v>
      </c>
      <c r="J820" t="n">
        <v>0</v>
      </c>
      <c r="K820" t="n">
        <v>0</v>
      </c>
      <c r="L820" t="n">
        <v>0</v>
      </c>
      <c r="M820" t="n">
        <v>0</v>
      </c>
      <c r="N820" t="n">
        <v>0</v>
      </c>
      <c r="O820" t="n">
        <v>0</v>
      </c>
      <c r="P820" t="n">
        <v>0</v>
      </c>
      <c r="Q820" t="n">
        <v>0</v>
      </c>
      <c r="R820" s="2" t="inlineStr"/>
    </row>
    <row r="821" ht="15" customHeight="1">
      <c r="A821" t="inlineStr">
        <is>
          <t>A 511-2024</t>
        </is>
      </c>
      <c r="B821" s="1" t="n">
        <v>45299</v>
      </c>
      <c r="C821" s="1" t="n">
        <v>45508</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613-2024</t>
        </is>
      </c>
      <c r="B822" s="1" t="n">
        <v>45299</v>
      </c>
      <c r="C822" s="1" t="n">
        <v>45508</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962-2024</t>
        </is>
      </c>
      <c r="B823" s="1" t="n">
        <v>45301</v>
      </c>
      <c r="C823" s="1" t="n">
        <v>45508</v>
      </c>
      <c r="D823" t="inlineStr">
        <is>
          <t>DALARNAS LÄN</t>
        </is>
      </c>
      <c r="E823" t="inlineStr">
        <is>
          <t>LEKSAND</t>
        </is>
      </c>
      <c r="G823" t="n">
        <v>3.8</v>
      </c>
      <c r="H823" t="n">
        <v>0</v>
      </c>
      <c r="I823" t="n">
        <v>0</v>
      </c>
      <c r="J823" t="n">
        <v>0</v>
      </c>
      <c r="K823" t="n">
        <v>0</v>
      </c>
      <c r="L823" t="n">
        <v>0</v>
      </c>
      <c r="M823" t="n">
        <v>0</v>
      </c>
      <c r="N823" t="n">
        <v>0</v>
      </c>
      <c r="O823" t="n">
        <v>0</v>
      </c>
      <c r="P823" t="n">
        <v>0</v>
      </c>
      <c r="Q823" t="n">
        <v>0</v>
      </c>
      <c r="R823" s="2" t="inlineStr"/>
    </row>
    <row r="824" ht="15" customHeight="1">
      <c r="A824" t="inlineStr">
        <is>
          <t>A 1179-2024</t>
        </is>
      </c>
      <c r="B824" s="1" t="n">
        <v>45302</v>
      </c>
      <c r="C824" s="1" t="n">
        <v>45508</v>
      </c>
      <c r="D824" t="inlineStr">
        <is>
          <t>DALARNAS LÄN</t>
        </is>
      </c>
      <c r="E824" t="inlineStr">
        <is>
          <t>LEKSAND</t>
        </is>
      </c>
      <c r="G824" t="n">
        <v>2.8</v>
      </c>
      <c r="H824" t="n">
        <v>0</v>
      </c>
      <c r="I824" t="n">
        <v>0</v>
      </c>
      <c r="J824" t="n">
        <v>0</v>
      </c>
      <c r="K824" t="n">
        <v>0</v>
      </c>
      <c r="L824" t="n">
        <v>0</v>
      </c>
      <c r="M824" t="n">
        <v>0</v>
      </c>
      <c r="N824" t="n">
        <v>0</v>
      </c>
      <c r="O824" t="n">
        <v>0</v>
      </c>
      <c r="P824" t="n">
        <v>0</v>
      </c>
      <c r="Q824" t="n">
        <v>0</v>
      </c>
      <c r="R824" s="2" t="inlineStr"/>
    </row>
    <row r="825" ht="15" customHeight="1">
      <c r="A825" t="inlineStr">
        <is>
          <t>A 1215-2024</t>
        </is>
      </c>
      <c r="B825" s="1" t="n">
        <v>45302</v>
      </c>
      <c r="C825" s="1" t="n">
        <v>45508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1458-2024</t>
        </is>
      </c>
      <c r="B826" s="1" t="n">
        <v>45303</v>
      </c>
      <c r="C826" s="1" t="n">
        <v>45508</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1443-2024</t>
        </is>
      </c>
      <c r="B827" s="1" t="n">
        <v>45303</v>
      </c>
      <c r="C827" s="1" t="n">
        <v>45508</v>
      </c>
      <c r="D827" t="inlineStr">
        <is>
          <t>DALARNAS LÄN</t>
        </is>
      </c>
      <c r="E827" t="inlineStr">
        <is>
          <t>LEKSAND</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1457-2024</t>
        </is>
      </c>
      <c r="B828" s="1" t="n">
        <v>45303</v>
      </c>
      <c r="C828" s="1" t="n">
        <v>45508</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1461-2024</t>
        </is>
      </c>
      <c r="B829" s="1" t="n">
        <v>45303</v>
      </c>
      <c r="C829" s="1" t="n">
        <v>45508</v>
      </c>
      <c r="D829" t="inlineStr">
        <is>
          <t>DALARNAS LÄN</t>
        </is>
      </c>
      <c r="E829" t="inlineStr">
        <is>
          <t>LEKSAND</t>
        </is>
      </c>
      <c r="G829" t="n">
        <v>2.4</v>
      </c>
      <c r="H829" t="n">
        <v>0</v>
      </c>
      <c r="I829" t="n">
        <v>0</v>
      </c>
      <c r="J829" t="n">
        <v>0</v>
      </c>
      <c r="K829" t="n">
        <v>0</v>
      </c>
      <c r="L829" t="n">
        <v>0</v>
      </c>
      <c r="M829" t="n">
        <v>0</v>
      </c>
      <c r="N829" t="n">
        <v>0</v>
      </c>
      <c r="O829" t="n">
        <v>0</v>
      </c>
      <c r="P829" t="n">
        <v>0</v>
      </c>
      <c r="Q829" t="n">
        <v>0</v>
      </c>
      <c r="R829" s="2" t="inlineStr"/>
    </row>
    <row r="830" ht="15" customHeight="1">
      <c r="A830" t="inlineStr">
        <is>
          <t>A 1463-2024</t>
        </is>
      </c>
      <c r="B830" s="1" t="n">
        <v>45303</v>
      </c>
      <c r="C830" s="1" t="n">
        <v>45508</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1476-2024</t>
        </is>
      </c>
      <c r="B831" s="1" t="n">
        <v>45304</v>
      </c>
      <c r="C831" s="1" t="n">
        <v>45508</v>
      </c>
      <c r="D831" t="inlineStr">
        <is>
          <t>DALARNAS LÄN</t>
        </is>
      </c>
      <c r="E831" t="inlineStr">
        <is>
          <t>LEKSAND</t>
        </is>
      </c>
      <c r="G831" t="n">
        <v>4.3</v>
      </c>
      <c r="H831" t="n">
        <v>0</v>
      </c>
      <c r="I831" t="n">
        <v>0</v>
      </c>
      <c r="J831" t="n">
        <v>0</v>
      </c>
      <c r="K831" t="n">
        <v>0</v>
      </c>
      <c r="L831" t="n">
        <v>0</v>
      </c>
      <c r="M831" t="n">
        <v>0</v>
      </c>
      <c r="N831" t="n">
        <v>0</v>
      </c>
      <c r="O831" t="n">
        <v>0</v>
      </c>
      <c r="P831" t="n">
        <v>0</v>
      </c>
      <c r="Q831" t="n">
        <v>0</v>
      </c>
      <c r="R831" s="2" t="inlineStr"/>
    </row>
    <row r="832" ht="15" customHeight="1">
      <c r="A832" t="inlineStr">
        <is>
          <t>A 1519-2024</t>
        </is>
      </c>
      <c r="B832" s="1" t="n">
        <v>45306</v>
      </c>
      <c r="C832" s="1" t="n">
        <v>45508</v>
      </c>
      <c r="D832" t="inlineStr">
        <is>
          <t>DALARNAS LÄN</t>
        </is>
      </c>
      <c r="E832" t="inlineStr">
        <is>
          <t>LEKSAND</t>
        </is>
      </c>
      <c r="G832" t="n">
        <v>3.3</v>
      </c>
      <c r="H832" t="n">
        <v>0</v>
      </c>
      <c r="I832" t="n">
        <v>0</v>
      </c>
      <c r="J832" t="n">
        <v>0</v>
      </c>
      <c r="K832" t="n">
        <v>0</v>
      </c>
      <c r="L832" t="n">
        <v>0</v>
      </c>
      <c r="M832" t="n">
        <v>0</v>
      </c>
      <c r="N832" t="n">
        <v>0</v>
      </c>
      <c r="O832" t="n">
        <v>0</v>
      </c>
      <c r="P832" t="n">
        <v>0</v>
      </c>
      <c r="Q832" t="n">
        <v>0</v>
      </c>
      <c r="R832" s="2" t="inlineStr"/>
    </row>
    <row r="833" ht="15" customHeight="1">
      <c r="A833" t="inlineStr">
        <is>
          <t>A 1616-2024</t>
        </is>
      </c>
      <c r="B833" s="1" t="n">
        <v>45306</v>
      </c>
      <c r="C833" s="1" t="n">
        <v>45508</v>
      </c>
      <c r="D833" t="inlineStr">
        <is>
          <t>DALARNAS LÄN</t>
        </is>
      </c>
      <c r="E833" t="inlineStr">
        <is>
          <t>LEKSAND</t>
        </is>
      </c>
      <c r="G833" t="n">
        <v>2.1</v>
      </c>
      <c r="H833" t="n">
        <v>0</v>
      </c>
      <c r="I833" t="n">
        <v>0</v>
      </c>
      <c r="J833" t="n">
        <v>0</v>
      </c>
      <c r="K833" t="n">
        <v>0</v>
      </c>
      <c r="L833" t="n">
        <v>0</v>
      </c>
      <c r="M833" t="n">
        <v>0</v>
      </c>
      <c r="N833" t="n">
        <v>0</v>
      </c>
      <c r="O833" t="n">
        <v>0</v>
      </c>
      <c r="P833" t="n">
        <v>0</v>
      </c>
      <c r="Q833" t="n">
        <v>0</v>
      </c>
      <c r="R833" s="2" t="inlineStr"/>
    </row>
    <row r="834" ht="15" customHeight="1">
      <c r="A834" t="inlineStr">
        <is>
          <t>A 1849-2024</t>
        </is>
      </c>
      <c r="B834" s="1" t="n">
        <v>45307</v>
      </c>
      <c r="C834" s="1" t="n">
        <v>45508</v>
      </c>
      <c r="D834" t="inlineStr">
        <is>
          <t>DALARNAS LÄN</t>
        </is>
      </c>
      <c r="E834" t="inlineStr">
        <is>
          <t>LEKSAND</t>
        </is>
      </c>
      <c r="F834" t="inlineStr">
        <is>
          <t>Kommuner</t>
        </is>
      </c>
      <c r="G834" t="n">
        <v>5</v>
      </c>
      <c r="H834" t="n">
        <v>0</v>
      </c>
      <c r="I834" t="n">
        <v>0</v>
      </c>
      <c r="J834" t="n">
        <v>0</v>
      </c>
      <c r="K834" t="n">
        <v>0</v>
      </c>
      <c r="L834" t="n">
        <v>0</v>
      </c>
      <c r="M834" t="n">
        <v>0</v>
      </c>
      <c r="N834" t="n">
        <v>0</v>
      </c>
      <c r="O834" t="n">
        <v>0</v>
      </c>
      <c r="P834" t="n">
        <v>0</v>
      </c>
      <c r="Q834" t="n">
        <v>0</v>
      </c>
      <c r="R834" s="2" t="inlineStr"/>
    </row>
    <row r="835" ht="15" customHeight="1">
      <c r="A835" t="inlineStr">
        <is>
          <t>A 1706-2024</t>
        </is>
      </c>
      <c r="B835" s="1" t="n">
        <v>45307</v>
      </c>
      <c r="C835" s="1" t="n">
        <v>45508</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1719-2024</t>
        </is>
      </c>
      <c r="B836" s="1" t="n">
        <v>45307</v>
      </c>
      <c r="C836" s="1" t="n">
        <v>45508</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1946-2024</t>
        </is>
      </c>
      <c r="B837" s="1" t="n">
        <v>45308</v>
      </c>
      <c r="C837" s="1" t="n">
        <v>45508</v>
      </c>
      <c r="D837" t="inlineStr">
        <is>
          <t>DALARNAS LÄN</t>
        </is>
      </c>
      <c r="E837" t="inlineStr">
        <is>
          <t>LEKSAND</t>
        </is>
      </c>
      <c r="G837" t="n">
        <v>2.3</v>
      </c>
      <c r="H837" t="n">
        <v>0</v>
      </c>
      <c r="I837" t="n">
        <v>0</v>
      </c>
      <c r="J837" t="n">
        <v>0</v>
      </c>
      <c r="K837" t="n">
        <v>0</v>
      </c>
      <c r="L837" t="n">
        <v>0</v>
      </c>
      <c r="M837" t="n">
        <v>0</v>
      </c>
      <c r="N837" t="n">
        <v>0</v>
      </c>
      <c r="O837" t="n">
        <v>0</v>
      </c>
      <c r="P837" t="n">
        <v>0</v>
      </c>
      <c r="Q837" t="n">
        <v>0</v>
      </c>
      <c r="R837" s="2" t="inlineStr"/>
    </row>
    <row r="838" ht="15" customHeight="1">
      <c r="A838" t="inlineStr">
        <is>
          <t>A 2158-2024</t>
        </is>
      </c>
      <c r="B838" s="1" t="n">
        <v>45309</v>
      </c>
      <c r="C838" s="1" t="n">
        <v>45508</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2140-2024</t>
        </is>
      </c>
      <c r="B839" s="1" t="n">
        <v>45309</v>
      </c>
      <c r="C839" s="1" t="n">
        <v>45508</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2517-2024</t>
        </is>
      </c>
      <c r="B840" s="1" t="n">
        <v>45313</v>
      </c>
      <c r="C840" s="1" t="n">
        <v>45508</v>
      </c>
      <c r="D840" t="inlineStr">
        <is>
          <t>DALARNAS LÄN</t>
        </is>
      </c>
      <c r="E840" t="inlineStr">
        <is>
          <t>LEKSAND</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2536-2024</t>
        </is>
      </c>
      <c r="B841" s="1" t="n">
        <v>45313</v>
      </c>
      <c r="C841" s="1" t="n">
        <v>45508</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2820-2024</t>
        </is>
      </c>
      <c r="B842" s="1" t="n">
        <v>45314</v>
      </c>
      <c r="C842" s="1" t="n">
        <v>45508</v>
      </c>
      <c r="D842" t="inlineStr">
        <is>
          <t>DALARNAS LÄN</t>
        </is>
      </c>
      <c r="E842" t="inlineStr">
        <is>
          <t>LEKSAND</t>
        </is>
      </c>
      <c r="G842" t="n">
        <v>1.7</v>
      </c>
      <c r="H842" t="n">
        <v>0</v>
      </c>
      <c r="I842" t="n">
        <v>0</v>
      </c>
      <c r="J842" t="n">
        <v>0</v>
      </c>
      <c r="K842" t="n">
        <v>0</v>
      </c>
      <c r="L842" t="n">
        <v>0</v>
      </c>
      <c r="M842" t="n">
        <v>0</v>
      </c>
      <c r="N842" t="n">
        <v>0</v>
      </c>
      <c r="O842" t="n">
        <v>0</v>
      </c>
      <c r="P842" t="n">
        <v>0</v>
      </c>
      <c r="Q842" t="n">
        <v>0</v>
      </c>
      <c r="R842" s="2" t="inlineStr"/>
    </row>
    <row r="843" ht="15" customHeight="1">
      <c r="A843" t="inlineStr">
        <is>
          <t>A 2822-2024</t>
        </is>
      </c>
      <c r="B843" s="1" t="n">
        <v>45314</v>
      </c>
      <c r="C843" s="1" t="n">
        <v>45508</v>
      </c>
      <c r="D843" t="inlineStr">
        <is>
          <t>DALARNAS LÄN</t>
        </is>
      </c>
      <c r="E843" t="inlineStr">
        <is>
          <t>LEKSAND</t>
        </is>
      </c>
      <c r="G843" t="n">
        <v>1.6</v>
      </c>
      <c r="H843" t="n">
        <v>0</v>
      </c>
      <c r="I843" t="n">
        <v>0</v>
      </c>
      <c r="J843" t="n">
        <v>0</v>
      </c>
      <c r="K843" t="n">
        <v>0</v>
      </c>
      <c r="L843" t="n">
        <v>0</v>
      </c>
      <c r="M843" t="n">
        <v>0</v>
      </c>
      <c r="N843" t="n">
        <v>0</v>
      </c>
      <c r="O843" t="n">
        <v>0</v>
      </c>
      <c r="P843" t="n">
        <v>0</v>
      </c>
      <c r="Q843" t="n">
        <v>0</v>
      </c>
      <c r="R843" s="2" t="inlineStr"/>
    </row>
    <row r="844" ht="15" customHeight="1">
      <c r="A844" t="inlineStr">
        <is>
          <t>A 3138-2024</t>
        </is>
      </c>
      <c r="B844" s="1" t="n">
        <v>45316</v>
      </c>
      <c r="C844" s="1" t="n">
        <v>45508</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3048-2024</t>
        </is>
      </c>
      <c r="B845" s="1" t="n">
        <v>45316</v>
      </c>
      <c r="C845" s="1" t="n">
        <v>45508</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3205-2024</t>
        </is>
      </c>
      <c r="B846" s="1" t="n">
        <v>45316</v>
      </c>
      <c r="C846" s="1" t="n">
        <v>45508</v>
      </c>
      <c r="D846" t="inlineStr">
        <is>
          <t>DALARNAS LÄN</t>
        </is>
      </c>
      <c r="E846" t="inlineStr">
        <is>
          <t>LEKSAND</t>
        </is>
      </c>
      <c r="G846" t="n">
        <v>0.8</v>
      </c>
      <c r="H846" t="n">
        <v>0</v>
      </c>
      <c r="I846" t="n">
        <v>0</v>
      </c>
      <c r="J846" t="n">
        <v>0</v>
      </c>
      <c r="K846" t="n">
        <v>0</v>
      </c>
      <c r="L846" t="n">
        <v>0</v>
      </c>
      <c r="M846" t="n">
        <v>0</v>
      </c>
      <c r="N846" t="n">
        <v>0</v>
      </c>
      <c r="O846" t="n">
        <v>0</v>
      </c>
      <c r="P846" t="n">
        <v>0</v>
      </c>
      <c r="Q846" t="n">
        <v>0</v>
      </c>
      <c r="R846" s="2" t="inlineStr"/>
    </row>
    <row r="847" ht="15" customHeight="1">
      <c r="A847" t="inlineStr">
        <is>
          <t>A 3202-2024</t>
        </is>
      </c>
      <c r="B847" s="1" t="n">
        <v>45316</v>
      </c>
      <c r="C847" s="1" t="n">
        <v>45508</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3352-2024</t>
        </is>
      </c>
      <c r="B848" s="1" t="n">
        <v>45317</v>
      </c>
      <c r="C848" s="1" t="n">
        <v>45508</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3970-2024</t>
        </is>
      </c>
      <c r="B849" s="1" t="n">
        <v>45322</v>
      </c>
      <c r="C849" s="1" t="n">
        <v>45508</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3974-2024</t>
        </is>
      </c>
      <c r="B850" s="1" t="n">
        <v>45322</v>
      </c>
      <c r="C850" s="1" t="n">
        <v>45508</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3901-2024</t>
        </is>
      </c>
      <c r="B851" s="1" t="n">
        <v>45322</v>
      </c>
      <c r="C851" s="1" t="n">
        <v>45508</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4121-2024</t>
        </is>
      </c>
      <c r="B852" s="1" t="n">
        <v>45323</v>
      </c>
      <c r="C852" s="1" t="n">
        <v>45508</v>
      </c>
      <c r="D852" t="inlineStr">
        <is>
          <t>DALARNAS LÄN</t>
        </is>
      </c>
      <c r="E852" t="inlineStr">
        <is>
          <t>LEKSAND</t>
        </is>
      </c>
      <c r="G852" t="n">
        <v>1.3</v>
      </c>
      <c r="H852" t="n">
        <v>0</v>
      </c>
      <c r="I852" t="n">
        <v>0</v>
      </c>
      <c r="J852" t="n">
        <v>0</v>
      </c>
      <c r="K852" t="n">
        <v>0</v>
      </c>
      <c r="L852" t="n">
        <v>0</v>
      </c>
      <c r="M852" t="n">
        <v>0</v>
      </c>
      <c r="N852" t="n">
        <v>0</v>
      </c>
      <c r="O852" t="n">
        <v>0</v>
      </c>
      <c r="P852" t="n">
        <v>0</v>
      </c>
      <c r="Q852" t="n">
        <v>0</v>
      </c>
      <c r="R852" s="2" t="inlineStr"/>
    </row>
    <row r="853" ht="15" customHeight="1">
      <c r="A853" t="inlineStr">
        <is>
          <t>A 4248-2024</t>
        </is>
      </c>
      <c r="B853" s="1" t="n">
        <v>45324</v>
      </c>
      <c r="C853" s="1" t="n">
        <v>45508</v>
      </c>
      <c r="D853" t="inlineStr">
        <is>
          <t>DALARNAS LÄN</t>
        </is>
      </c>
      <c r="E853" t="inlineStr">
        <is>
          <t>LEKSAND</t>
        </is>
      </c>
      <c r="G853" t="n">
        <v>3.6</v>
      </c>
      <c r="H853" t="n">
        <v>0</v>
      </c>
      <c r="I853" t="n">
        <v>0</v>
      </c>
      <c r="J853" t="n">
        <v>0</v>
      </c>
      <c r="K853" t="n">
        <v>0</v>
      </c>
      <c r="L853" t="n">
        <v>0</v>
      </c>
      <c r="M853" t="n">
        <v>0</v>
      </c>
      <c r="N853" t="n">
        <v>0</v>
      </c>
      <c r="O853" t="n">
        <v>0</v>
      </c>
      <c r="P853" t="n">
        <v>0</v>
      </c>
      <c r="Q853" t="n">
        <v>0</v>
      </c>
      <c r="R853" s="2" t="inlineStr"/>
    </row>
    <row r="854" ht="15" customHeight="1">
      <c r="A854" t="inlineStr">
        <is>
          <t>A 4938-2024</t>
        </is>
      </c>
      <c r="B854" s="1" t="n">
        <v>45329</v>
      </c>
      <c r="C854" s="1" t="n">
        <v>45508</v>
      </c>
      <c r="D854" t="inlineStr">
        <is>
          <t>DALARNAS LÄN</t>
        </is>
      </c>
      <c r="E854" t="inlineStr">
        <is>
          <t>LEKSAND</t>
        </is>
      </c>
      <c r="G854" t="n">
        <v>7.7</v>
      </c>
      <c r="H854" t="n">
        <v>0</v>
      </c>
      <c r="I854" t="n">
        <v>0</v>
      </c>
      <c r="J854" t="n">
        <v>0</v>
      </c>
      <c r="K854" t="n">
        <v>0</v>
      </c>
      <c r="L854" t="n">
        <v>0</v>
      </c>
      <c r="M854" t="n">
        <v>0</v>
      </c>
      <c r="N854" t="n">
        <v>0</v>
      </c>
      <c r="O854" t="n">
        <v>0</v>
      </c>
      <c r="P854" t="n">
        <v>0</v>
      </c>
      <c r="Q854" t="n">
        <v>0</v>
      </c>
      <c r="R854" s="2" t="inlineStr"/>
    </row>
    <row r="855" ht="15" customHeight="1">
      <c r="A855" t="inlineStr">
        <is>
          <t>A 4956-2024</t>
        </is>
      </c>
      <c r="B855" s="1" t="n">
        <v>45329</v>
      </c>
      <c r="C855" s="1" t="n">
        <v>45508</v>
      </c>
      <c r="D855" t="inlineStr">
        <is>
          <t>DALARNAS LÄN</t>
        </is>
      </c>
      <c r="E855" t="inlineStr">
        <is>
          <t>LEKSAND</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5231-2024</t>
        </is>
      </c>
      <c r="B856" s="1" t="n">
        <v>45330</v>
      </c>
      <c r="C856" s="1" t="n">
        <v>45508</v>
      </c>
      <c r="D856" t="inlineStr">
        <is>
          <t>DALARNAS LÄN</t>
        </is>
      </c>
      <c r="E856" t="inlineStr">
        <is>
          <t>LEKSAND</t>
        </is>
      </c>
      <c r="F856" t="inlineStr">
        <is>
          <t>Bergvik skog väst AB</t>
        </is>
      </c>
      <c r="G856" t="n">
        <v>11.2</v>
      </c>
      <c r="H856" t="n">
        <v>0</v>
      </c>
      <c r="I856" t="n">
        <v>0</v>
      </c>
      <c r="J856" t="n">
        <v>0</v>
      </c>
      <c r="K856" t="n">
        <v>0</v>
      </c>
      <c r="L856" t="n">
        <v>0</v>
      </c>
      <c r="M856" t="n">
        <v>0</v>
      </c>
      <c r="N856" t="n">
        <v>0</v>
      </c>
      <c r="O856" t="n">
        <v>0</v>
      </c>
      <c r="P856" t="n">
        <v>0</v>
      </c>
      <c r="Q856" t="n">
        <v>0</v>
      </c>
      <c r="R856" s="2" t="inlineStr"/>
    </row>
    <row r="857" ht="15" customHeight="1">
      <c r="A857" t="inlineStr">
        <is>
          <t>A 5369-2024</t>
        </is>
      </c>
      <c r="B857" s="1" t="n">
        <v>45331</v>
      </c>
      <c r="C857" s="1" t="n">
        <v>45508</v>
      </c>
      <c r="D857" t="inlineStr">
        <is>
          <t>DALARNAS LÄN</t>
        </is>
      </c>
      <c r="E857" t="inlineStr">
        <is>
          <t>LEKSAND</t>
        </is>
      </c>
      <c r="F857" t="inlineStr">
        <is>
          <t>Kommuner</t>
        </is>
      </c>
      <c r="G857" t="n">
        <v>2.9</v>
      </c>
      <c r="H857" t="n">
        <v>0</v>
      </c>
      <c r="I857" t="n">
        <v>0</v>
      </c>
      <c r="J857" t="n">
        <v>0</v>
      </c>
      <c r="K857" t="n">
        <v>0</v>
      </c>
      <c r="L857" t="n">
        <v>0</v>
      </c>
      <c r="M857" t="n">
        <v>0</v>
      </c>
      <c r="N857" t="n">
        <v>0</v>
      </c>
      <c r="O857" t="n">
        <v>0</v>
      </c>
      <c r="P857" t="n">
        <v>0</v>
      </c>
      <c r="Q857" t="n">
        <v>0</v>
      </c>
      <c r="R857" s="2" t="inlineStr"/>
    </row>
    <row r="858" ht="15" customHeight="1">
      <c r="A858" t="inlineStr">
        <is>
          <t>A 5514-2024</t>
        </is>
      </c>
      <c r="B858" s="1" t="n">
        <v>45334</v>
      </c>
      <c r="C858" s="1" t="n">
        <v>45508</v>
      </c>
      <c r="D858" t="inlineStr">
        <is>
          <t>DALARNAS LÄN</t>
        </is>
      </c>
      <c r="E858" t="inlineStr">
        <is>
          <t>LEKSAND</t>
        </is>
      </c>
      <c r="G858" t="n">
        <v>2.9</v>
      </c>
      <c r="H858" t="n">
        <v>0</v>
      </c>
      <c r="I858" t="n">
        <v>0</v>
      </c>
      <c r="J858" t="n">
        <v>0</v>
      </c>
      <c r="K858" t="n">
        <v>0</v>
      </c>
      <c r="L858" t="n">
        <v>0</v>
      </c>
      <c r="M858" t="n">
        <v>0</v>
      </c>
      <c r="N858" t="n">
        <v>0</v>
      </c>
      <c r="O858" t="n">
        <v>0</v>
      </c>
      <c r="P858" t="n">
        <v>0</v>
      </c>
      <c r="Q858" t="n">
        <v>0</v>
      </c>
      <c r="R858" s="2" t="inlineStr"/>
    </row>
    <row r="859" ht="15" customHeight="1">
      <c r="A859" t="inlineStr">
        <is>
          <t>A 5570-2024</t>
        </is>
      </c>
      <c r="B859" s="1" t="n">
        <v>45334</v>
      </c>
      <c r="C859" s="1" t="n">
        <v>45508</v>
      </c>
      <c r="D859" t="inlineStr">
        <is>
          <t>DALARNAS LÄN</t>
        </is>
      </c>
      <c r="E859" t="inlineStr">
        <is>
          <t>LEKSAND</t>
        </is>
      </c>
      <c r="G859" t="n">
        <v>0.3</v>
      </c>
      <c r="H859" t="n">
        <v>0</v>
      </c>
      <c r="I859" t="n">
        <v>0</v>
      </c>
      <c r="J859" t="n">
        <v>0</v>
      </c>
      <c r="K859" t="n">
        <v>0</v>
      </c>
      <c r="L859" t="n">
        <v>0</v>
      </c>
      <c r="M859" t="n">
        <v>0</v>
      </c>
      <c r="N859" t="n">
        <v>0</v>
      </c>
      <c r="O859" t="n">
        <v>0</v>
      </c>
      <c r="P859" t="n">
        <v>0</v>
      </c>
      <c r="Q859" t="n">
        <v>0</v>
      </c>
      <c r="R859" s="2" t="inlineStr"/>
    </row>
    <row r="860" ht="15" customHeight="1">
      <c r="A860" t="inlineStr">
        <is>
          <t>A 5574-2024</t>
        </is>
      </c>
      <c r="B860" s="1" t="n">
        <v>45334</v>
      </c>
      <c r="C860" s="1" t="n">
        <v>45508</v>
      </c>
      <c r="D860" t="inlineStr">
        <is>
          <t>DALARNAS LÄN</t>
        </is>
      </c>
      <c r="E860" t="inlineStr">
        <is>
          <t>LEKSAND</t>
        </is>
      </c>
      <c r="G860" t="n">
        <v>0.4</v>
      </c>
      <c r="H860" t="n">
        <v>0</v>
      </c>
      <c r="I860" t="n">
        <v>0</v>
      </c>
      <c r="J860" t="n">
        <v>0</v>
      </c>
      <c r="K860" t="n">
        <v>0</v>
      </c>
      <c r="L860" t="n">
        <v>0</v>
      </c>
      <c r="M860" t="n">
        <v>0</v>
      </c>
      <c r="N860" t="n">
        <v>0</v>
      </c>
      <c r="O860" t="n">
        <v>0</v>
      </c>
      <c r="P860" t="n">
        <v>0</v>
      </c>
      <c r="Q860" t="n">
        <v>0</v>
      </c>
      <c r="R860" s="2" t="inlineStr"/>
    </row>
    <row r="861" ht="15" customHeight="1">
      <c r="A861" t="inlineStr">
        <is>
          <t>A 5583-2024</t>
        </is>
      </c>
      <c r="B861" s="1" t="n">
        <v>45334</v>
      </c>
      <c r="C861" s="1" t="n">
        <v>45508</v>
      </c>
      <c r="D861" t="inlineStr">
        <is>
          <t>DALARNAS LÄN</t>
        </is>
      </c>
      <c r="E861" t="inlineStr">
        <is>
          <t>LEKSAND</t>
        </is>
      </c>
      <c r="F861" t="inlineStr">
        <is>
          <t>Kyrkan</t>
        </is>
      </c>
      <c r="G861" t="n">
        <v>0.4</v>
      </c>
      <c r="H861" t="n">
        <v>0</v>
      </c>
      <c r="I861" t="n">
        <v>0</v>
      </c>
      <c r="J861" t="n">
        <v>0</v>
      </c>
      <c r="K861" t="n">
        <v>0</v>
      </c>
      <c r="L861" t="n">
        <v>0</v>
      </c>
      <c r="M861" t="n">
        <v>0</v>
      </c>
      <c r="N861" t="n">
        <v>0</v>
      </c>
      <c r="O861" t="n">
        <v>0</v>
      </c>
      <c r="P861" t="n">
        <v>0</v>
      </c>
      <c r="Q861" t="n">
        <v>0</v>
      </c>
      <c r="R861" s="2" t="inlineStr"/>
    </row>
    <row r="862" ht="15" customHeight="1">
      <c r="A862" t="inlineStr">
        <is>
          <t>A 5584-2024</t>
        </is>
      </c>
      <c r="B862" s="1" t="n">
        <v>45334</v>
      </c>
      <c r="C862" s="1" t="n">
        <v>45508</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5582-2024</t>
        </is>
      </c>
      <c r="B863" s="1" t="n">
        <v>45334</v>
      </c>
      <c r="C863" s="1" t="n">
        <v>45508</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5900-2024</t>
        </is>
      </c>
      <c r="B864" s="1" t="n">
        <v>45335</v>
      </c>
      <c r="C864" s="1" t="n">
        <v>45508</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6758-2024</t>
        </is>
      </c>
      <c r="B865" s="1" t="n">
        <v>45342</v>
      </c>
      <c r="C865" s="1" t="n">
        <v>45508</v>
      </c>
      <c r="D865" t="inlineStr">
        <is>
          <t>DALARNAS LÄN</t>
        </is>
      </c>
      <c r="E865" t="inlineStr">
        <is>
          <t>LEKSAND</t>
        </is>
      </c>
      <c r="F865" t="inlineStr">
        <is>
          <t>Bergvik skog väst AB</t>
        </is>
      </c>
      <c r="G865" t="n">
        <v>6.2</v>
      </c>
      <c r="H865" t="n">
        <v>0</v>
      </c>
      <c r="I865" t="n">
        <v>0</v>
      </c>
      <c r="J865" t="n">
        <v>0</v>
      </c>
      <c r="K865" t="n">
        <v>0</v>
      </c>
      <c r="L865" t="n">
        <v>0</v>
      </c>
      <c r="M865" t="n">
        <v>0</v>
      </c>
      <c r="N865" t="n">
        <v>0</v>
      </c>
      <c r="O865" t="n">
        <v>0</v>
      </c>
      <c r="P865" t="n">
        <v>0</v>
      </c>
      <c r="Q865" t="n">
        <v>0</v>
      </c>
      <c r="R865" s="2" t="inlineStr"/>
    </row>
    <row r="866" ht="15" customHeight="1">
      <c r="A866" t="inlineStr">
        <is>
          <t>A 7417-2024</t>
        </is>
      </c>
      <c r="B866" s="1" t="n">
        <v>45345</v>
      </c>
      <c r="C866" s="1" t="n">
        <v>45508</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7775-2024</t>
        </is>
      </c>
      <c r="B867" s="1" t="n">
        <v>45349</v>
      </c>
      <c r="C867" s="1" t="n">
        <v>45508</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7768-2024</t>
        </is>
      </c>
      <c r="B868" s="1" t="n">
        <v>45349</v>
      </c>
      <c r="C868" s="1" t="n">
        <v>45508</v>
      </c>
      <c r="D868" t="inlineStr">
        <is>
          <t>DALARNAS LÄN</t>
        </is>
      </c>
      <c r="E868" t="inlineStr">
        <is>
          <t>LEKSAND</t>
        </is>
      </c>
      <c r="G868" t="n">
        <v>5.4</v>
      </c>
      <c r="H868" t="n">
        <v>0</v>
      </c>
      <c r="I868" t="n">
        <v>0</v>
      </c>
      <c r="J868" t="n">
        <v>0</v>
      </c>
      <c r="K868" t="n">
        <v>0</v>
      </c>
      <c r="L868" t="n">
        <v>0</v>
      </c>
      <c r="M868" t="n">
        <v>0</v>
      </c>
      <c r="N868" t="n">
        <v>0</v>
      </c>
      <c r="O868" t="n">
        <v>0</v>
      </c>
      <c r="P868" t="n">
        <v>0</v>
      </c>
      <c r="Q868" t="n">
        <v>0</v>
      </c>
      <c r="R868" s="2" t="inlineStr"/>
    </row>
    <row r="869" ht="15" customHeight="1">
      <c r="A869" t="inlineStr">
        <is>
          <t>A 7773-2024</t>
        </is>
      </c>
      <c r="B869" s="1" t="n">
        <v>45349</v>
      </c>
      <c r="C869" s="1" t="n">
        <v>45508</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7827-2024</t>
        </is>
      </c>
      <c r="B870" s="1" t="n">
        <v>45349</v>
      </c>
      <c r="C870" s="1" t="n">
        <v>45508</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7861-2024</t>
        </is>
      </c>
      <c r="B871" s="1" t="n">
        <v>45350</v>
      </c>
      <c r="C871" s="1" t="n">
        <v>45508</v>
      </c>
      <c r="D871" t="inlineStr">
        <is>
          <t>DALARNAS LÄN</t>
        </is>
      </c>
      <c r="E871" t="inlineStr">
        <is>
          <t>LEKSAND</t>
        </is>
      </c>
      <c r="G871" t="n">
        <v>1.8</v>
      </c>
      <c r="H871" t="n">
        <v>0</v>
      </c>
      <c r="I871" t="n">
        <v>0</v>
      </c>
      <c r="J871" t="n">
        <v>0</v>
      </c>
      <c r="K871" t="n">
        <v>0</v>
      </c>
      <c r="L871" t="n">
        <v>0</v>
      </c>
      <c r="M871" t="n">
        <v>0</v>
      </c>
      <c r="N871" t="n">
        <v>0</v>
      </c>
      <c r="O871" t="n">
        <v>0</v>
      </c>
      <c r="P871" t="n">
        <v>0</v>
      </c>
      <c r="Q871" t="n">
        <v>0</v>
      </c>
      <c r="R871" s="2" t="inlineStr"/>
    </row>
    <row r="872" ht="15" customHeight="1">
      <c r="A872" t="inlineStr">
        <is>
          <t>A 8046-2024</t>
        </is>
      </c>
      <c r="B872" s="1" t="n">
        <v>45351</v>
      </c>
      <c r="C872" s="1" t="n">
        <v>45508</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8045-2024</t>
        </is>
      </c>
      <c r="B873" s="1" t="n">
        <v>45351</v>
      </c>
      <c r="C873" s="1" t="n">
        <v>45508</v>
      </c>
      <c r="D873" t="inlineStr">
        <is>
          <t>DALARNAS LÄN</t>
        </is>
      </c>
      <c r="E873" t="inlineStr">
        <is>
          <t>LEKSAND</t>
        </is>
      </c>
      <c r="G873" t="n">
        <v>6.7</v>
      </c>
      <c r="H873" t="n">
        <v>0</v>
      </c>
      <c r="I873" t="n">
        <v>0</v>
      </c>
      <c r="J873" t="n">
        <v>0</v>
      </c>
      <c r="K873" t="n">
        <v>0</v>
      </c>
      <c r="L873" t="n">
        <v>0</v>
      </c>
      <c r="M873" t="n">
        <v>0</v>
      </c>
      <c r="N873" t="n">
        <v>0</v>
      </c>
      <c r="O873" t="n">
        <v>0</v>
      </c>
      <c r="P873" t="n">
        <v>0</v>
      </c>
      <c r="Q873" t="n">
        <v>0</v>
      </c>
      <c r="R873" s="2" t="inlineStr"/>
    </row>
    <row r="874" ht="15" customHeight="1">
      <c r="A874" t="inlineStr">
        <is>
          <t>A 9781-2024</t>
        </is>
      </c>
      <c r="B874" s="1" t="n">
        <v>45362</v>
      </c>
      <c r="C874" s="1" t="n">
        <v>45508</v>
      </c>
      <c r="D874" t="inlineStr">
        <is>
          <t>DALARNAS LÄN</t>
        </is>
      </c>
      <c r="E874" t="inlineStr">
        <is>
          <t>LEKSAND</t>
        </is>
      </c>
      <c r="G874" t="n">
        <v>1.1</v>
      </c>
      <c r="H874" t="n">
        <v>0</v>
      </c>
      <c r="I874" t="n">
        <v>0</v>
      </c>
      <c r="J874" t="n">
        <v>0</v>
      </c>
      <c r="K874" t="n">
        <v>0</v>
      </c>
      <c r="L874" t="n">
        <v>0</v>
      </c>
      <c r="M874" t="n">
        <v>0</v>
      </c>
      <c r="N874" t="n">
        <v>0</v>
      </c>
      <c r="O874" t="n">
        <v>0</v>
      </c>
      <c r="P874" t="n">
        <v>0</v>
      </c>
      <c r="Q874" t="n">
        <v>0</v>
      </c>
      <c r="R874" s="2" t="inlineStr"/>
    </row>
    <row r="875" ht="15" customHeight="1">
      <c r="A875" t="inlineStr">
        <is>
          <t>A 10299-2024</t>
        </is>
      </c>
      <c r="B875" s="1" t="n">
        <v>45365</v>
      </c>
      <c r="C875" s="1" t="n">
        <v>45508</v>
      </c>
      <c r="D875" t="inlineStr">
        <is>
          <t>DALARNAS LÄN</t>
        </is>
      </c>
      <c r="E875" t="inlineStr">
        <is>
          <t>LEKSAND</t>
        </is>
      </c>
      <c r="G875" t="n">
        <v>3.6</v>
      </c>
      <c r="H875" t="n">
        <v>0</v>
      </c>
      <c r="I875" t="n">
        <v>0</v>
      </c>
      <c r="J875" t="n">
        <v>0</v>
      </c>
      <c r="K875" t="n">
        <v>0</v>
      </c>
      <c r="L875" t="n">
        <v>0</v>
      </c>
      <c r="M875" t="n">
        <v>0</v>
      </c>
      <c r="N875" t="n">
        <v>0</v>
      </c>
      <c r="O875" t="n">
        <v>0</v>
      </c>
      <c r="P875" t="n">
        <v>0</v>
      </c>
      <c r="Q875" t="n">
        <v>0</v>
      </c>
      <c r="R875" s="2" t="inlineStr"/>
    </row>
    <row r="876" ht="15" customHeight="1">
      <c r="A876" t="inlineStr">
        <is>
          <t>A 10462-2024</t>
        </is>
      </c>
      <c r="B876" s="1" t="n">
        <v>45366</v>
      </c>
      <c r="C876" s="1" t="n">
        <v>45508</v>
      </c>
      <c r="D876" t="inlineStr">
        <is>
          <t>DALARNAS LÄN</t>
        </is>
      </c>
      <c r="E876" t="inlineStr">
        <is>
          <t>LEKSAND</t>
        </is>
      </c>
      <c r="G876" t="n">
        <v>1.2</v>
      </c>
      <c r="H876" t="n">
        <v>0</v>
      </c>
      <c r="I876" t="n">
        <v>0</v>
      </c>
      <c r="J876" t="n">
        <v>0</v>
      </c>
      <c r="K876" t="n">
        <v>0</v>
      </c>
      <c r="L876" t="n">
        <v>0</v>
      </c>
      <c r="M876" t="n">
        <v>0</v>
      </c>
      <c r="N876" t="n">
        <v>0</v>
      </c>
      <c r="O876" t="n">
        <v>0</v>
      </c>
      <c r="P876" t="n">
        <v>0</v>
      </c>
      <c r="Q876" t="n">
        <v>0</v>
      </c>
      <c r="R876" s="2" t="inlineStr"/>
    </row>
    <row r="877" ht="15" customHeight="1">
      <c r="A877" t="inlineStr">
        <is>
          <t>A 10743-2024</t>
        </is>
      </c>
      <c r="B877" s="1" t="n">
        <v>45369</v>
      </c>
      <c r="C877" s="1" t="n">
        <v>45508</v>
      </c>
      <c r="D877" t="inlineStr">
        <is>
          <t>DALARNAS LÄN</t>
        </is>
      </c>
      <c r="E877" t="inlineStr">
        <is>
          <t>LEKSAND</t>
        </is>
      </c>
      <c r="G877" t="n">
        <v>2.7</v>
      </c>
      <c r="H877" t="n">
        <v>0</v>
      </c>
      <c r="I877" t="n">
        <v>0</v>
      </c>
      <c r="J877" t="n">
        <v>0</v>
      </c>
      <c r="K877" t="n">
        <v>0</v>
      </c>
      <c r="L877" t="n">
        <v>0</v>
      </c>
      <c r="M877" t="n">
        <v>0</v>
      </c>
      <c r="N877" t="n">
        <v>0</v>
      </c>
      <c r="O877" t="n">
        <v>0</v>
      </c>
      <c r="P877" t="n">
        <v>0</v>
      </c>
      <c r="Q877" t="n">
        <v>0</v>
      </c>
      <c r="R877" s="2" t="inlineStr"/>
    </row>
    <row r="878" ht="15" customHeight="1">
      <c r="A878" t="inlineStr">
        <is>
          <t>A 10771-2024</t>
        </is>
      </c>
      <c r="B878" s="1" t="n">
        <v>45369</v>
      </c>
      <c r="C878" s="1" t="n">
        <v>45508</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11617-2024</t>
        </is>
      </c>
      <c r="B879" s="1" t="n">
        <v>45373</v>
      </c>
      <c r="C879" s="1" t="n">
        <v>45508</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11869-2024</t>
        </is>
      </c>
      <c r="B880" s="1" t="n">
        <v>45376</v>
      </c>
      <c r="C880" s="1" t="n">
        <v>45508</v>
      </c>
      <c r="D880" t="inlineStr">
        <is>
          <t>DALARNAS LÄN</t>
        </is>
      </c>
      <c r="E880" t="inlineStr">
        <is>
          <t>LEKSAND</t>
        </is>
      </c>
      <c r="G880" t="n">
        <v>0.5</v>
      </c>
      <c r="H880" t="n">
        <v>0</v>
      </c>
      <c r="I880" t="n">
        <v>0</v>
      </c>
      <c r="J880" t="n">
        <v>0</v>
      </c>
      <c r="K880" t="n">
        <v>0</v>
      </c>
      <c r="L880" t="n">
        <v>0</v>
      </c>
      <c r="M880" t="n">
        <v>0</v>
      </c>
      <c r="N880" t="n">
        <v>0</v>
      </c>
      <c r="O880" t="n">
        <v>0</v>
      </c>
      <c r="P880" t="n">
        <v>0</v>
      </c>
      <c r="Q880" t="n">
        <v>0</v>
      </c>
      <c r="R880" s="2" t="inlineStr"/>
    </row>
    <row r="881" ht="15" customHeight="1">
      <c r="A881" t="inlineStr">
        <is>
          <t>A 11855-2024</t>
        </is>
      </c>
      <c r="B881" s="1" t="n">
        <v>45376</v>
      </c>
      <c r="C881" s="1" t="n">
        <v>45508</v>
      </c>
      <c r="D881" t="inlineStr">
        <is>
          <t>DALARNAS LÄN</t>
        </is>
      </c>
      <c r="E881" t="inlineStr">
        <is>
          <t>LEKSAND</t>
        </is>
      </c>
      <c r="G881" t="n">
        <v>4</v>
      </c>
      <c r="H881" t="n">
        <v>0</v>
      </c>
      <c r="I881" t="n">
        <v>0</v>
      </c>
      <c r="J881" t="n">
        <v>0</v>
      </c>
      <c r="K881" t="n">
        <v>0</v>
      </c>
      <c r="L881" t="n">
        <v>0</v>
      </c>
      <c r="M881" t="n">
        <v>0</v>
      </c>
      <c r="N881" t="n">
        <v>0</v>
      </c>
      <c r="O881" t="n">
        <v>0</v>
      </c>
      <c r="P881" t="n">
        <v>0</v>
      </c>
      <c r="Q881" t="n">
        <v>0</v>
      </c>
      <c r="R881" s="2" t="inlineStr"/>
      <c r="U881">
        <f>HYPERLINK("https://klasma.github.io/Logging_2029/knärot/A 11855-2024 karta knärot.png", "A 11855-2024")</f>
        <v/>
      </c>
      <c r="V881">
        <f>HYPERLINK("https://klasma.github.io/Logging_2029/klagomål/A 11855-2024 FSC-klagomål.docx", "A 11855-2024")</f>
        <v/>
      </c>
      <c r="W881">
        <f>HYPERLINK("https://klasma.github.io/Logging_2029/klagomålsmail/A 11855-2024 FSC-klagomål mail.docx", "A 11855-2024")</f>
        <v/>
      </c>
      <c r="X881">
        <f>HYPERLINK("https://klasma.github.io/Logging_2029/tillsyn/A 11855-2024 tillsynsbegäran.docx", "A 11855-2024")</f>
        <v/>
      </c>
      <c r="Y881">
        <f>HYPERLINK("https://klasma.github.io/Logging_2029/tillsynsmail/A 11855-2024 tillsynsbegäran mail.docx", "A 11855-2024")</f>
        <v/>
      </c>
    </row>
    <row r="882" ht="15" customHeight="1">
      <c r="A882" t="inlineStr">
        <is>
          <t>A 11859-2024</t>
        </is>
      </c>
      <c r="B882" s="1" t="n">
        <v>45376</v>
      </c>
      <c r="C882" s="1" t="n">
        <v>45508</v>
      </c>
      <c r="D882" t="inlineStr">
        <is>
          <t>DALARNAS LÄN</t>
        </is>
      </c>
      <c r="E882" t="inlineStr">
        <is>
          <t>LEKSAND</t>
        </is>
      </c>
      <c r="G882" t="n">
        <v>2.1</v>
      </c>
      <c r="H882" t="n">
        <v>0</v>
      </c>
      <c r="I882" t="n">
        <v>0</v>
      </c>
      <c r="J882" t="n">
        <v>0</v>
      </c>
      <c r="K882" t="n">
        <v>0</v>
      </c>
      <c r="L882" t="n">
        <v>0</v>
      </c>
      <c r="M882" t="n">
        <v>0</v>
      </c>
      <c r="N882" t="n">
        <v>0</v>
      </c>
      <c r="O882" t="n">
        <v>0</v>
      </c>
      <c r="P882" t="n">
        <v>0</v>
      </c>
      <c r="Q882" t="n">
        <v>0</v>
      </c>
      <c r="R882" s="2" t="inlineStr"/>
    </row>
    <row r="883" ht="15" customHeight="1">
      <c r="A883" t="inlineStr">
        <is>
          <t>A 11872-2024</t>
        </is>
      </c>
      <c r="B883" s="1" t="n">
        <v>45376</v>
      </c>
      <c r="C883" s="1" t="n">
        <v>45508</v>
      </c>
      <c r="D883" t="inlineStr">
        <is>
          <t>DALARNAS LÄN</t>
        </is>
      </c>
      <c r="E883" t="inlineStr">
        <is>
          <t>LEKSAND</t>
        </is>
      </c>
      <c r="G883" t="n">
        <v>3.1</v>
      </c>
      <c r="H883" t="n">
        <v>0</v>
      </c>
      <c r="I883" t="n">
        <v>0</v>
      </c>
      <c r="J883" t="n">
        <v>0</v>
      </c>
      <c r="K883" t="n">
        <v>0</v>
      </c>
      <c r="L883" t="n">
        <v>0</v>
      </c>
      <c r="M883" t="n">
        <v>0</v>
      </c>
      <c r="N883" t="n">
        <v>0</v>
      </c>
      <c r="O883" t="n">
        <v>0</v>
      </c>
      <c r="P883" t="n">
        <v>0</v>
      </c>
      <c r="Q883" t="n">
        <v>0</v>
      </c>
      <c r="R883" s="2" t="inlineStr"/>
    </row>
    <row r="884" ht="15" customHeight="1">
      <c r="A884" t="inlineStr">
        <is>
          <t>A 11870-2024</t>
        </is>
      </c>
      <c r="B884" s="1" t="n">
        <v>45376</v>
      </c>
      <c r="C884" s="1" t="n">
        <v>45508</v>
      </c>
      <c r="D884" t="inlineStr">
        <is>
          <t>DALARNAS LÄN</t>
        </is>
      </c>
      <c r="E884" t="inlineStr">
        <is>
          <t>LEKSAND</t>
        </is>
      </c>
      <c r="G884" t="n">
        <v>1.5</v>
      </c>
      <c r="H884" t="n">
        <v>0</v>
      </c>
      <c r="I884" t="n">
        <v>0</v>
      </c>
      <c r="J884" t="n">
        <v>0</v>
      </c>
      <c r="K884" t="n">
        <v>0</v>
      </c>
      <c r="L884" t="n">
        <v>0</v>
      </c>
      <c r="M884" t="n">
        <v>0</v>
      </c>
      <c r="N884" t="n">
        <v>0</v>
      </c>
      <c r="O884" t="n">
        <v>0</v>
      </c>
      <c r="P884" t="n">
        <v>0</v>
      </c>
      <c r="Q884" t="n">
        <v>0</v>
      </c>
      <c r="R884" s="2" t="inlineStr"/>
    </row>
    <row r="885" ht="15" customHeight="1">
      <c r="A885" t="inlineStr">
        <is>
          <t>A 12290-2024</t>
        </is>
      </c>
      <c r="B885" s="1" t="n">
        <v>45378</v>
      </c>
      <c r="C885" s="1" t="n">
        <v>45508</v>
      </c>
      <c r="D885" t="inlineStr">
        <is>
          <t>DALARNAS LÄN</t>
        </is>
      </c>
      <c r="E885" t="inlineStr">
        <is>
          <t>LEKSAND</t>
        </is>
      </c>
      <c r="G885" t="n">
        <v>2.5</v>
      </c>
      <c r="H885" t="n">
        <v>0</v>
      </c>
      <c r="I885" t="n">
        <v>0</v>
      </c>
      <c r="J885" t="n">
        <v>0</v>
      </c>
      <c r="K885" t="n">
        <v>0</v>
      </c>
      <c r="L885" t="n">
        <v>0</v>
      </c>
      <c r="M885" t="n">
        <v>0</v>
      </c>
      <c r="N885" t="n">
        <v>0</v>
      </c>
      <c r="O885" t="n">
        <v>0</v>
      </c>
      <c r="P885" t="n">
        <v>0</v>
      </c>
      <c r="Q885" t="n">
        <v>0</v>
      </c>
      <c r="R885" s="2" t="inlineStr"/>
    </row>
    <row r="886" ht="15" customHeight="1">
      <c r="A886" t="inlineStr">
        <is>
          <t>A 12481-2024</t>
        </is>
      </c>
      <c r="B886" s="1" t="n">
        <v>45379</v>
      </c>
      <c r="C886" s="1" t="n">
        <v>45508</v>
      </c>
      <c r="D886" t="inlineStr">
        <is>
          <t>DALARNAS LÄN</t>
        </is>
      </c>
      <c r="E886" t="inlineStr">
        <is>
          <t>LEKSAND</t>
        </is>
      </c>
      <c r="G886" t="n">
        <v>4.6</v>
      </c>
      <c r="H886" t="n">
        <v>0</v>
      </c>
      <c r="I886" t="n">
        <v>0</v>
      </c>
      <c r="J886" t="n">
        <v>0</v>
      </c>
      <c r="K886" t="n">
        <v>0</v>
      </c>
      <c r="L886" t="n">
        <v>0</v>
      </c>
      <c r="M886" t="n">
        <v>0</v>
      </c>
      <c r="N886" t="n">
        <v>0</v>
      </c>
      <c r="O886" t="n">
        <v>0</v>
      </c>
      <c r="P886" t="n">
        <v>0</v>
      </c>
      <c r="Q886" t="n">
        <v>0</v>
      </c>
      <c r="R886" s="2" t="inlineStr"/>
    </row>
    <row r="887" ht="15" customHeight="1">
      <c r="A887" t="inlineStr">
        <is>
          <t>A 13161-2024</t>
        </is>
      </c>
      <c r="B887" s="1" t="n">
        <v>45386</v>
      </c>
      <c r="C887" s="1" t="n">
        <v>45508</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13165-2024</t>
        </is>
      </c>
      <c r="B888" s="1" t="n">
        <v>45386</v>
      </c>
      <c r="C888" s="1" t="n">
        <v>45508</v>
      </c>
      <c r="D888" t="inlineStr">
        <is>
          <t>DALARNAS LÄN</t>
        </is>
      </c>
      <c r="E888" t="inlineStr">
        <is>
          <t>LEKSAND</t>
        </is>
      </c>
      <c r="G888" t="n">
        <v>3.4</v>
      </c>
      <c r="H888" t="n">
        <v>0</v>
      </c>
      <c r="I888" t="n">
        <v>0</v>
      </c>
      <c r="J888" t="n">
        <v>0</v>
      </c>
      <c r="K888" t="n">
        <v>0</v>
      </c>
      <c r="L888" t="n">
        <v>0</v>
      </c>
      <c r="M888" t="n">
        <v>0</v>
      </c>
      <c r="N888" t="n">
        <v>0</v>
      </c>
      <c r="O888" t="n">
        <v>0</v>
      </c>
      <c r="P888" t="n">
        <v>0</v>
      </c>
      <c r="Q888" t="n">
        <v>0</v>
      </c>
      <c r="R888" s="2" t="inlineStr"/>
    </row>
    <row r="889" ht="15" customHeight="1">
      <c r="A889" t="inlineStr">
        <is>
          <t>A 13741-2024</t>
        </is>
      </c>
      <c r="B889" s="1" t="n">
        <v>45390</v>
      </c>
      <c r="C889" s="1" t="n">
        <v>45508</v>
      </c>
      <c r="D889" t="inlineStr">
        <is>
          <t>DALARNAS LÄN</t>
        </is>
      </c>
      <c r="E889" t="inlineStr">
        <is>
          <t>LEKSAND</t>
        </is>
      </c>
      <c r="G889" t="n">
        <v>5.9</v>
      </c>
      <c r="H889" t="n">
        <v>0</v>
      </c>
      <c r="I889" t="n">
        <v>0</v>
      </c>
      <c r="J889" t="n">
        <v>0</v>
      </c>
      <c r="K889" t="n">
        <v>0</v>
      </c>
      <c r="L889" t="n">
        <v>0</v>
      </c>
      <c r="M889" t="n">
        <v>0</v>
      </c>
      <c r="N889" t="n">
        <v>0</v>
      </c>
      <c r="O889" t="n">
        <v>0</v>
      </c>
      <c r="P889" t="n">
        <v>0</v>
      </c>
      <c r="Q889" t="n">
        <v>0</v>
      </c>
      <c r="R889" s="2" t="inlineStr"/>
    </row>
    <row r="890" ht="15" customHeight="1">
      <c r="A890" t="inlineStr">
        <is>
          <t>A 13783-2024</t>
        </is>
      </c>
      <c r="B890" s="1" t="n">
        <v>45391</v>
      </c>
      <c r="C890" s="1" t="n">
        <v>45508</v>
      </c>
      <c r="D890" t="inlineStr">
        <is>
          <t>DALARNAS LÄN</t>
        </is>
      </c>
      <c r="E890" t="inlineStr">
        <is>
          <t>LEKSAND</t>
        </is>
      </c>
      <c r="G890" t="n">
        <v>1.3</v>
      </c>
      <c r="H890" t="n">
        <v>0</v>
      </c>
      <c r="I890" t="n">
        <v>0</v>
      </c>
      <c r="J890" t="n">
        <v>0</v>
      </c>
      <c r="K890" t="n">
        <v>0</v>
      </c>
      <c r="L890" t="n">
        <v>0</v>
      </c>
      <c r="M890" t="n">
        <v>0</v>
      </c>
      <c r="N890" t="n">
        <v>0</v>
      </c>
      <c r="O890" t="n">
        <v>0</v>
      </c>
      <c r="P890" t="n">
        <v>0</v>
      </c>
      <c r="Q890" t="n">
        <v>0</v>
      </c>
      <c r="R890" s="2" t="inlineStr"/>
    </row>
    <row r="891" ht="15" customHeight="1">
      <c r="A891" t="inlineStr">
        <is>
          <t>A 13811-2024</t>
        </is>
      </c>
      <c r="B891" s="1" t="n">
        <v>45391</v>
      </c>
      <c r="C891" s="1" t="n">
        <v>45508</v>
      </c>
      <c r="D891" t="inlineStr">
        <is>
          <t>DALARNAS LÄN</t>
        </is>
      </c>
      <c r="E891" t="inlineStr">
        <is>
          <t>LEKSAND</t>
        </is>
      </c>
      <c r="G891" t="n">
        <v>0.8</v>
      </c>
      <c r="H891" t="n">
        <v>0</v>
      </c>
      <c r="I891" t="n">
        <v>0</v>
      </c>
      <c r="J891" t="n">
        <v>0</v>
      </c>
      <c r="K891" t="n">
        <v>0</v>
      </c>
      <c r="L891" t="n">
        <v>0</v>
      </c>
      <c r="M891" t="n">
        <v>0</v>
      </c>
      <c r="N891" t="n">
        <v>0</v>
      </c>
      <c r="O891" t="n">
        <v>0</v>
      </c>
      <c r="P891" t="n">
        <v>0</v>
      </c>
      <c r="Q891" t="n">
        <v>0</v>
      </c>
      <c r="R891" s="2" t="inlineStr"/>
    </row>
    <row r="892" ht="15" customHeight="1">
      <c r="A892" t="inlineStr">
        <is>
          <t>A 13990-2024</t>
        </is>
      </c>
      <c r="B892" s="1" t="n">
        <v>45392</v>
      </c>
      <c r="C892" s="1" t="n">
        <v>45508</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14276-2024</t>
        </is>
      </c>
      <c r="B893" s="1" t="n">
        <v>45393</v>
      </c>
      <c r="C893" s="1" t="n">
        <v>45508</v>
      </c>
      <c r="D893" t="inlineStr">
        <is>
          <t>DALARNAS LÄN</t>
        </is>
      </c>
      <c r="E893" t="inlineStr">
        <is>
          <t>LEKSAND</t>
        </is>
      </c>
      <c r="F893" t="inlineStr">
        <is>
          <t>Bergvik skog väst AB</t>
        </is>
      </c>
      <c r="G893" t="n">
        <v>14.2</v>
      </c>
      <c r="H893" t="n">
        <v>0</v>
      </c>
      <c r="I893" t="n">
        <v>0</v>
      </c>
      <c r="J893" t="n">
        <v>0</v>
      </c>
      <c r="K893" t="n">
        <v>0</v>
      </c>
      <c r="L893" t="n">
        <v>0</v>
      </c>
      <c r="M893" t="n">
        <v>0</v>
      </c>
      <c r="N893" t="n">
        <v>0</v>
      </c>
      <c r="O893" t="n">
        <v>0</v>
      </c>
      <c r="P893" t="n">
        <v>0</v>
      </c>
      <c r="Q893" t="n">
        <v>0</v>
      </c>
      <c r="R893" s="2" t="inlineStr"/>
    </row>
    <row r="894" ht="15" customHeight="1">
      <c r="A894" t="inlineStr">
        <is>
          <t>A 14616-2024</t>
        </is>
      </c>
      <c r="B894" s="1" t="n">
        <v>45397</v>
      </c>
      <c r="C894" s="1" t="n">
        <v>45508</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14615-2024</t>
        </is>
      </c>
      <c r="B895" s="1" t="n">
        <v>45397</v>
      </c>
      <c r="C895" s="1" t="n">
        <v>45508</v>
      </c>
      <c r="D895" t="inlineStr">
        <is>
          <t>DALARNAS LÄN</t>
        </is>
      </c>
      <c r="E895" t="inlineStr">
        <is>
          <t>LEKSAND</t>
        </is>
      </c>
      <c r="G895" t="n">
        <v>0.4</v>
      </c>
      <c r="H895" t="n">
        <v>0</v>
      </c>
      <c r="I895" t="n">
        <v>0</v>
      </c>
      <c r="J895" t="n">
        <v>0</v>
      </c>
      <c r="K895" t="n">
        <v>0</v>
      </c>
      <c r="L895" t="n">
        <v>0</v>
      </c>
      <c r="M895" t="n">
        <v>0</v>
      </c>
      <c r="N895" t="n">
        <v>0</v>
      </c>
      <c r="O895" t="n">
        <v>0</v>
      </c>
      <c r="P895" t="n">
        <v>0</v>
      </c>
      <c r="Q895" t="n">
        <v>0</v>
      </c>
      <c r="R895" s="2" t="inlineStr"/>
    </row>
    <row r="896" ht="15" customHeight="1">
      <c r="A896" t="inlineStr">
        <is>
          <t>A 14614-2024</t>
        </is>
      </c>
      <c r="B896" s="1" t="n">
        <v>45397</v>
      </c>
      <c r="C896" s="1" t="n">
        <v>45508</v>
      </c>
      <c r="D896" t="inlineStr">
        <is>
          <t>DALARNAS LÄN</t>
        </is>
      </c>
      <c r="E896" t="inlineStr">
        <is>
          <t>LEKSAND</t>
        </is>
      </c>
      <c r="G896" t="n">
        <v>0.6</v>
      </c>
      <c r="H896" t="n">
        <v>0</v>
      </c>
      <c r="I896" t="n">
        <v>0</v>
      </c>
      <c r="J896" t="n">
        <v>0</v>
      </c>
      <c r="K896" t="n">
        <v>0</v>
      </c>
      <c r="L896" t="n">
        <v>0</v>
      </c>
      <c r="M896" t="n">
        <v>0</v>
      </c>
      <c r="N896" t="n">
        <v>0</v>
      </c>
      <c r="O896" t="n">
        <v>0</v>
      </c>
      <c r="P896" t="n">
        <v>0</v>
      </c>
      <c r="Q896" t="n">
        <v>0</v>
      </c>
      <c r="R896" s="2" t="inlineStr"/>
    </row>
    <row r="897" ht="15" customHeight="1">
      <c r="A897" t="inlineStr">
        <is>
          <t>A 14661-2024</t>
        </is>
      </c>
      <c r="B897" s="1" t="n">
        <v>45397</v>
      </c>
      <c r="C897" s="1" t="n">
        <v>45508</v>
      </c>
      <c r="D897" t="inlineStr">
        <is>
          <t>DALARNAS LÄN</t>
        </is>
      </c>
      <c r="E897" t="inlineStr">
        <is>
          <t>LEKSAND</t>
        </is>
      </c>
      <c r="G897" t="n">
        <v>1</v>
      </c>
      <c r="H897" t="n">
        <v>0</v>
      </c>
      <c r="I897" t="n">
        <v>0</v>
      </c>
      <c r="J897" t="n">
        <v>0</v>
      </c>
      <c r="K897" t="n">
        <v>0</v>
      </c>
      <c r="L897" t="n">
        <v>0</v>
      </c>
      <c r="M897" t="n">
        <v>0</v>
      </c>
      <c r="N897" t="n">
        <v>0</v>
      </c>
      <c r="O897" t="n">
        <v>0</v>
      </c>
      <c r="P897" t="n">
        <v>0</v>
      </c>
      <c r="Q897" t="n">
        <v>0</v>
      </c>
      <c r="R897" s="2" t="inlineStr"/>
    </row>
    <row r="898" ht="15" customHeight="1">
      <c r="A898" t="inlineStr">
        <is>
          <t>A 14688-2024</t>
        </is>
      </c>
      <c r="B898" s="1" t="n">
        <v>45397</v>
      </c>
      <c r="C898" s="1" t="n">
        <v>45508</v>
      </c>
      <c r="D898" t="inlineStr">
        <is>
          <t>DALARNAS LÄN</t>
        </is>
      </c>
      <c r="E898" t="inlineStr">
        <is>
          <t>LEKSAND</t>
        </is>
      </c>
      <c r="G898" t="n">
        <v>3.2</v>
      </c>
      <c r="H898" t="n">
        <v>0</v>
      </c>
      <c r="I898" t="n">
        <v>0</v>
      </c>
      <c r="J898" t="n">
        <v>0</v>
      </c>
      <c r="K898" t="n">
        <v>0</v>
      </c>
      <c r="L898" t="n">
        <v>0</v>
      </c>
      <c r="M898" t="n">
        <v>0</v>
      </c>
      <c r="N898" t="n">
        <v>0</v>
      </c>
      <c r="O898" t="n">
        <v>0</v>
      </c>
      <c r="P898" t="n">
        <v>0</v>
      </c>
      <c r="Q898" t="n">
        <v>0</v>
      </c>
      <c r="R898" s="2" t="inlineStr"/>
    </row>
    <row r="899" ht="15" customHeight="1">
      <c r="A899" t="inlineStr">
        <is>
          <t>A 14792-2024</t>
        </is>
      </c>
      <c r="B899" s="1" t="n">
        <v>45397</v>
      </c>
      <c r="C899" s="1" t="n">
        <v>45508</v>
      </c>
      <c r="D899" t="inlineStr">
        <is>
          <t>DALARNAS LÄN</t>
        </is>
      </c>
      <c r="E899" t="inlineStr">
        <is>
          <t>LEKSAND</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14617-2024</t>
        </is>
      </c>
      <c r="B900" s="1" t="n">
        <v>45397</v>
      </c>
      <c r="C900" s="1" t="n">
        <v>45508</v>
      </c>
      <c r="D900" t="inlineStr">
        <is>
          <t>DALARNAS LÄN</t>
        </is>
      </c>
      <c r="E900" t="inlineStr">
        <is>
          <t>LEKSAND</t>
        </is>
      </c>
      <c r="G900" t="n">
        <v>0.2</v>
      </c>
      <c r="H900" t="n">
        <v>0</v>
      </c>
      <c r="I900" t="n">
        <v>0</v>
      </c>
      <c r="J900" t="n">
        <v>0</v>
      </c>
      <c r="K900" t="n">
        <v>0</v>
      </c>
      <c r="L900" t="n">
        <v>0</v>
      </c>
      <c r="M900" t="n">
        <v>0</v>
      </c>
      <c r="N900" t="n">
        <v>0</v>
      </c>
      <c r="O900" t="n">
        <v>0</v>
      </c>
      <c r="P900" t="n">
        <v>0</v>
      </c>
      <c r="Q900" t="n">
        <v>0</v>
      </c>
      <c r="R900" s="2" t="inlineStr"/>
    </row>
    <row r="901" ht="15" customHeight="1">
      <c r="A901" t="inlineStr">
        <is>
          <t>A 14659-2024</t>
        </is>
      </c>
      <c r="B901" s="1" t="n">
        <v>45397</v>
      </c>
      <c r="C901" s="1" t="n">
        <v>45508</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14908-2024</t>
        </is>
      </c>
      <c r="B902" s="1" t="n">
        <v>45398</v>
      </c>
      <c r="C902" s="1" t="n">
        <v>45508</v>
      </c>
      <c r="D902" t="inlineStr">
        <is>
          <t>DALARNAS LÄN</t>
        </is>
      </c>
      <c r="E902" t="inlineStr">
        <is>
          <t>LEKSAND</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14957-2024</t>
        </is>
      </c>
      <c r="B903" s="1" t="n">
        <v>45398</v>
      </c>
      <c r="C903" s="1" t="n">
        <v>45508</v>
      </c>
      <c r="D903" t="inlineStr">
        <is>
          <t>DALARNAS LÄN</t>
        </is>
      </c>
      <c r="E903" t="inlineStr">
        <is>
          <t>LEKSAND</t>
        </is>
      </c>
      <c r="G903" t="n">
        <v>11.5</v>
      </c>
      <c r="H903" t="n">
        <v>0</v>
      </c>
      <c r="I903" t="n">
        <v>0</v>
      </c>
      <c r="J903" t="n">
        <v>0</v>
      </c>
      <c r="K903" t="n">
        <v>0</v>
      </c>
      <c r="L903" t="n">
        <v>0</v>
      </c>
      <c r="M903" t="n">
        <v>0</v>
      </c>
      <c r="N903" t="n">
        <v>0</v>
      </c>
      <c r="O903" t="n">
        <v>0</v>
      </c>
      <c r="P903" t="n">
        <v>0</v>
      </c>
      <c r="Q903" t="n">
        <v>0</v>
      </c>
      <c r="R903" s="2" t="inlineStr"/>
    </row>
    <row r="904" ht="15" customHeight="1">
      <c r="A904" t="inlineStr">
        <is>
          <t>A 14903-2024</t>
        </is>
      </c>
      <c r="B904" s="1" t="n">
        <v>45398</v>
      </c>
      <c r="C904" s="1" t="n">
        <v>45508</v>
      </c>
      <c r="D904" t="inlineStr">
        <is>
          <t>DALARNAS LÄN</t>
        </is>
      </c>
      <c r="E904" t="inlineStr">
        <is>
          <t>LEKSAND</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15621-2024</t>
        </is>
      </c>
      <c r="B905" s="1" t="n">
        <v>45402</v>
      </c>
      <c r="C905" s="1" t="n">
        <v>45508</v>
      </c>
      <c r="D905" t="inlineStr">
        <is>
          <t>DALARNAS LÄN</t>
        </is>
      </c>
      <c r="E905" t="inlineStr">
        <is>
          <t>LEKSAND</t>
        </is>
      </c>
      <c r="G905" t="n">
        <v>1.6</v>
      </c>
      <c r="H905" t="n">
        <v>0</v>
      </c>
      <c r="I905" t="n">
        <v>0</v>
      </c>
      <c r="J905" t="n">
        <v>0</v>
      </c>
      <c r="K905" t="n">
        <v>0</v>
      </c>
      <c r="L905" t="n">
        <v>0</v>
      </c>
      <c r="M905" t="n">
        <v>0</v>
      </c>
      <c r="N905" t="n">
        <v>0</v>
      </c>
      <c r="O905" t="n">
        <v>0</v>
      </c>
      <c r="P905" t="n">
        <v>0</v>
      </c>
      <c r="Q905" t="n">
        <v>0</v>
      </c>
      <c r="R905" s="2" t="inlineStr"/>
    </row>
    <row r="906" ht="15" customHeight="1">
      <c r="A906" t="inlineStr">
        <is>
          <t>A 15680-2024</t>
        </is>
      </c>
      <c r="B906" s="1" t="n">
        <v>45404</v>
      </c>
      <c r="C906" s="1" t="n">
        <v>45508</v>
      </c>
      <c r="D906" t="inlineStr">
        <is>
          <t>DALARNAS LÄN</t>
        </is>
      </c>
      <c r="E906" t="inlineStr">
        <is>
          <t>LEKSAND</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15681-2024</t>
        </is>
      </c>
      <c r="B907" s="1" t="n">
        <v>45404</v>
      </c>
      <c r="C907" s="1" t="n">
        <v>45508</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15808-2024</t>
        </is>
      </c>
      <c r="B908" s="1" t="n">
        <v>45404</v>
      </c>
      <c r="C908" s="1" t="n">
        <v>45508</v>
      </c>
      <c r="D908" t="inlineStr">
        <is>
          <t>DALARNAS LÄN</t>
        </is>
      </c>
      <c r="E908" t="inlineStr">
        <is>
          <t>LEKSAND</t>
        </is>
      </c>
      <c r="G908" t="n">
        <v>2.8</v>
      </c>
      <c r="H908" t="n">
        <v>0</v>
      </c>
      <c r="I908" t="n">
        <v>0</v>
      </c>
      <c r="J908" t="n">
        <v>0</v>
      </c>
      <c r="K908" t="n">
        <v>0</v>
      </c>
      <c r="L908" t="n">
        <v>0</v>
      </c>
      <c r="M908" t="n">
        <v>0</v>
      </c>
      <c r="N908" t="n">
        <v>0</v>
      </c>
      <c r="O908" t="n">
        <v>0</v>
      </c>
      <c r="P908" t="n">
        <v>0</v>
      </c>
      <c r="Q908" t="n">
        <v>0</v>
      </c>
      <c r="R908" s="2" t="inlineStr"/>
    </row>
    <row r="909" ht="15" customHeight="1">
      <c r="A909" t="inlineStr">
        <is>
          <t>A 16197-2024</t>
        </is>
      </c>
      <c r="B909" s="1" t="n">
        <v>45406</v>
      </c>
      <c r="C909" s="1" t="n">
        <v>45508</v>
      </c>
      <c r="D909" t="inlineStr">
        <is>
          <t>DALARNAS LÄN</t>
        </is>
      </c>
      <c r="E909" t="inlineStr">
        <is>
          <t>LEKSAND</t>
        </is>
      </c>
      <c r="G909" t="n">
        <v>2.4</v>
      </c>
      <c r="H909" t="n">
        <v>0</v>
      </c>
      <c r="I909" t="n">
        <v>0</v>
      </c>
      <c r="J909" t="n">
        <v>0</v>
      </c>
      <c r="K909" t="n">
        <v>0</v>
      </c>
      <c r="L909" t="n">
        <v>0</v>
      </c>
      <c r="M909" t="n">
        <v>0</v>
      </c>
      <c r="N909" t="n">
        <v>0</v>
      </c>
      <c r="O909" t="n">
        <v>0</v>
      </c>
      <c r="P909" t="n">
        <v>0</v>
      </c>
      <c r="Q909" t="n">
        <v>0</v>
      </c>
      <c r="R909" s="2" t="inlineStr"/>
    </row>
    <row r="910" ht="15" customHeight="1">
      <c r="A910" t="inlineStr">
        <is>
          <t>A 16265-2024</t>
        </is>
      </c>
      <c r="B910" s="1" t="n">
        <v>45407</v>
      </c>
      <c r="C910" s="1" t="n">
        <v>45508</v>
      </c>
      <c r="D910" t="inlineStr">
        <is>
          <t>DALARNAS LÄN</t>
        </is>
      </c>
      <c r="E910" t="inlineStr">
        <is>
          <t>LEKSAND</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16417-2024</t>
        </is>
      </c>
      <c r="B911" s="1" t="n">
        <v>45407</v>
      </c>
      <c r="C911" s="1" t="n">
        <v>45508</v>
      </c>
      <c r="D911" t="inlineStr">
        <is>
          <t>DALARNAS LÄN</t>
        </is>
      </c>
      <c r="E911" t="inlineStr">
        <is>
          <t>LEKSAND</t>
        </is>
      </c>
      <c r="F911" t="inlineStr">
        <is>
          <t>Bergvik skog väst AB</t>
        </is>
      </c>
      <c r="G911" t="n">
        <v>17.4</v>
      </c>
      <c r="H911" t="n">
        <v>0</v>
      </c>
      <c r="I911" t="n">
        <v>0</v>
      </c>
      <c r="J911" t="n">
        <v>0</v>
      </c>
      <c r="K911" t="n">
        <v>0</v>
      </c>
      <c r="L911" t="n">
        <v>0</v>
      </c>
      <c r="M911" t="n">
        <v>0</v>
      </c>
      <c r="N911" t="n">
        <v>0</v>
      </c>
      <c r="O911" t="n">
        <v>0</v>
      </c>
      <c r="P911" t="n">
        <v>0</v>
      </c>
      <c r="Q911" t="n">
        <v>0</v>
      </c>
      <c r="R911" s="2" t="inlineStr"/>
    </row>
    <row r="912" ht="15" customHeight="1">
      <c r="A912" t="inlineStr">
        <is>
          <t>A 16264-2024</t>
        </is>
      </c>
      <c r="B912" s="1" t="n">
        <v>45407</v>
      </c>
      <c r="C912" s="1" t="n">
        <v>45508</v>
      </c>
      <c r="D912" t="inlineStr">
        <is>
          <t>DALARNAS LÄN</t>
        </is>
      </c>
      <c r="E912" t="inlineStr">
        <is>
          <t>LEKSAND</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16420-2024</t>
        </is>
      </c>
      <c r="B913" s="1" t="n">
        <v>45407</v>
      </c>
      <c r="C913" s="1" t="n">
        <v>45508</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16581-2024</t>
        </is>
      </c>
      <c r="B914" s="1" t="n">
        <v>45408</v>
      </c>
      <c r="C914" s="1" t="n">
        <v>45508</v>
      </c>
      <c r="D914" t="inlineStr">
        <is>
          <t>DALARNAS LÄN</t>
        </is>
      </c>
      <c r="E914" t="inlineStr">
        <is>
          <t>LEKSAND</t>
        </is>
      </c>
      <c r="G914" t="n">
        <v>2.6</v>
      </c>
      <c r="H914" t="n">
        <v>0</v>
      </c>
      <c r="I914" t="n">
        <v>0</v>
      </c>
      <c r="J914" t="n">
        <v>0</v>
      </c>
      <c r="K914" t="n">
        <v>0</v>
      </c>
      <c r="L914" t="n">
        <v>0</v>
      </c>
      <c r="M914" t="n">
        <v>0</v>
      </c>
      <c r="N914" t="n">
        <v>0</v>
      </c>
      <c r="O914" t="n">
        <v>0</v>
      </c>
      <c r="P914" t="n">
        <v>0</v>
      </c>
      <c r="Q914" t="n">
        <v>0</v>
      </c>
      <c r="R914" s="2" t="inlineStr"/>
    </row>
    <row r="915" ht="15" customHeight="1">
      <c r="A915" t="inlineStr">
        <is>
          <t>A 16611-2024</t>
        </is>
      </c>
      <c r="B915" s="1" t="n">
        <v>45408</v>
      </c>
      <c r="C915" s="1" t="n">
        <v>45508</v>
      </c>
      <c r="D915" t="inlineStr">
        <is>
          <t>DALARNAS LÄN</t>
        </is>
      </c>
      <c r="E915" t="inlineStr">
        <is>
          <t>LEKSAND</t>
        </is>
      </c>
      <c r="G915" t="n">
        <v>5.9</v>
      </c>
      <c r="H915" t="n">
        <v>0</v>
      </c>
      <c r="I915" t="n">
        <v>0</v>
      </c>
      <c r="J915" t="n">
        <v>0</v>
      </c>
      <c r="K915" t="n">
        <v>0</v>
      </c>
      <c r="L915" t="n">
        <v>0</v>
      </c>
      <c r="M915" t="n">
        <v>0</v>
      </c>
      <c r="N915" t="n">
        <v>0</v>
      </c>
      <c r="O915" t="n">
        <v>0</v>
      </c>
      <c r="P915" t="n">
        <v>0</v>
      </c>
      <c r="Q915" t="n">
        <v>0</v>
      </c>
      <c r="R915" s="2" t="inlineStr"/>
    </row>
    <row r="916" ht="15" customHeight="1">
      <c r="A916" t="inlineStr">
        <is>
          <t>A 16894-2024</t>
        </is>
      </c>
      <c r="B916" s="1" t="n">
        <v>45411</v>
      </c>
      <c r="C916" s="1" t="n">
        <v>45508</v>
      </c>
      <c r="D916" t="inlineStr">
        <is>
          <t>DALARNAS LÄN</t>
        </is>
      </c>
      <c r="E916" t="inlineStr">
        <is>
          <t>LEKSAND</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17198-2024</t>
        </is>
      </c>
      <c r="B917" s="1" t="n">
        <v>45413</v>
      </c>
      <c r="C917" s="1" t="n">
        <v>45508</v>
      </c>
      <c r="D917" t="inlineStr">
        <is>
          <t>DALARNAS LÄN</t>
        </is>
      </c>
      <c r="E917" t="inlineStr">
        <is>
          <t>LEKSAND</t>
        </is>
      </c>
      <c r="G917" t="n">
        <v>4.8</v>
      </c>
      <c r="H917" t="n">
        <v>0</v>
      </c>
      <c r="I917" t="n">
        <v>0</v>
      </c>
      <c r="J917" t="n">
        <v>0</v>
      </c>
      <c r="K917" t="n">
        <v>0</v>
      </c>
      <c r="L917" t="n">
        <v>0</v>
      </c>
      <c r="M917" t="n">
        <v>0</v>
      </c>
      <c r="N917" t="n">
        <v>0</v>
      </c>
      <c r="O917" t="n">
        <v>0</v>
      </c>
      <c r="P917" t="n">
        <v>0</v>
      </c>
      <c r="Q917" t="n">
        <v>0</v>
      </c>
      <c r="R917" s="2" t="inlineStr"/>
    </row>
    <row r="918" ht="15" customHeight="1">
      <c r="A918" t="inlineStr">
        <is>
          <t>A 17353-2024</t>
        </is>
      </c>
      <c r="B918" s="1" t="n">
        <v>45414</v>
      </c>
      <c r="C918" s="1" t="n">
        <v>45508</v>
      </c>
      <c r="D918" t="inlineStr">
        <is>
          <t>DALARNAS LÄN</t>
        </is>
      </c>
      <c r="E918" t="inlineStr">
        <is>
          <t>LEKSAND</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17606-2024</t>
        </is>
      </c>
      <c r="B919" s="1" t="n">
        <v>45415</v>
      </c>
      <c r="C919" s="1" t="n">
        <v>45508</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17796-2024</t>
        </is>
      </c>
      <c r="B920" s="1" t="n">
        <v>45418</v>
      </c>
      <c r="C920" s="1" t="n">
        <v>45508</v>
      </c>
      <c r="D920" t="inlineStr">
        <is>
          <t>DALARNAS LÄN</t>
        </is>
      </c>
      <c r="E920" t="inlineStr">
        <is>
          <t>LEKSAND</t>
        </is>
      </c>
      <c r="G920" t="n">
        <v>3.4</v>
      </c>
      <c r="H920" t="n">
        <v>0</v>
      </c>
      <c r="I920" t="n">
        <v>0</v>
      </c>
      <c r="J920" t="n">
        <v>0</v>
      </c>
      <c r="K920" t="n">
        <v>0</v>
      </c>
      <c r="L920" t="n">
        <v>0</v>
      </c>
      <c r="M920" t="n">
        <v>0</v>
      </c>
      <c r="N920" t="n">
        <v>0</v>
      </c>
      <c r="O920" t="n">
        <v>0</v>
      </c>
      <c r="P920" t="n">
        <v>0</v>
      </c>
      <c r="Q920" t="n">
        <v>0</v>
      </c>
      <c r="R920" s="2" t="inlineStr"/>
    </row>
    <row r="921" ht="15" customHeight="1">
      <c r="A921" t="inlineStr">
        <is>
          <t>A 17726-2024</t>
        </is>
      </c>
      <c r="B921" s="1" t="n">
        <v>45418</v>
      </c>
      <c r="C921" s="1" t="n">
        <v>45508</v>
      </c>
      <c r="D921" t="inlineStr">
        <is>
          <t>DALARNAS LÄN</t>
        </is>
      </c>
      <c r="E921" t="inlineStr">
        <is>
          <t>LEKSAND</t>
        </is>
      </c>
      <c r="G921" t="n">
        <v>5.2</v>
      </c>
      <c r="H921" t="n">
        <v>0</v>
      </c>
      <c r="I921" t="n">
        <v>0</v>
      </c>
      <c r="J921" t="n">
        <v>0</v>
      </c>
      <c r="K921" t="n">
        <v>0</v>
      </c>
      <c r="L921" t="n">
        <v>0</v>
      </c>
      <c r="M921" t="n">
        <v>0</v>
      </c>
      <c r="N921" t="n">
        <v>0</v>
      </c>
      <c r="O921" t="n">
        <v>0</v>
      </c>
      <c r="P921" t="n">
        <v>0</v>
      </c>
      <c r="Q921" t="n">
        <v>0</v>
      </c>
      <c r="R921" s="2" t="inlineStr"/>
    </row>
    <row r="922" ht="15" customHeight="1">
      <c r="A922" t="inlineStr">
        <is>
          <t>A 17730-2024</t>
        </is>
      </c>
      <c r="B922" s="1" t="n">
        <v>45418</v>
      </c>
      <c r="C922" s="1" t="n">
        <v>45508</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17938-2024</t>
        </is>
      </c>
      <c r="B923" s="1" t="n">
        <v>45419</v>
      </c>
      <c r="C923" s="1" t="n">
        <v>45508</v>
      </c>
      <c r="D923" t="inlineStr">
        <is>
          <t>DALARNAS LÄN</t>
        </is>
      </c>
      <c r="E923" t="inlineStr">
        <is>
          <t>LEKSAND</t>
        </is>
      </c>
      <c r="G923" t="n">
        <v>3.8</v>
      </c>
      <c r="H923" t="n">
        <v>0</v>
      </c>
      <c r="I923" t="n">
        <v>0</v>
      </c>
      <c r="J923" t="n">
        <v>0</v>
      </c>
      <c r="K923" t="n">
        <v>0</v>
      </c>
      <c r="L923" t="n">
        <v>0</v>
      </c>
      <c r="M923" t="n">
        <v>0</v>
      </c>
      <c r="N923" t="n">
        <v>0</v>
      </c>
      <c r="O923" t="n">
        <v>0</v>
      </c>
      <c r="P923" t="n">
        <v>0</v>
      </c>
      <c r="Q923" t="n">
        <v>0</v>
      </c>
      <c r="R923" s="2" t="inlineStr"/>
    </row>
    <row r="924" ht="15" customHeight="1">
      <c r="A924" t="inlineStr">
        <is>
          <t>A 17944-2024</t>
        </is>
      </c>
      <c r="B924" s="1" t="n">
        <v>45419</v>
      </c>
      <c r="C924" s="1" t="n">
        <v>45508</v>
      </c>
      <c r="D924" t="inlineStr">
        <is>
          <t>DALARNAS LÄN</t>
        </is>
      </c>
      <c r="E924" t="inlineStr">
        <is>
          <t>LEKSAND</t>
        </is>
      </c>
      <c r="G924" t="n">
        <v>2.9</v>
      </c>
      <c r="H924" t="n">
        <v>0</v>
      </c>
      <c r="I924" t="n">
        <v>0</v>
      </c>
      <c r="J924" t="n">
        <v>0</v>
      </c>
      <c r="K924" t="n">
        <v>0</v>
      </c>
      <c r="L924" t="n">
        <v>0</v>
      </c>
      <c r="M924" t="n">
        <v>0</v>
      </c>
      <c r="N924" t="n">
        <v>0</v>
      </c>
      <c r="O924" t="n">
        <v>0</v>
      </c>
      <c r="P924" t="n">
        <v>0</v>
      </c>
      <c r="Q924" t="n">
        <v>0</v>
      </c>
      <c r="R924" s="2" t="inlineStr"/>
    </row>
    <row r="925" ht="15" customHeight="1">
      <c r="A925" t="inlineStr">
        <is>
          <t>A 18040-2024</t>
        </is>
      </c>
      <c r="B925" s="1" t="n">
        <v>45420</v>
      </c>
      <c r="C925" s="1" t="n">
        <v>45508</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18176-2024</t>
        </is>
      </c>
      <c r="B926" s="1" t="n">
        <v>45420</v>
      </c>
      <c r="C926" s="1" t="n">
        <v>45508</v>
      </c>
      <c r="D926" t="inlineStr">
        <is>
          <t>DALARNAS LÄN</t>
        </is>
      </c>
      <c r="E926" t="inlineStr">
        <is>
          <t>LEKSAND</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18484-2024</t>
        </is>
      </c>
      <c r="B927" s="1" t="n">
        <v>45425</v>
      </c>
      <c r="C927" s="1" t="n">
        <v>45508</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18481-2024</t>
        </is>
      </c>
      <c r="B928" s="1" t="n">
        <v>45425</v>
      </c>
      <c r="C928" s="1" t="n">
        <v>45508</v>
      </c>
      <c r="D928" t="inlineStr">
        <is>
          <t>DALARNAS LÄN</t>
        </is>
      </c>
      <c r="E928" t="inlineStr">
        <is>
          <t>LEKSAND</t>
        </is>
      </c>
      <c r="G928" t="n">
        <v>0.9</v>
      </c>
      <c r="H928" t="n">
        <v>0</v>
      </c>
      <c r="I928" t="n">
        <v>0</v>
      </c>
      <c r="J928" t="n">
        <v>0</v>
      </c>
      <c r="K928" t="n">
        <v>0</v>
      </c>
      <c r="L928" t="n">
        <v>0</v>
      </c>
      <c r="M928" t="n">
        <v>0</v>
      </c>
      <c r="N928" t="n">
        <v>0</v>
      </c>
      <c r="O928" t="n">
        <v>0</v>
      </c>
      <c r="P928" t="n">
        <v>0</v>
      </c>
      <c r="Q928" t="n">
        <v>0</v>
      </c>
      <c r="R928" s="2" t="inlineStr"/>
    </row>
    <row r="929" ht="15" customHeight="1">
      <c r="A929" t="inlineStr">
        <is>
          <t>A 18483-2024</t>
        </is>
      </c>
      <c r="B929" s="1" t="n">
        <v>45425</v>
      </c>
      <c r="C929" s="1" t="n">
        <v>45508</v>
      </c>
      <c r="D929" t="inlineStr">
        <is>
          <t>DALARNAS LÄN</t>
        </is>
      </c>
      <c r="E929" t="inlineStr">
        <is>
          <t>LEKSAND</t>
        </is>
      </c>
      <c r="G929" t="n">
        <v>2</v>
      </c>
      <c r="H929" t="n">
        <v>0</v>
      </c>
      <c r="I929" t="n">
        <v>0</v>
      </c>
      <c r="J929" t="n">
        <v>0</v>
      </c>
      <c r="K929" t="n">
        <v>0</v>
      </c>
      <c r="L929" t="n">
        <v>0</v>
      </c>
      <c r="M929" t="n">
        <v>0</v>
      </c>
      <c r="N929" t="n">
        <v>0</v>
      </c>
      <c r="O929" t="n">
        <v>0</v>
      </c>
      <c r="P929" t="n">
        <v>0</v>
      </c>
      <c r="Q929" t="n">
        <v>0</v>
      </c>
      <c r="R929" s="2" t="inlineStr"/>
    </row>
    <row r="930" ht="15" customHeight="1">
      <c r="A930" t="inlineStr">
        <is>
          <t>A 18791-2024</t>
        </is>
      </c>
      <c r="B930" s="1" t="n">
        <v>45426</v>
      </c>
      <c r="C930" s="1" t="n">
        <v>45508</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19075-2024</t>
        </is>
      </c>
      <c r="B931" s="1" t="n">
        <v>45428</v>
      </c>
      <c r="C931" s="1" t="n">
        <v>45508</v>
      </c>
      <c r="D931" t="inlineStr">
        <is>
          <t>DALARNAS LÄN</t>
        </is>
      </c>
      <c r="E931" t="inlineStr">
        <is>
          <t>LEKSAND</t>
        </is>
      </c>
      <c r="G931" t="n">
        <v>4.9</v>
      </c>
      <c r="H931" t="n">
        <v>0</v>
      </c>
      <c r="I931" t="n">
        <v>0</v>
      </c>
      <c r="J931" t="n">
        <v>0</v>
      </c>
      <c r="K931" t="n">
        <v>0</v>
      </c>
      <c r="L931" t="n">
        <v>0</v>
      </c>
      <c r="M931" t="n">
        <v>0</v>
      </c>
      <c r="N931" t="n">
        <v>0</v>
      </c>
      <c r="O931" t="n">
        <v>0</v>
      </c>
      <c r="P931" t="n">
        <v>0</v>
      </c>
      <c r="Q931" t="n">
        <v>0</v>
      </c>
      <c r="R931" s="2" t="inlineStr"/>
    </row>
    <row r="932" ht="15" customHeight="1">
      <c r="A932" t="inlineStr">
        <is>
          <t>A 18991-2024</t>
        </is>
      </c>
      <c r="B932" s="1" t="n">
        <v>45427</v>
      </c>
      <c r="C932" s="1" t="n">
        <v>45508</v>
      </c>
      <c r="D932" t="inlineStr">
        <is>
          <t>DALARNAS LÄN</t>
        </is>
      </c>
      <c r="E932" t="inlineStr">
        <is>
          <t>LEKSAND</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19295-2024</t>
        </is>
      </c>
      <c r="B933" s="1" t="n">
        <v>45428</v>
      </c>
      <c r="C933" s="1" t="n">
        <v>45508</v>
      </c>
      <c r="D933" t="inlineStr">
        <is>
          <t>DALARNAS LÄN</t>
        </is>
      </c>
      <c r="E933" t="inlineStr">
        <is>
          <t>LEKSAND</t>
        </is>
      </c>
      <c r="G933" t="n">
        <v>1.6</v>
      </c>
      <c r="H933" t="n">
        <v>0</v>
      </c>
      <c r="I933" t="n">
        <v>0</v>
      </c>
      <c r="J933" t="n">
        <v>0</v>
      </c>
      <c r="K933" t="n">
        <v>0</v>
      </c>
      <c r="L933" t="n">
        <v>0</v>
      </c>
      <c r="M933" t="n">
        <v>0</v>
      </c>
      <c r="N933" t="n">
        <v>0</v>
      </c>
      <c r="O933" t="n">
        <v>0</v>
      </c>
      <c r="P933" t="n">
        <v>0</v>
      </c>
      <c r="Q933" t="n">
        <v>0</v>
      </c>
      <c r="R933" s="2" t="inlineStr"/>
    </row>
    <row r="934" ht="15" customHeight="1">
      <c r="A934" t="inlineStr">
        <is>
          <t>A 19296-2024</t>
        </is>
      </c>
      <c r="B934" s="1" t="n">
        <v>45428</v>
      </c>
      <c r="C934" s="1" t="n">
        <v>45508</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19371-2024</t>
        </is>
      </c>
      <c r="B935" s="1" t="n">
        <v>45429</v>
      </c>
      <c r="C935" s="1" t="n">
        <v>45508</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19670-2024</t>
        </is>
      </c>
      <c r="B936" s="1" t="n">
        <v>45432</v>
      </c>
      <c r="C936" s="1" t="n">
        <v>45508</v>
      </c>
      <c r="D936" t="inlineStr">
        <is>
          <t>DALARNAS LÄN</t>
        </is>
      </c>
      <c r="E936" t="inlineStr">
        <is>
          <t>LEKSAND</t>
        </is>
      </c>
      <c r="G936" t="n">
        <v>2.2</v>
      </c>
      <c r="H936" t="n">
        <v>0</v>
      </c>
      <c r="I936" t="n">
        <v>0</v>
      </c>
      <c r="J936" t="n">
        <v>0</v>
      </c>
      <c r="K936" t="n">
        <v>0</v>
      </c>
      <c r="L936" t="n">
        <v>0</v>
      </c>
      <c r="M936" t="n">
        <v>0</v>
      </c>
      <c r="N936" t="n">
        <v>0</v>
      </c>
      <c r="O936" t="n">
        <v>0</v>
      </c>
      <c r="P936" t="n">
        <v>0</v>
      </c>
      <c r="Q936" t="n">
        <v>0</v>
      </c>
      <c r="R936" s="2" t="inlineStr"/>
    </row>
    <row r="937" ht="15" customHeight="1">
      <c r="A937" t="inlineStr">
        <is>
          <t>A 19738-2024</t>
        </is>
      </c>
      <c r="B937" s="1" t="n">
        <v>45432</v>
      </c>
      <c r="C937" s="1" t="n">
        <v>45508</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19741-2024</t>
        </is>
      </c>
      <c r="B938" s="1" t="n">
        <v>45432</v>
      </c>
      <c r="C938" s="1" t="n">
        <v>45508</v>
      </c>
      <c r="D938" t="inlineStr">
        <is>
          <t>DALARNAS LÄN</t>
        </is>
      </c>
      <c r="E938" t="inlineStr">
        <is>
          <t>LEKSAND</t>
        </is>
      </c>
      <c r="G938" t="n">
        <v>1.1</v>
      </c>
      <c r="H938" t="n">
        <v>0</v>
      </c>
      <c r="I938" t="n">
        <v>0</v>
      </c>
      <c r="J938" t="n">
        <v>0</v>
      </c>
      <c r="K938" t="n">
        <v>0</v>
      </c>
      <c r="L938" t="n">
        <v>0</v>
      </c>
      <c r="M938" t="n">
        <v>0</v>
      </c>
      <c r="N938" t="n">
        <v>0</v>
      </c>
      <c r="O938" t="n">
        <v>0</v>
      </c>
      <c r="P938" t="n">
        <v>0</v>
      </c>
      <c r="Q938" t="n">
        <v>0</v>
      </c>
      <c r="R938" s="2" t="inlineStr"/>
    </row>
    <row r="939" ht="15" customHeight="1">
      <c r="A939" t="inlineStr">
        <is>
          <t>A 19618-2024</t>
        </is>
      </c>
      <c r="B939" s="1" t="n">
        <v>45432</v>
      </c>
      <c r="C939" s="1" t="n">
        <v>45508</v>
      </c>
      <c r="D939" t="inlineStr">
        <is>
          <t>DALARNAS LÄN</t>
        </is>
      </c>
      <c r="E939" t="inlineStr">
        <is>
          <t>LEKSAND</t>
        </is>
      </c>
      <c r="G939" t="n">
        <v>1.5</v>
      </c>
      <c r="H939" t="n">
        <v>0</v>
      </c>
      <c r="I939" t="n">
        <v>0</v>
      </c>
      <c r="J939" t="n">
        <v>0</v>
      </c>
      <c r="K939" t="n">
        <v>0</v>
      </c>
      <c r="L939" t="n">
        <v>0</v>
      </c>
      <c r="M939" t="n">
        <v>0</v>
      </c>
      <c r="N939" t="n">
        <v>0</v>
      </c>
      <c r="O939" t="n">
        <v>0</v>
      </c>
      <c r="P939" t="n">
        <v>0</v>
      </c>
      <c r="Q939" t="n">
        <v>0</v>
      </c>
      <c r="R939" s="2" t="inlineStr"/>
    </row>
    <row r="940" ht="15" customHeight="1">
      <c r="A940" t="inlineStr">
        <is>
          <t>A 19622-2024</t>
        </is>
      </c>
      <c r="B940" s="1" t="n">
        <v>45432</v>
      </c>
      <c r="C940" s="1" t="n">
        <v>45508</v>
      </c>
      <c r="D940" t="inlineStr">
        <is>
          <t>DALARNAS LÄN</t>
        </is>
      </c>
      <c r="E940" t="inlineStr">
        <is>
          <t>LEKSAND</t>
        </is>
      </c>
      <c r="G940" t="n">
        <v>1.3</v>
      </c>
      <c r="H940" t="n">
        <v>0</v>
      </c>
      <c r="I940" t="n">
        <v>0</v>
      </c>
      <c r="J940" t="n">
        <v>0</v>
      </c>
      <c r="K940" t="n">
        <v>0</v>
      </c>
      <c r="L940" t="n">
        <v>0</v>
      </c>
      <c r="M940" t="n">
        <v>0</v>
      </c>
      <c r="N940" t="n">
        <v>0</v>
      </c>
      <c r="O940" t="n">
        <v>0</v>
      </c>
      <c r="P940" t="n">
        <v>0</v>
      </c>
      <c r="Q940" t="n">
        <v>0</v>
      </c>
      <c r="R940" s="2" t="inlineStr"/>
    </row>
    <row r="941" ht="15" customHeight="1">
      <c r="A941" t="inlineStr">
        <is>
          <t>A 19820-2024</t>
        </is>
      </c>
      <c r="B941" s="1" t="n">
        <v>45433</v>
      </c>
      <c r="C941" s="1" t="n">
        <v>45508</v>
      </c>
      <c r="D941" t="inlineStr">
        <is>
          <t>DALARNAS LÄN</t>
        </is>
      </c>
      <c r="E941" t="inlineStr">
        <is>
          <t>LEKSAND</t>
        </is>
      </c>
      <c r="G941" t="n">
        <v>0.7</v>
      </c>
      <c r="H941" t="n">
        <v>0</v>
      </c>
      <c r="I941" t="n">
        <v>0</v>
      </c>
      <c r="J941" t="n">
        <v>0</v>
      </c>
      <c r="K941" t="n">
        <v>0</v>
      </c>
      <c r="L941" t="n">
        <v>0</v>
      </c>
      <c r="M941" t="n">
        <v>0</v>
      </c>
      <c r="N941" t="n">
        <v>0</v>
      </c>
      <c r="O941" t="n">
        <v>0</v>
      </c>
      <c r="P941" t="n">
        <v>0</v>
      </c>
      <c r="Q941" t="n">
        <v>0</v>
      </c>
      <c r="R941" s="2" t="inlineStr"/>
    </row>
    <row r="942" ht="15" customHeight="1">
      <c r="A942" t="inlineStr">
        <is>
          <t>A 19823-2024</t>
        </is>
      </c>
      <c r="B942" s="1" t="n">
        <v>45433</v>
      </c>
      <c r="C942" s="1" t="n">
        <v>45508</v>
      </c>
      <c r="D942" t="inlineStr">
        <is>
          <t>DALARNAS LÄN</t>
        </is>
      </c>
      <c r="E942" t="inlineStr">
        <is>
          <t>LEKSAND</t>
        </is>
      </c>
      <c r="G942" t="n">
        <v>0.3</v>
      </c>
      <c r="H942" t="n">
        <v>0</v>
      </c>
      <c r="I942" t="n">
        <v>0</v>
      </c>
      <c r="J942" t="n">
        <v>0</v>
      </c>
      <c r="K942" t="n">
        <v>0</v>
      </c>
      <c r="L942" t="n">
        <v>0</v>
      </c>
      <c r="M942" t="n">
        <v>0</v>
      </c>
      <c r="N942" t="n">
        <v>0</v>
      </c>
      <c r="O942" t="n">
        <v>0</v>
      </c>
      <c r="P942" t="n">
        <v>0</v>
      </c>
      <c r="Q942" t="n">
        <v>0</v>
      </c>
      <c r="R942" s="2" t="inlineStr"/>
    </row>
    <row r="943" ht="15" customHeight="1">
      <c r="A943" t="inlineStr">
        <is>
          <t>A 20110-2024</t>
        </is>
      </c>
      <c r="B943" s="1" t="n">
        <v>45434</v>
      </c>
      <c r="C943" s="1" t="n">
        <v>45508</v>
      </c>
      <c r="D943" t="inlineStr">
        <is>
          <t>DALARNAS LÄN</t>
        </is>
      </c>
      <c r="E943" t="inlineStr">
        <is>
          <t>LEKSAND</t>
        </is>
      </c>
      <c r="G943" t="n">
        <v>1.8</v>
      </c>
      <c r="H943" t="n">
        <v>0</v>
      </c>
      <c r="I943" t="n">
        <v>0</v>
      </c>
      <c r="J943" t="n">
        <v>0</v>
      </c>
      <c r="K943" t="n">
        <v>0</v>
      </c>
      <c r="L943" t="n">
        <v>0</v>
      </c>
      <c r="M943" t="n">
        <v>0</v>
      </c>
      <c r="N943" t="n">
        <v>0</v>
      </c>
      <c r="O943" t="n">
        <v>0</v>
      </c>
      <c r="P943" t="n">
        <v>0</v>
      </c>
      <c r="Q943" t="n">
        <v>0</v>
      </c>
      <c r="R943" s="2" t="inlineStr"/>
    </row>
    <row r="944" ht="15" customHeight="1">
      <c r="A944" t="inlineStr">
        <is>
          <t>A 20590-2024</t>
        </is>
      </c>
      <c r="B944" s="1" t="n">
        <v>45436</v>
      </c>
      <c r="C944" s="1" t="n">
        <v>45508</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20588-2024</t>
        </is>
      </c>
      <c r="B945" s="1" t="n">
        <v>45436</v>
      </c>
      <c r="C945" s="1" t="n">
        <v>45508</v>
      </c>
      <c r="D945" t="inlineStr">
        <is>
          <t>DALARNAS LÄN</t>
        </is>
      </c>
      <c r="E945" t="inlineStr">
        <is>
          <t>LEKSAND</t>
        </is>
      </c>
      <c r="F945" t="inlineStr">
        <is>
          <t>Bergvik skog väst AB</t>
        </is>
      </c>
      <c r="G945" t="n">
        <v>34.4</v>
      </c>
      <c r="H945" t="n">
        <v>0</v>
      </c>
      <c r="I945" t="n">
        <v>0</v>
      </c>
      <c r="J945" t="n">
        <v>0</v>
      </c>
      <c r="K945" t="n">
        <v>0</v>
      </c>
      <c r="L945" t="n">
        <v>0</v>
      </c>
      <c r="M945" t="n">
        <v>0</v>
      </c>
      <c r="N945" t="n">
        <v>0</v>
      </c>
      <c r="O945" t="n">
        <v>0</v>
      </c>
      <c r="P945" t="n">
        <v>0</v>
      </c>
      <c r="Q945" t="n">
        <v>0</v>
      </c>
      <c r="R945" s="2" t="inlineStr"/>
    </row>
    <row r="946" ht="15" customHeight="1">
      <c r="A946" t="inlineStr">
        <is>
          <t>A 20718-2024</t>
        </is>
      </c>
      <c r="B946" s="1" t="n">
        <v>45436</v>
      </c>
      <c r="C946" s="1" t="n">
        <v>45508</v>
      </c>
      <c r="D946" t="inlineStr">
        <is>
          <t>DALARNAS LÄN</t>
        </is>
      </c>
      <c r="E946" t="inlineStr">
        <is>
          <t>LEKSAND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21017-2024</t>
        </is>
      </c>
      <c r="B947" s="1" t="n">
        <v>45439</v>
      </c>
      <c r="C947" s="1" t="n">
        <v>45508</v>
      </c>
      <c r="D947" t="inlineStr">
        <is>
          <t>DALARNAS LÄN</t>
        </is>
      </c>
      <c r="E947" t="inlineStr">
        <is>
          <t>LEKSAND</t>
        </is>
      </c>
      <c r="G947" t="n">
        <v>2.8</v>
      </c>
      <c r="H947" t="n">
        <v>0</v>
      </c>
      <c r="I947" t="n">
        <v>0</v>
      </c>
      <c r="J947" t="n">
        <v>0</v>
      </c>
      <c r="K947" t="n">
        <v>0</v>
      </c>
      <c r="L947" t="n">
        <v>0</v>
      </c>
      <c r="M947" t="n">
        <v>0</v>
      </c>
      <c r="N947" t="n">
        <v>0</v>
      </c>
      <c r="O947" t="n">
        <v>0</v>
      </c>
      <c r="P947" t="n">
        <v>0</v>
      </c>
      <c r="Q947" t="n">
        <v>0</v>
      </c>
      <c r="R947" s="2" t="inlineStr"/>
    </row>
    <row r="948" ht="15" customHeight="1">
      <c r="A948" t="inlineStr">
        <is>
          <t>A 21035-2024</t>
        </is>
      </c>
      <c r="B948" s="1" t="n">
        <v>45439</v>
      </c>
      <c r="C948" s="1" t="n">
        <v>45508</v>
      </c>
      <c r="D948" t="inlineStr">
        <is>
          <t>DALARNAS LÄN</t>
        </is>
      </c>
      <c r="E948" t="inlineStr">
        <is>
          <t>LEKSAND</t>
        </is>
      </c>
      <c r="G948" t="n">
        <v>11.6</v>
      </c>
      <c r="H948" t="n">
        <v>0</v>
      </c>
      <c r="I948" t="n">
        <v>0</v>
      </c>
      <c r="J948" t="n">
        <v>0</v>
      </c>
      <c r="K948" t="n">
        <v>0</v>
      </c>
      <c r="L948" t="n">
        <v>0</v>
      </c>
      <c r="M948" t="n">
        <v>0</v>
      </c>
      <c r="N948" t="n">
        <v>0</v>
      </c>
      <c r="O948" t="n">
        <v>0</v>
      </c>
      <c r="P948" t="n">
        <v>0</v>
      </c>
      <c r="Q948" t="n">
        <v>0</v>
      </c>
      <c r="R948" s="2" t="inlineStr"/>
    </row>
    <row r="949" ht="15" customHeight="1">
      <c r="A949" t="inlineStr">
        <is>
          <t>A 21556-2024</t>
        </is>
      </c>
      <c r="B949" s="1" t="n">
        <v>45441</v>
      </c>
      <c r="C949" s="1" t="n">
        <v>45508</v>
      </c>
      <c r="D949" t="inlineStr">
        <is>
          <t>DALARNAS LÄN</t>
        </is>
      </c>
      <c r="E949" t="inlineStr">
        <is>
          <t>LEKSAND</t>
        </is>
      </c>
      <c r="G949" t="n">
        <v>2.9</v>
      </c>
      <c r="H949" t="n">
        <v>0</v>
      </c>
      <c r="I949" t="n">
        <v>0</v>
      </c>
      <c r="J949" t="n">
        <v>0</v>
      </c>
      <c r="K949" t="n">
        <v>0</v>
      </c>
      <c r="L949" t="n">
        <v>0</v>
      </c>
      <c r="M949" t="n">
        <v>0</v>
      </c>
      <c r="N949" t="n">
        <v>0</v>
      </c>
      <c r="O949" t="n">
        <v>0</v>
      </c>
      <c r="P949" t="n">
        <v>0</v>
      </c>
      <c r="Q949" t="n">
        <v>0</v>
      </c>
      <c r="R949" s="2" t="inlineStr"/>
    </row>
    <row r="950" ht="15" customHeight="1">
      <c r="A950" t="inlineStr">
        <is>
          <t>A 21676-2024</t>
        </is>
      </c>
      <c r="B950" s="1" t="n">
        <v>45442</v>
      </c>
      <c r="C950" s="1" t="n">
        <v>45508</v>
      </c>
      <c r="D950" t="inlineStr">
        <is>
          <t>DALARNAS LÄN</t>
        </is>
      </c>
      <c r="E950" t="inlineStr">
        <is>
          <t>LEKSAND</t>
        </is>
      </c>
      <c r="F950" t="inlineStr">
        <is>
          <t>Bergvik skog väst AB</t>
        </is>
      </c>
      <c r="G950" t="n">
        <v>1.9</v>
      </c>
      <c r="H950" t="n">
        <v>0</v>
      </c>
      <c r="I950" t="n">
        <v>0</v>
      </c>
      <c r="J950" t="n">
        <v>0</v>
      </c>
      <c r="K950" t="n">
        <v>0</v>
      </c>
      <c r="L950" t="n">
        <v>0</v>
      </c>
      <c r="M950" t="n">
        <v>0</v>
      </c>
      <c r="N950" t="n">
        <v>0</v>
      </c>
      <c r="O950" t="n">
        <v>0</v>
      </c>
      <c r="P950" t="n">
        <v>0</v>
      </c>
      <c r="Q950" t="n">
        <v>0</v>
      </c>
      <c r="R950" s="2" t="inlineStr"/>
    </row>
    <row r="951" ht="15" customHeight="1">
      <c r="A951" t="inlineStr">
        <is>
          <t>A 22059-2024</t>
        </is>
      </c>
      <c r="B951" s="1" t="n">
        <v>45443</v>
      </c>
      <c r="C951" s="1" t="n">
        <v>45508</v>
      </c>
      <c r="D951" t="inlineStr">
        <is>
          <t>DALARNAS LÄN</t>
        </is>
      </c>
      <c r="E951" t="inlineStr">
        <is>
          <t>LEKSAND</t>
        </is>
      </c>
      <c r="G951" t="n">
        <v>13.4</v>
      </c>
      <c r="H951" t="n">
        <v>0</v>
      </c>
      <c r="I951" t="n">
        <v>0</v>
      </c>
      <c r="J951" t="n">
        <v>0</v>
      </c>
      <c r="K951" t="n">
        <v>0</v>
      </c>
      <c r="L951" t="n">
        <v>0</v>
      </c>
      <c r="M951" t="n">
        <v>0</v>
      </c>
      <c r="N951" t="n">
        <v>0</v>
      </c>
      <c r="O951" t="n">
        <v>0</v>
      </c>
      <c r="P951" t="n">
        <v>0</v>
      </c>
      <c r="Q951" t="n">
        <v>0</v>
      </c>
      <c r="R951" s="2" t="inlineStr"/>
    </row>
    <row r="952" ht="15" customHeight="1">
      <c r="A952" t="inlineStr">
        <is>
          <t>A 22354-2024</t>
        </is>
      </c>
      <c r="B952" s="1" t="n">
        <v>45446</v>
      </c>
      <c r="C952" s="1" t="n">
        <v>45508</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45508</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22349-2024</t>
        </is>
      </c>
      <c r="B954" s="1" t="n">
        <v>45446</v>
      </c>
      <c r="C954" s="1" t="n">
        <v>45508</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22281-2024</t>
        </is>
      </c>
      <c r="B955" s="1" t="n">
        <v>45446</v>
      </c>
      <c r="C955" s="1" t="n">
        <v>45508</v>
      </c>
      <c r="D955" t="inlineStr">
        <is>
          <t>DALARNAS LÄN</t>
        </is>
      </c>
      <c r="E955" t="inlineStr">
        <is>
          <t>LEKSAND</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22612-2024</t>
        </is>
      </c>
      <c r="B956" s="1" t="n">
        <v>45447</v>
      </c>
      <c r="C956" s="1" t="n">
        <v>45508</v>
      </c>
      <c r="D956" t="inlineStr">
        <is>
          <t>DALARNAS LÄN</t>
        </is>
      </c>
      <c r="E956" t="inlineStr">
        <is>
          <t>LEKSAND</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22517-2024</t>
        </is>
      </c>
      <c r="B957" s="1" t="n">
        <v>45447</v>
      </c>
      <c r="C957" s="1" t="n">
        <v>45508</v>
      </c>
      <c r="D957" t="inlineStr">
        <is>
          <t>DALARNAS LÄN</t>
        </is>
      </c>
      <c r="E957" t="inlineStr">
        <is>
          <t>LEKSAND</t>
        </is>
      </c>
      <c r="G957" t="n">
        <v>0.4</v>
      </c>
      <c r="H957" t="n">
        <v>0</v>
      </c>
      <c r="I957" t="n">
        <v>0</v>
      </c>
      <c r="J957" t="n">
        <v>0</v>
      </c>
      <c r="K957" t="n">
        <v>0</v>
      </c>
      <c r="L957" t="n">
        <v>0</v>
      </c>
      <c r="M957" t="n">
        <v>0</v>
      </c>
      <c r="N957" t="n">
        <v>0</v>
      </c>
      <c r="O957" t="n">
        <v>0</v>
      </c>
      <c r="P957" t="n">
        <v>0</v>
      </c>
      <c r="Q957" t="n">
        <v>0</v>
      </c>
      <c r="R957" s="2" t="inlineStr"/>
    </row>
    <row r="958" ht="15" customHeight="1">
      <c r="A958" t="inlineStr">
        <is>
          <t>A 22686-2024</t>
        </is>
      </c>
      <c r="B958" s="1" t="n">
        <v>45448</v>
      </c>
      <c r="C958" s="1" t="n">
        <v>45508</v>
      </c>
      <c r="D958" t="inlineStr">
        <is>
          <t>DALARNAS LÄN</t>
        </is>
      </c>
      <c r="E958" t="inlineStr">
        <is>
          <t>LEKSAND</t>
        </is>
      </c>
      <c r="G958" t="n">
        <v>2.3</v>
      </c>
      <c r="H958" t="n">
        <v>0</v>
      </c>
      <c r="I958" t="n">
        <v>0</v>
      </c>
      <c r="J958" t="n">
        <v>0</v>
      </c>
      <c r="K958" t="n">
        <v>0</v>
      </c>
      <c r="L958" t="n">
        <v>0</v>
      </c>
      <c r="M958" t="n">
        <v>0</v>
      </c>
      <c r="N958" t="n">
        <v>0</v>
      </c>
      <c r="O958" t="n">
        <v>0</v>
      </c>
      <c r="P958" t="n">
        <v>0</v>
      </c>
      <c r="Q958" t="n">
        <v>0</v>
      </c>
      <c r="R958" s="2" t="inlineStr"/>
    </row>
    <row r="959" ht="15" customHeight="1">
      <c r="A959" t="inlineStr">
        <is>
          <t>A 22708-2024</t>
        </is>
      </c>
      <c r="B959" s="1" t="n">
        <v>45448</v>
      </c>
      <c r="C959" s="1" t="n">
        <v>45508</v>
      </c>
      <c r="D959" t="inlineStr">
        <is>
          <t>DALARNAS LÄN</t>
        </is>
      </c>
      <c r="E959" t="inlineStr">
        <is>
          <t>LEKSAND</t>
        </is>
      </c>
      <c r="G959" t="n">
        <v>12</v>
      </c>
      <c r="H959" t="n">
        <v>0</v>
      </c>
      <c r="I959" t="n">
        <v>0</v>
      </c>
      <c r="J959" t="n">
        <v>0</v>
      </c>
      <c r="K959" t="n">
        <v>0</v>
      </c>
      <c r="L959" t="n">
        <v>0</v>
      </c>
      <c r="M959" t="n">
        <v>0</v>
      </c>
      <c r="N959" t="n">
        <v>0</v>
      </c>
      <c r="O959" t="n">
        <v>0</v>
      </c>
      <c r="P959" t="n">
        <v>0</v>
      </c>
      <c r="Q959" t="n">
        <v>0</v>
      </c>
      <c r="R959" s="2" t="inlineStr"/>
    </row>
    <row r="960" ht="15" customHeight="1">
      <c r="A960" t="inlineStr">
        <is>
          <t>A 23068-2024</t>
        </is>
      </c>
      <c r="B960" s="1" t="n">
        <v>45450</v>
      </c>
      <c r="C960" s="1" t="n">
        <v>45508</v>
      </c>
      <c r="D960" t="inlineStr">
        <is>
          <t>DALARNAS LÄN</t>
        </is>
      </c>
      <c r="E960" t="inlineStr">
        <is>
          <t>LEKSAND</t>
        </is>
      </c>
      <c r="G960" t="n">
        <v>2.4</v>
      </c>
      <c r="H960" t="n">
        <v>0</v>
      </c>
      <c r="I960" t="n">
        <v>0</v>
      </c>
      <c r="J960" t="n">
        <v>0</v>
      </c>
      <c r="K960" t="n">
        <v>0</v>
      </c>
      <c r="L960" t="n">
        <v>0</v>
      </c>
      <c r="M960" t="n">
        <v>0</v>
      </c>
      <c r="N960" t="n">
        <v>0</v>
      </c>
      <c r="O960" t="n">
        <v>0</v>
      </c>
      <c r="P960" t="n">
        <v>0</v>
      </c>
      <c r="Q960" t="n">
        <v>0</v>
      </c>
      <c r="R960" s="2" t="inlineStr"/>
    </row>
    <row r="961" ht="15" customHeight="1">
      <c r="A961" t="inlineStr">
        <is>
          <t>A 23283-2024</t>
        </is>
      </c>
      <c r="B961" s="1" t="n">
        <v>45453</v>
      </c>
      <c r="C961" s="1" t="n">
        <v>45508</v>
      </c>
      <c r="D961" t="inlineStr">
        <is>
          <t>DALARNAS LÄN</t>
        </is>
      </c>
      <c r="E961" t="inlineStr">
        <is>
          <t>LEKSAND</t>
        </is>
      </c>
      <c r="G961" t="n">
        <v>0.9</v>
      </c>
      <c r="H961" t="n">
        <v>0</v>
      </c>
      <c r="I961" t="n">
        <v>0</v>
      </c>
      <c r="J961" t="n">
        <v>0</v>
      </c>
      <c r="K961" t="n">
        <v>0</v>
      </c>
      <c r="L961" t="n">
        <v>0</v>
      </c>
      <c r="M961" t="n">
        <v>0</v>
      </c>
      <c r="N961" t="n">
        <v>0</v>
      </c>
      <c r="O961" t="n">
        <v>0</v>
      </c>
      <c r="P961" t="n">
        <v>0</v>
      </c>
      <c r="Q961" t="n">
        <v>0</v>
      </c>
      <c r="R961" s="2" t="inlineStr"/>
    </row>
    <row r="962" ht="15" customHeight="1">
      <c r="A962" t="inlineStr">
        <is>
          <t>A 23320-2024</t>
        </is>
      </c>
      <c r="B962" s="1" t="n">
        <v>45453</v>
      </c>
      <c r="C962" s="1" t="n">
        <v>45508</v>
      </c>
      <c r="D962" t="inlineStr">
        <is>
          <t>DALARNAS LÄN</t>
        </is>
      </c>
      <c r="E962" t="inlineStr">
        <is>
          <t>LEKSAND</t>
        </is>
      </c>
      <c r="G962" t="n">
        <v>4.6</v>
      </c>
      <c r="H962" t="n">
        <v>0</v>
      </c>
      <c r="I962" t="n">
        <v>0</v>
      </c>
      <c r="J962" t="n">
        <v>0</v>
      </c>
      <c r="K962" t="n">
        <v>0</v>
      </c>
      <c r="L962" t="n">
        <v>0</v>
      </c>
      <c r="M962" t="n">
        <v>0</v>
      </c>
      <c r="N962" t="n">
        <v>0</v>
      </c>
      <c r="O962" t="n">
        <v>0</v>
      </c>
      <c r="P962" t="n">
        <v>0</v>
      </c>
      <c r="Q962" t="n">
        <v>0</v>
      </c>
      <c r="R962" s="2" t="inlineStr"/>
    </row>
    <row r="963" ht="15" customHeight="1">
      <c r="A963" t="inlineStr">
        <is>
          <t>A 23391-2024</t>
        </is>
      </c>
      <c r="B963" s="1" t="n">
        <v>45453</v>
      </c>
      <c r="C963" s="1" t="n">
        <v>45508</v>
      </c>
      <c r="D963" t="inlineStr">
        <is>
          <t>DALARNAS LÄN</t>
        </is>
      </c>
      <c r="E963" t="inlineStr">
        <is>
          <t>LEKSAND</t>
        </is>
      </c>
      <c r="G963" t="n">
        <v>2.2</v>
      </c>
      <c r="H963" t="n">
        <v>0</v>
      </c>
      <c r="I963" t="n">
        <v>0</v>
      </c>
      <c r="J963" t="n">
        <v>0</v>
      </c>
      <c r="K963" t="n">
        <v>0</v>
      </c>
      <c r="L963" t="n">
        <v>0</v>
      </c>
      <c r="M963" t="n">
        <v>0</v>
      </c>
      <c r="N963" t="n">
        <v>0</v>
      </c>
      <c r="O963" t="n">
        <v>0</v>
      </c>
      <c r="P963" t="n">
        <v>0</v>
      </c>
      <c r="Q963" t="n">
        <v>0</v>
      </c>
      <c r="R963" s="2" t="inlineStr"/>
    </row>
    <row r="964" ht="15" customHeight="1">
      <c r="A964" t="inlineStr">
        <is>
          <t>A 23395-2024</t>
        </is>
      </c>
      <c r="B964" s="1" t="n">
        <v>45453</v>
      </c>
      <c r="C964" s="1" t="n">
        <v>45508</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23417-2024</t>
        </is>
      </c>
      <c r="B965" s="1" t="n">
        <v>45453</v>
      </c>
      <c r="C965" s="1" t="n">
        <v>45508</v>
      </c>
      <c r="D965" t="inlineStr">
        <is>
          <t>DALARNAS LÄN</t>
        </is>
      </c>
      <c r="E965" t="inlineStr">
        <is>
          <t>LEKSAND</t>
        </is>
      </c>
      <c r="F965" t="inlineStr">
        <is>
          <t>Bergvik skog väst AB</t>
        </is>
      </c>
      <c r="G965" t="n">
        <v>39.9</v>
      </c>
      <c r="H965" t="n">
        <v>0</v>
      </c>
      <c r="I965" t="n">
        <v>0</v>
      </c>
      <c r="J965" t="n">
        <v>0</v>
      </c>
      <c r="K965" t="n">
        <v>0</v>
      </c>
      <c r="L965" t="n">
        <v>0</v>
      </c>
      <c r="M965" t="n">
        <v>0</v>
      </c>
      <c r="N965" t="n">
        <v>0</v>
      </c>
      <c r="O965" t="n">
        <v>0</v>
      </c>
      <c r="P965" t="n">
        <v>0</v>
      </c>
      <c r="Q965" t="n">
        <v>0</v>
      </c>
      <c r="R965" s="2" t="inlineStr"/>
    </row>
    <row r="966" ht="15" customHeight="1">
      <c r="A966" t="inlineStr">
        <is>
          <t>A 23615-2024</t>
        </is>
      </c>
      <c r="B966" s="1" t="n">
        <v>45454</v>
      </c>
      <c r="C966" s="1" t="n">
        <v>45508</v>
      </c>
      <c r="D966" t="inlineStr">
        <is>
          <t>DALARNAS LÄN</t>
        </is>
      </c>
      <c r="E966" t="inlineStr">
        <is>
          <t>LEKSAND</t>
        </is>
      </c>
      <c r="G966" t="n">
        <v>1.7</v>
      </c>
      <c r="H966" t="n">
        <v>0</v>
      </c>
      <c r="I966" t="n">
        <v>0</v>
      </c>
      <c r="J966" t="n">
        <v>0</v>
      </c>
      <c r="K966" t="n">
        <v>0</v>
      </c>
      <c r="L966" t="n">
        <v>0</v>
      </c>
      <c r="M966" t="n">
        <v>0</v>
      </c>
      <c r="N966" t="n">
        <v>0</v>
      </c>
      <c r="O966" t="n">
        <v>0</v>
      </c>
      <c r="P966" t="n">
        <v>0</v>
      </c>
      <c r="Q966" t="n">
        <v>0</v>
      </c>
      <c r="R966" s="2" t="inlineStr"/>
    </row>
    <row r="967" ht="15" customHeight="1">
      <c r="A967" t="inlineStr">
        <is>
          <t>A 23663-2024</t>
        </is>
      </c>
      <c r="B967" s="1" t="n">
        <v>45454</v>
      </c>
      <c r="C967" s="1" t="n">
        <v>45508</v>
      </c>
      <c r="D967" t="inlineStr">
        <is>
          <t>DALARNAS LÄN</t>
        </is>
      </c>
      <c r="E967" t="inlineStr">
        <is>
          <t>LEKSAND</t>
        </is>
      </c>
      <c r="G967" t="n">
        <v>2.5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45508</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23743-2024</t>
        </is>
      </c>
      <c r="B969" s="1" t="n">
        <v>45455</v>
      </c>
      <c r="C969" s="1" t="n">
        <v>45508</v>
      </c>
      <c r="D969" t="inlineStr">
        <is>
          <t>DALARNAS LÄN</t>
        </is>
      </c>
      <c r="E969" t="inlineStr">
        <is>
          <t>LEKSAND</t>
        </is>
      </c>
      <c r="G969" t="n">
        <v>4.5</v>
      </c>
      <c r="H969" t="n">
        <v>0</v>
      </c>
      <c r="I969" t="n">
        <v>0</v>
      </c>
      <c r="J969" t="n">
        <v>0</v>
      </c>
      <c r="K969" t="n">
        <v>0</v>
      </c>
      <c r="L969" t="n">
        <v>0</v>
      </c>
      <c r="M969" t="n">
        <v>0</v>
      </c>
      <c r="N969" t="n">
        <v>0</v>
      </c>
      <c r="O969" t="n">
        <v>0</v>
      </c>
      <c r="P969" t="n">
        <v>0</v>
      </c>
      <c r="Q969" t="n">
        <v>0</v>
      </c>
      <c r="R969" s="2" t="inlineStr"/>
    </row>
    <row r="970" ht="15" customHeight="1">
      <c r="A970" t="inlineStr">
        <is>
          <t>A 23739-2024</t>
        </is>
      </c>
      <c r="B970" s="1" t="n">
        <v>45455</v>
      </c>
      <c r="C970" s="1" t="n">
        <v>45508</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24003-2024</t>
        </is>
      </c>
      <c r="B971" s="1" t="n">
        <v>45456</v>
      </c>
      <c r="C971" s="1" t="n">
        <v>45508</v>
      </c>
      <c r="D971" t="inlineStr">
        <is>
          <t>DALARNAS LÄN</t>
        </is>
      </c>
      <c r="E971" t="inlineStr">
        <is>
          <t>LEKSAND</t>
        </is>
      </c>
      <c r="F971" t="inlineStr">
        <is>
          <t>Bergvik skog väst AB</t>
        </is>
      </c>
      <c r="G971" t="n">
        <v>3.2</v>
      </c>
      <c r="H971" t="n">
        <v>0</v>
      </c>
      <c r="I971" t="n">
        <v>0</v>
      </c>
      <c r="J971" t="n">
        <v>0</v>
      </c>
      <c r="K971" t="n">
        <v>0</v>
      </c>
      <c r="L971" t="n">
        <v>0</v>
      </c>
      <c r="M971" t="n">
        <v>0</v>
      </c>
      <c r="N971" t="n">
        <v>0</v>
      </c>
      <c r="O971" t="n">
        <v>0</v>
      </c>
      <c r="P971" t="n">
        <v>0</v>
      </c>
      <c r="Q971" t="n">
        <v>0</v>
      </c>
      <c r="R971" s="2" t="inlineStr"/>
    </row>
    <row r="972" ht="15" customHeight="1">
      <c r="A972" t="inlineStr">
        <is>
          <t>A 24005-2024</t>
        </is>
      </c>
      <c r="B972" s="1" t="n">
        <v>45456</v>
      </c>
      <c r="C972" s="1" t="n">
        <v>45508</v>
      </c>
      <c r="D972" t="inlineStr">
        <is>
          <t>DALARNAS LÄN</t>
        </is>
      </c>
      <c r="E972" t="inlineStr">
        <is>
          <t>LEKSAND</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24063-2024</t>
        </is>
      </c>
      <c r="B973" s="1" t="n">
        <v>45456</v>
      </c>
      <c r="C973" s="1" t="n">
        <v>45508</v>
      </c>
      <c r="D973" t="inlineStr">
        <is>
          <t>DALARNAS LÄN</t>
        </is>
      </c>
      <c r="E973" t="inlineStr">
        <is>
          <t>LEKSAND</t>
        </is>
      </c>
      <c r="F973" t="inlineStr">
        <is>
          <t>Bergvik skog väst AB</t>
        </is>
      </c>
      <c r="G973" t="n">
        <v>8.9</v>
      </c>
      <c r="H973" t="n">
        <v>0</v>
      </c>
      <c r="I973" t="n">
        <v>0</v>
      </c>
      <c r="J973" t="n">
        <v>0</v>
      </c>
      <c r="K973" t="n">
        <v>0</v>
      </c>
      <c r="L973" t="n">
        <v>0</v>
      </c>
      <c r="M973" t="n">
        <v>0</v>
      </c>
      <c r="N973" t="n">
        <v>0</v>
      </c>
      <c r="O973" t="n">
        <v>0</v>
      </c>
      <c r="P973" t="n">
        <v>0</v>
      </c>
      <c r="Q973" t="n">
        <v>0</v>
      </c>
      <c r="R973" s="2" t="inlineStr"/>
    </row>
    <row r="974" ht="15" customHeight="1">
      <c r="A974" t="inlineStr">
        <is>
          <t>A 24135-2024</t>
        </is>
      </c>
      <c r="B974" s="1" t="n">
        <v>45456</v>
      </c>
      <c r="C974" s="1" t="n">
        <v>45508</v>
      </c>
      <c r="D974" t="inlineStr">
        <is>
          <t>DALARNAS LÄN</t>
        </is>
      </c>
      <c r="E974" t="inlineStr">
        <is>
          <t>LEKSAND</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24481-2024</t>
        </is>
      </c>
      <c r="B975" s="1" t="n">
        <v>45459</v>
      </c>
      <c r="C975" s="1" t="n">
        <v>45508</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24830-2024</t>
        </is>
      </c>
      <c r="B976" s="1" t="n">
        <v>45461</v>
      </c>
      <c r="C976" s="1" t="n">
        <v>45508</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24837-2024</t>
        </is>
      </c>
      <c r="B977" s="1" t="n">
        <v>45461</v>
      </c>
      <c r="C977" s="1" t="n">
        <v>45508</v>
      </c>
      <c r="D977" t="inlineStr">
        <is>
          <t>DALARNAS LÄN</t>
        </is>
      </c>
      <c r="E977" t="inlineStr">
        <is>
          <t>LEKSAND</t>
        </is>
      </c>
      <c r="G977" t="n">
        <v>1.5</v>
      </c>
      <c r="H977" t="n">
        <v>0</v>
      </c>
      <c r="I977" t="n">
        <v>0</v>
      </c>
      <c r="J977" t="n">
        <v>0</v>
      </c>
      <c r="K977" t="n">
        <v>0</v>
      </c>
      <c r="L977" t="n">
        <v>0</v>
      </c>
      <c r="M977" t="n">
        <v>0</v>
      </c>
      <c r="N977" t="n">
        <v>0</v>
      </c>
      <c r="O977" t="n">
        <v>0</v>
      </c>
      <c r="P977" t="n">
        <v>0</v>
      </c>
      <c r="Q977" t="n">
        <v>0</v>
      </c>
      <c r="R977" s="2" t="inlineStr"/>
    </row>
    <row r="978" ht="15" customHeight="1">
      <c r="A978" t="inlineStr">
        <is>
          <t>A 24917-2024</t>
        </is>
      </c>
      <c r="B978" s="1" t="n">
        <v>45461</v>
      </c>
      <c r="C978" s="1" t="n">
        <v>45508</v>
      </c>
      <c r="D978" t="inlineStr">
        <is>
          <t>DALARNAS LÄN</t>
        </is>
      </c>
      <c r="E978" t="inlineStr">
        <is>
          <t>LEKSAND</t>
        </is>
      </c>
      <c r="G978" t="n">
        <v>3.7</v>
      </c>
      <c r="H978" t="n">
        <v>0</v>
      </c>
      <c r="I978" t="n">
        <v>0</v>
      </c>
      <c r="J978" t="n">
        <v>0</v>
      </c>
      <c r="K978" t="n">
        <v>0</v>
      </c>
      <c r="L978" t="n">
        <v>0</v>
      </c>
      <c r="M978" t="n">
        <v>0</v>
      </c>
      <c r="N978" t="n">
        <v>0</v>
      </c>
      <c r="O978" t="n">
        <v>0</v>
      </c>
      <c r="P978" t="n">
        <v>0</v>
      </c>
      <c r="Q978" t="n">
        <v>0</v>
      </c>
      <c r="R978" s="2" t="inlineStr"/>
    </row>
    <row r="979" ht="15" customHeight="1">
      <c r="A979" t="inlineStr">
        <is>
          <t>A 24919-2024</t>
        </is>
      </c>
      <c r="B979" s="1" t="n">
        <v>45461</v>
      </c>
      <c r="C979" s="1" t="n">
        <v>45508</v>
      </c>
      <c r="D979" t="inlineStr">
        <is>
          <t>DALARNAS LÄN</t>
        </is>
      </c>
      <c r="E979" t="inlineStr">
        <is>
          <t>LEKSAND</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25253-2024</t>
        </is>
      </c>
      <c r="B980" s="1" t="n">
        <v>45462</v>
      </c>
      <c r="C980" s="1" t="n">
        <v>45508</v>
      </c>
      <c r="D980" t="inlineStr">
        <is>
          <t>DALARNAS LÄN</t>
        </is>
      </c>
      <c r="E980" t="inlineStr">
        <is>
          <t>LEKSAND</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25249-2024</t>
        </is>
      </c>
      <c r="B981" s="1" t="n">
        <v>45462</v>
      </c>
      <c r="C981" s="1" t="n">
        <v>45508</v>
      </c>
      <c r="D981" t="inlineStr">
        <is>
          <t>DALARNAS LÄN</t>
        </is>
      </c>
      <c r="E981" t="inlineStr">
        <is>
          <t>LEKSAND</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25105-2024</t>
        </is>
      </c>
      <c r="B982" s="1" t="n">
        <v>45462</v>
      </c>
      <c r="C982" s="1" t="n">
        <v>45508</v>
      </c>
      <c r="D982" t="inlineStr">
        <is>
          <t>DALARNAS LÄN</t>
        </is>
      </c>
      <c r="E982" t="inlineStr">
        <is>
          <t>LEKSAND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25047-2024</t>
        </is>
      </c>
      <c r="B983" s="1" t="n">
        <v>45462</v>
      </c>
      <c r="C983" s="1" t="n">
        <v>45508</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25048-2024</t>
        </is>
      </c>
      <c r="B984" s="1" t="n">
        <v>45462</v>
      </c>
      <c r="C984" s="1" t="n">
        <v>45508</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45508</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25109-2024</t>
        </is>
      </c>
      <c r="B986" s="1" t="n">
        <v>45462</v>
      </c>
      <c r="C986" s="1" t="n">
        <v>45508</v>
      </c>
      <c r="D986" t="inlineStr">
        <is>
          <t>DALARNAS LÄN</t>
        </is>
      </c>
      <c r="E986" t="inlineStr">
        <is>
          <t>LEKSAND</t>
        </is>
      </c>
      <c r="G986" t="n">
        <v>3.2</v>
      </c>
      <c r="H986" t="n">
        <v>0</v>
      </c>
      <c r="I986" t="n">
        <v>0</v>
      </c>
      <c r="J986" t="n">
        <v>0</v>
      </c>
      <c r="K986" t="n">
        <v>0</v>
      </c>
      <c r="L986" t="n">
        <v>0</v>
      </c>
      <c r="M986" t="n">
        <v>0</v>
      </c>
      <c r="N986" t="n">
        <v>0</v>
      </c>
      <c r="O986" t="n">
        <v>0</v>
      </c>
      <c r="P986" t="n">
        <v>0</v>
      </c>
      <c r="Q986" t="n">
        <v>0</v>
      </c>
      <c r="R986" s="2" t="inlineStr"/>
    </row>
    <row r="987" ht="15" customHeight="1">
      <c r="A987" t="inlineStr">
        <is>
          <t>A 25042-2024</t>
        </is>
      </c>
      <c r="B987" s="1" t="n">
        <v>45462</v>
      </c>
      <c r="C987" s="1" t="n">
        <v>45508</v>
      </c>
      <c r="D987" t="inlineStr">
        <is>
          <t>DALARNAS LÄN</t>
        </is>
      </c>
      <c r="E987" t="inlineStr">
        <is>
          <t>LEKSAND</t>
        </is>
      </c>
      <c r="G987" t="n">
        <v>3.5</v>
      </c>
      <c r="H987" t="n">
        <v>0</v>
      </c>
      <c r="I987" t="n">
        <v>0</v>
      </c>
      <c r="J987" t="n">
        <v>0</v>
      </c>
      <c r="K987" t="n">
        <v>0</v>
      </c>
      <c r="L987" t="n">
        <v>0</v>
      </c>
      <c r="M987" t="n">
        <v>0</v>
      </c>
      <c r="N987" t="n">
        <v>0</v>
      </c>
      <c r="O987" t="n">
        <v>0</v>
      </c>
      <c r="P987" t="n">
        <v>0</v>
      </c>
      <c r="Q987" t="n">
        <v>0</v>
      </c>
      <c r="R987" s="2" t="inlineStr"/>
    </row>
    <row r="988" ht="15" customHeight="1">
      <c r="A988" t="inlineStr">
        <is>
          <t>A 25921-2024</t>
        </is>
      </c>
      <c r="B988" s="1" t="n">
        <v>45467</v>
      </c>
      <c r="C988" s="1" t="n">
        <v>45508</v>
      </c>
      <c r="D988" t="inlineStr">
        <is>
          <t>DALARNAS LÄN</t>
        </is>
      </c>
      <c r="E988" t="inlineStr">
        <is>
          <t>LEKSAND</t>
        </is>
      </c>
      <c r="G988" t="n">
        <v>2.8</v>
      </c>
      <c r="H988" t="n">
        <v>0</v>
      </c>
      <c r="I988" t="n">
        <v>0</v>
      </c>
      <c r="J988" t="n">
        <v>0</v>
      </c>
      <c r="K988" t="n">
        <v>0</v>
      </c>
      <c r="L988" t="n">
        <v>0</v>
      </c>
      <c r="M988" t="n">
        <v>0</v>
      </c>
      <c r="N988" t="n">
        <v>0</v>
      </c>
      <c r="O988" t="n">
        <v>0</v>
      </c>
      <c r="P988" t="n">
        <v>0</v>
      </c>
      <c r="Q988" t="n">
        <v>0</v>
      </c>
      <c r="R988" s="2" t="inlineStr"/>
    </row>
    <row r="989" ht="15" customHeight="1">
      <c r="A989" t="inlineStr">
        <is>
          <t>A 26062-2024</t>
        </is>
      </c>
      <c r="B989" s="1" t="n">
        <v>45468</v>
      </c>
      <c r="C989" s="1" t="n">
        <v>45508</v>
      </c>
      <c r="D989" t="inlineStr">
        <is>
          <t>DALARNAS LÄN</t>
        </is>
      </c>
      <c r="E989" t="inlineStr">
        <is>
          <t>LEKSAND</t>
        </is>
      </c>
      <c r="F989" t="inlineStr">
        <is>
          <t>Övriga statliga verk och myndigheter</t>
        </is>
      </c>
      <c r="G989" t="n">
        <v>6.4</v>
      </c>
      <c r="H989" t="n">
        <v>0</v>
      </c>
      <c r="I989" t="n">
        <v>0</v>
      </c>
      <c r="J989" t="n">
        <v>0</v>
      </c>
      <c r="K989" t="n">
        <v>0</v>
      </c>
      <c r="L989" t="n">
        <v>0</v>
      </c>
      <c r="M989" t="n">
        <v>0</v>
      </c>
      <c r="N989" t="n">
        <v>0</v>
      </c>
      <c r="O989" t="n">
        <v>0</v>
      </c>
      <c r="P989" t="n">
        <v>0</v>
      </c>
      <c r="Q989" t="n">
        <v>0</v>
      </c>
      <c r="R989" s="2" t="inlineStr"/>
    </row>
    <row r="990" ht="15" customHeight="1">
      <c r="A990" t="inlineStr">
        <is>
          <t>A 26680-2024</t>
        </is>
      </c>
      <c r="B990" s="1" t="n">
        <v>45470</v>
      </c>
      <c r="C990" s="1" t="n">
        <v>45508</v>
      </c>
      <c r="D990" t="inlineStr">
        <is>
          <t>DALARNAS LÄN</t>
        </is>
      </c>
      <c r="E990" t="inlineStr">
        <is>
          <t>LEKSAND</t>
        </is>
      </c>
      <c r="G990" t="n">
        <v>0.8</v>
      </c>
      <c r="H990" t="n">
        <v>0</v>
      </c>
      <c r="I990" t="n">
        <v>0</v>
      </c>
      <c r="J990" t="n">
        <v>0</v>
      </c>
      <c r="K990" t="n">
        <v>0</v>
      </c>
      <c r="L990" t="n">
        <v>0</v>
      </c>
      <c r="M990" t="n">
        <v>0</v>
      </c>
      <c r="N990" t="n">
        <v>0</v>
      </c>
      <c r="O990" t="n">
        <v>0</v>
      </c>
      <c r="P990" t="n">
        <v>0</v>
      </c>
      <c r="Q990" t="n">
        <v>0</v>
      </c>
      <c r="R990" s="2" t="inlineStr"/>
    </row>
    <row r="991" ht="15" customHeight="1">
      <c r="A991" t="inlineStr">
        <is>
          <t>A 27446-2024</t>
        </is>
      </c>
      <c r="B991" s="1" t="n">
        <v>45474</v>
      </c>
      <c r="C991" s="1" t="n">
        <v>45508</v>
      </c>
      <c r="D991" t="inlineStr">
        <is>
          <t>DALARNAS LÄN</t>
        </is>
      </c>
      <c r="E991" t="inlineStr">
        <is>
          <t>LEKSAND</t>
        </is>
      </c>
      <c r="G991" t="n">
        <v>2.9</v>
      </c>
      <c r="H991" t="n">
        <v>0</v>
      </c>
      <c r="I991" t="n">
        <v>0</v>
      </c>
      <c r="J991" t="n">
        <v>0</v>
      </c>
      <c r="K991" t="n">
        <v>0</v>
      </c>
      <c r="L991" t="n">
        <v>0</v>
      </c>
      <c r="M991" t="n">
        <v>0</v>
      </c>
      <c r="N991" t="n">
        <v>0</v>
      </c>
      <c r="O991" t="n">
        <v>0</v>
      </c>
      <c r="P991" t="n">
        <v>0</v>
      </c>
      <c r="Q991" t="n">
        <v>0</v>
      </c>
      <c r="R991" s="2" t="inlineStr"/>
    </row>
    <row r="992" ht="15" customHeight="1">
      <c r="A992" t="inlineStr">
        <is>
          <t>A 27445-2024</t>
        </is>
      </c>
      <c r="B992" s="1" t="n">
        <v>45474</v>
      </c>
      <c r="C992" s="1" t="n">
        <v>45508</v>
      </c>
      <c r="D992" t="inlineStr">
        <is>
          <t>DALARNAS LÄN</t>
        </is>
      </c>
      <c r="E992" t="inlineStr">
        <is>
          <t>LEKSAND</t>
        </is>
      </c>
      <c r="G992" t="n">
        <v>0.7</v>
      </c>
      <c r="H992" t="n">
        <v>0</v>
      </c>
      <c r="I992" t="n">
        <v>0</v>
      </c>
      <c r="J992" t="n">
        <v>0</v>
      </c>
      <c r="K992" t="n">
        <v>0</v>
      </c>
      <c r="L992" t="n">
        <v>0</v>
      </c>
      <c r="M992" t="n">
        <v>0</v>
      </c>
      <c r="N992" t="n">
        <v>0</v>
      </c>
      <c r="O992" t="n">
        <v>0</v>
      </c>
      <c r="P992" t="n">
        <v>0</v>
      </c>
      <c r="Q992" t="n">
        <v>0</v>
      </c>
      <c r="R992" s="2" t="inlineStr"/>
    </row>
    <row r="993" ht="15" customHeight="1">
      <c r="A993" t="inlineStr">
        <is>
          <t>A 28032-2024</t>
        </is>
      </c>
      <c r="B993" s="1" t="n">
        <v>45476</v>
      </c>
      <c r="C993" s="1" t="n">
        <v>45508</v>
      </c>
      <c r="D993" t="inlineStr">
        <is>
          <t>DALARNAS LÄN</t>
        </is>
      </c>
      <c r="E993" t="inlineStr">
        <is>
          <t>LEKSAND</t>
        </is>
      </c>
      <c r="G993" t="n">
        <v>2</v>
      </c>
      <c r="H993" t="n">
        <v>0</v>
      </c>
      <c r="I993" t="n">
        <v>0</v>
      </c>
      <c r="J993" t="n">
        <v>0</v>
      </c>
      <c r="K993" t="n">
        <v>0</v>
      </c>
      <c r="L993" t="n">
        <v>0</v>
      </c>
      <c r="M993" t="n">
        <v>0</v>
      </c>
      <c r="N993" t="n">
        <v>0</v>
      </c>
      <c r="O993" t="n">
        <v>0</v>
      </c>
      <c r="P993" t="n">
        <v>0</v>
      </c>
      <c r="Q993" t="n">
        <v>0</v>
      </c>
      <c r="R993" s="2" t="inlineStr"/>
    </row>
    <row r="994" ht="15" customHeight="1">
      <c r="A994" t="inlineStr">
        <is>
          <t>A 28366-2024</t>
        </is>
      </c>
      <c r="B994" s="1" t="n">
        <v>45477</v>
      </c>
      <c r="C994" s="1" t="n">
        <v>45508</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28674-2024</t>
        </is>
      </c>
      <c r="B995" s="1" t="n">
        <v>45478</v>
      </c>
      <c r="C995" s="1" t="n">
        <v>45508</v>
      </c>
      <c r="D995" t="inlineStr">
        <is>
          <t>DALARNAS LÄN</t>
        </is>
      </c>
      <c r="E995" t="inlineStr">
        <is>
          <t>LEKSAND</t>
        </is>
      </c>
      <c r="G995" t="n">
        <v>4.9</v>
      </c>
      <c r="H995" t="n">
        <v>0</v>
      </c>
      <c r="I995" t="n">
        <v>0</v>
      </c>
      <c r="J995" t="n">
        <v>0</v>
      </c>
      <c r="K995" t="n">
        <v>0</v>
      </c>
      <c r="L995" t="n">
        <v>0</v>
      </c>
      <c r="M995" t="n">
        <v>0</v>
      </c>
      <c r="N995" t="n">
        <v>0</v>
      </c>
      <c r="O995" t="n">
        <v>0</v>
      </c>
      <c r="P995" t="n">
        <v>0</v>
      </c>
      <c r="Q995" t="n">
        <v>0</v>
      </c>
      <c r="R995" s="2" t="inlineStr"/>
    </row>
    <row r="996" ht="15" customHeight="1">
      <c r="A996" t="inlineStr">
        <is>
          <t>A 28913-2024</t>
        </is>
      </c>
      <c r="B996" s="1" t="n">
        <v>45480</v>
      </c>
      <c r="C996" s="1" t="n">
        <v>45508</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45508</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28985-2024</t>
        </is>
      </c>
      <c r="B998" s="1" t="n">
        <v>45481</v>
      </c>
      <c r="C998" s="1" t="n">
        <v>45508</v>
      </c>
      <c r="D998" t="inlineStr">
        <is>
          <t>DALARNAS LÄN</t>
        </is>
      </c>
      <c r="E998" t="inlineStr">
        <is>
          <t>LEKSAND</t>
        </is>
      </c>
      <c r="G998" t="n">
        <v>1.2</v>
      </c>
      <c r="H998" t="n">
        <v>0</v>
      </c>
      <c r="I998" t="n">
        <v>0</v>
      </c>
      <c r="J998" t="n">
        <v>0</v>
      </c>
      <c r="K998" t="n">
        <v>0</v>
      </c>
      <c r="L998" t="n">
        <v>0</v>
      </c>
      <c r="M998" t="n">
        <v>0</v>
      </c>
      <c r="N998" t="n">
        <v>0</v>
      </c>
      <c r="O998" t="n">
        <v>0</v>
      </c>
      <c r="P998" t="n">
        <v>0</v>
      </c>
      <c r="Q998" t="n">
        <v>0</v>
      </c>
      <c r="R998" s="2" t="inlineStr"/>
    </row>
    <row r="999" ht="15" customHeight="1">
      <c r="A999" t="inlineStr">
        <is>
          <t>A 29149-2024</t>
        </is>
      </c>
      <c r="B999" s="1" t="n">
        <v>45482</v>
      </c>
      <c r="C999" s="1" t="n">
        <v>45508</v>
      </c>
      <c r="D999" t="inlineStr">
        <is>
          <t>DALARNAS LÄN</t>
        </is>
      </c>
      <c r="E999" t="inlineStr">
        <is>
          <t>LEKSAND</t>
        </is>
      </c>
      <c r="G999" t="n">
        <v>3</v>
      </c>
      <c r="H999" t="n">
        <v>0</v>
      </c>
      <c r="I999" t="n">
        <v>0</v>
      </c>
      <c r="J999" t="n">
        <v>0</v>
      </c>
      <c r="K999" t="n">
        <v>0</v>
      </c>
      <c r="L999" t="n">
        <v>0</v>
      </c>
      <c r="M999" t="n">
        <v>0</v>
      </c>
      <c r="N999" t="n">
        <v>0</v>
      </c>
      <c r="O999" t="n">
        <v>0</v>
      </c>
      <c r="P999" t="n">
        <v>0</v>
      </c>
      <c r="Q999" t="n">
        <v>0</v>
      </c>
      <c r="R999" s="2" t="inlineStr"/>
    </row>
    <row r="1000" ht="15" customHeight="1">
      <c r="A1000" t="inlineStr">
        <is>
          <t>A 29512-2024</t>
        </is>
      </c>
      <c r="B1000" s="1" t="n">
        <v>45484</v>
      </c>
      <c r="C1000" s="1" t="n">
        <v>45508</v>
      </c>
      <c r="D1000" t="inlineStr">
        <is>
          <t>DALARNAS LÄN</t>
        </is>
      </c>
      <c r="E1000" t="inlineStr">
        <is>
          <t>LEKSAND</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29518-2024</t>
        </is>
      </c>
      <c r="B1001" s="1" t="n">
        <v>45484</v>
      </c>
      <c r="C1001" s="1" t="n">
        <v>45508</v>
      </c>
      <c r="D1001" t="inlineStr">
        <is>
          <t>DALARNAS LÄN</t>
        </is>
      </c>
      <c r="E1001" t="inlineStr">
        <is>
          <t>LEKSAND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30198-2024</t>
        </is>
      </c>
      <c r="B1002" s="1" t="n">
        <v>45490</v>
      </c>
      <c r="C1002" s="1" t="n">
        <v>45508</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30204-2024</t>
        </is>
      </c>
      <c r="B1003" s="1" t="n">
        <v>45490</v>
      </c>
      <c r="C1003" s="1" t="n">
        <v>45508</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30201-2024</t>
        </is>
      </c>
      <c r="B1004" s="1" t="n">
        <v>45490</v>
      </c>
      <c r="C1004" s="1" t="n">
        <v>45508</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30670-2024</t>
        </is>
      </c>
      <c r="B1005" s="1" t="n">
        <v>45495</v>
      </c>
      <c r="C1005" s="1" t="n">
        <v>45508</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30860-2024</t>
        </is>
      </c>
      <c r="B1006" s="1" t="n">
        <v>45497</v>
      </c>
      <c r="C1006" s="1" t="n">
        <v>45508</v>
      </c>
      <c r="D1006" t="inlineStr">
        <is>
          <t>DALARNAS LÄN</t>
        </is>
      </c>
      <c r="E1006" t="inlineStr">
        <is>
          <t>LEKSAND</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30864-2024</t>
        </is>
      </c>
      <c r="B1007" s="1" t="n">
        <v>45497</v>
      </c>
      <c r="C1007" s="1" t="n">
        <v>45508</v>
      </c>
      <c r="D1007" t="inlineStr">
        <is>
          <t>DALARNAS LÄN</t>
        </is>
      </c>
      <c r="E1007" t="inlineStr">
        <is>
          <t>LEKSAND</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30858-2024</t>
        </is>
      </c>
      <c r="B1008" s="1" t="n">
        <v>45497</v>
      </c>
      <c r="C1008" s="1" t="n">
        <v>45508</v>
      </c>
      <c r="D1008" t="inlineStr">
        <is>
          <t>DALARNAS LÄN</t>
        </is>
      </c>
      <c r="E1008" t="inlineStr">
        <is>
          <t>LEKSAND</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30863-2024</t>
        </is>
      </c>
      <c r="B1009" s="1" t="n">
        <v>45497</v>
      </c>
      <c r="C1009" s="1" t="n">
        <v>45508</v>
      </c>
      <c r="D1009" t="inlineStr">
        <is>
          <t>DALARNAS LÄN</t>
        </is>
      </c>
      <c r="E1009" t="inlineStr">
        <is>
          <t>LEKSAND</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31019-2024</t>
        </is>
      </c>
      <c r="B1010" s="1" t="n">
        <v>45499</v>
      </c>
      <c r="C1010" s="1" t="n">
        <v>45508</v>
      </c>
      <c r="D1010" t="inlineStr">
        <is>
          <t>DALARNAS LÄN</t>
        </is>
      </c>
      <c r="E1010" t="inlineStr">
        <is>
          <t>LEKSAND</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31123-2024</t>
        </is>
      </c>
      <c r="B1011" s="1" t="n">
        <v>45502</v>
      </c>
      <c r="C1011" s="1" t="n">
        <v>45508</v>
      </c>
      <c r="D1011" t="inlineStr">
        <is>
          <t>DALARNAS LÄN</t>
        </is>
      </c>
      <c r="E1011" t="inlineStr">
        <is>
          <t>LEKSAND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31292-2024</t>
        </is>
      </c>
      <c r="B1012" s="1" t="n">
        <v>45504</v>
      </c>
      <c r="C1012" s="1" t="n">
        <v>45508</v>
      </c>
      <c r="D1012" t="inlineStr">
        <is>
          <t>DALARNAS LÄN</t>
        </is>
      </c>
      <c r="E1012" t="inlineStr">
        <is>
          <t>LEKSAND</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c r="A1013" t="inlineStr">
        <is>
          <t>A 31391-2024</t>
        </is>
      </c>
      <c r="B1013" s="1" t="n">
        <v>45505</v>
      </c>
      <c r="C1013" s="1" t="n">
        <v>45508</v>
      </c>
      <c r="D1013" t="inlineStr">
        <is>
          <t>DALARNAS LÄN</t>
        </is>
      </c>
      <c r="E1013" t="inlineStr">
        <is>
          <t>LEKSAND</t>
        </is>
      </c>
      <c r="F1013" t="inlineStr">
        <is>
          <t>Bergvik skog väst AB</t>
        </is>
      </c>
      <c r="G1013" t="n">
        <v>2.7</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2024-08-04T11:24:21Z</dcterms:created>
  <dcterms:modified xmlns:dcterms="http://purl.org/dc/terms/" xmlns:xsi="http://www.w3.org/2001/XMLSchema-instance" xsi:type="dcterms:W3CDTF">2024-08-04T11:24:22Z</dcterms:modified>
</cp:coreProperties>
</file>