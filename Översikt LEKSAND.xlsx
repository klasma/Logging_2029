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45940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45940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45940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45940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45940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45940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45940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45940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45940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45940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45940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45940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45940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45940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45940</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45940</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45940</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45940</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45940</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45940</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45940</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59111-2024</t>
        </is>
      </c>
      <c r="B23" s="1" t="n">
        <v>45637.36484953704</v>
      </c>
      <c r="C23" s="1" t="n">
        <v>45940</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9408-2024</t>
        </is>
      </c>
      <c r="B24" s="1" t="n">
        <v>45358</v>
      </c>
      <c r="C24" s="1" t="n">
        <v>45940</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35865-2025</t>
        </is>
      </c>
      <c r="B25" s="1" t="n">
        <v>45861.7066087963</v>
      </c>
      <c r="C25" s="1" t="n">
        <v>45940</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45940</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45940</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45940</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45940</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4974-2025</t>
        </is>
      </c>
      <c r="B30" s="1" t="n">
        <v>45690.8478587963</v>
      </c>
      <c r="C30" s="1" t="n">
        <v>45940</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23137-2022</t>
        </is>
      </c>
      <c r="B31" s="1" t="n">
        <v>44719</v>
      </c>
      <c r="C31" s="1" t="n">
        <v>45940</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31124-2024</t>
        </is>
      </c>
      <c r="B32" s="1" t="n">
        <v>45502.62886574074</v>
      </c>
      <c r="C32" s="1" t="n">
        <v>45940</v>
      </c>
      <c r="D32" t="inlineStr">
        <is>
          <t>DALARNAS LÄN</t>
        </is>
      </c>
      <c r="E32" t="inlineStr">
        <is>
          <t>LEKSAND</t>
        </is>
      </c>
      <c r="G32" t="n">
        <v>1.9</v>
      </c>
      <c r="H32" t="n">
        <v>1</v>
      </c>
      <c r="I32" t="n">
        <v>0</v>
      </c>
      <c r="J32" t="n">
        <v>0</v>
      </c>
      <c r="K32" t="n">
        <v>1</v>
      </c>
      <c r="L32" t="n">
        <v>0</v>
      </c>
      <c r="M32" t="n">
        <v>0</v>
      </c>
      <c r="N32" t="n">
        <v>0</v>
      </c>
      <c r="O32" t="n">
        <v>1</v>
      </c>
      <c r="P32" t="n">
        <v>1</v>
      </c>
      <c r="Q32" t="n">
        <v>1</v>
      </c>
      <c r="R32" s="2" t="inlineStr">
        <is>
          <t>Väddnätfjäril</t>
        </is>
      </c>
      <c r="S32">
        <f>HYPERLINK("https://klasma.github.io/Logging_2029/artfynd/A 31124-2024 artfynd.xlsx", "A 31124-2024")</f>
        <v/>
      </c>
      <c r="T32">
        <f>HYPERLINK("https://klasma.github.io/Logging_2029/kartor/A 31124-2024 karta.png", "A 31124-2024")</f>
        <v/>
      </c>
      <c r="V32">
        <f>HYPERLINK("https://klasma.github.io/Logging_2029/klagomål/A 31124-2024 FSC-klagomål.docx", "A 31124-2024")</f>
        <v/>
      </c>
      <c r="W32">
        <f>HYPERLINK("https://klasma.github.io/Logging_2029/klagomålsmail/A 31124-2024 FSC-klagomål mail.docx", "A 31124-2024")</f>
        <v/>
      </c>
      <c r="X32">
        <f>HYPERLINK("https://klasma.github.io/Logging_2029/tillsyn/A 31124-2024 tillsynsbegäran.docx", "A 31124-2024")</f>
        <v/>
      </c>
      <c r="Y32">
        <f>HYPERLINK("https://klasma.github.io/Logging_2029/tillsynsmail/A 31124-2024 tillsynsbegäran mail.docx", "A 31124-2024")</f>
        <v/>
      </c>
    </row>
    <row r="33" ht="15" customHeight="1">
      <c r="A33" t="inlineStr">
        <is>
          <t>A 55633-2024</t>
        </is>
      </c>
      <c r="B33" s="1" t="n">
        <v>45621</v>
      </c>
      <c r="C33" s="1" t="n">
        <v>45940</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164-2024</t>
        </is>
      </c>
      <c r="B34" s="1" t="n">
        <v>45294.49954861111</v>
      </c>
      <c r="C34" s="1" t="n">
        <v>45940</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6029-2025</t>
        </is>
      </c>
      <c r="B35" s="1" t="n">
        <v>45695</v>
      </c>
      <c r="C35" s="1" t="n">
        <v>45940</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31951-2025</t>
        </is>
      </c>
      <c r="B36" s="1" t="n">
        <v>45835.33481481481</v>
      </c>
      <c r="C36" s="1" t="n">
        <v>45940</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36778-2025</t>
        </is>
      </c>
      <c r="B37" s="1" t="n">
        <v>45873</v>
      </c>
      <c r="C37" s="1" t="n">
        <v>45940</v>
      </c>
      <c r="D37" t="inlineStr">
        <is>
          <t>DALARNAS LÄN</t>
        </is>
      </c>
      <c r="E37" t="inlineStr">
        <is>
          <t>LEKSAND</t>
        </is>
      </c>
      <c r="F37" t="inlineStr">
        <is>
          <t>Övriga statliga verk och myndigheter</t>
        </is>
      </c>
      <c r="G37" t="n">
        <v>0.6</v>
      </c>
      <c r="H37" t="n">
        <v>1</v>
      </c>
      <c r="I37" t="n">
        <v>0</v>
      </c>
      <c r="J37" t="n">
        <v>1</v>
      </c>
      <c r="K37" t="n">
        <v>0</v>
      </c>
      <c r="L37" t="n">
        <v>0</v>
      </c>
      <c r="M37" t="n">
        <v>0</v>
      </c>
      <c r="N37" t="n">
        <v>0</v>
      </c>
      <c r="O37" t="n">
        <v>1</v>
      </c>
      <c r="P37" t="n">
        <v>0</v>
      </c>
      <c r="Q37" t="n">
        <v>1</v>
      </c>
      <c r="R37" s="2" t="inlineStr">
        <is>
          <t>Tretåig hackspett</t>
        </is>
      </c>
      <c r="S37">
        <f>HYPERLINK("https://klasma.github.io/Logging_2029/artfynd/A 36778-2025 artfynd.xlsx", "A 36778-2025")</f>
        <v/>
      </c>
      <c r="T37">
        <f>HYPERLINK("https://klasma.github.io/Logging_2029/kartor/A 36778-2025 karta.png", "A 36778-2025")</f>
        <v/>
      </c>
      <c r="V37">
        <f>HYPERLINK("https://klasma.github.io/Logging_2029/klagomål/A 36778-2025 FSC-klagomål.docx", "A 36778-2025")</f>
        <v/>
      </c>
      <c r="W37">
        <f>HYPERLINK("https://klasma.github.io/Logging_2029/klagomålsmail/A 36778-2025 FSC-klagomål mail.docx", "A 36778-2025")</f>
        <v/>
      </c>
      <c r="X37">
        <f>HYPERLINK("https://klasma.github.io/Logging_2029/tillsyn/A 36778-2025 tillsynsbegäran.docx", "A 36778-2025")</f>
        <v/>
      </c>
      <c r="Y37">
        <f>HYPERLINK("https://klasma.github.io/Logging_2029/tillsynsmail/A 36778-2025 tillsynsbegäran mail.docx", "A 36778-2025")</f>
        <v/>
      </c>
      <c r="Z37">
        <f>HYPERLINK("https://klasma.github.io/Logging_2029/fåglar/A 36778-2025 prioriterade fågelarter.docx", "A 36778-2025")</f>
        <v/>
      </c>
    </row>
    <row r="38" ht="15" customHeight="1">
      <c r="A38" t="inlineStr">
        <is>
          <t>A 41873-2022</t>
        </is>
      </c>
      <c r="B38" s="1" t="n">
        <v>44829</v>
      </c>
      <c r="C38" s="1" t="n">
        <v>45940</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34993-2025</t>
        </is>
      </c>
      <c r="B39" s="1" t="n">
        <v>45849.82383101852</v>
      </c>
      <c r="C39" s="1" t="n">
        <v>45940</v>
      </c>
      <c r="D39" t="inlineStr">
        <is>
          <t>DALARNAS LÄN</t>
        </is>
      </c>
      <c r="E39" t="inlineStr">
        <is>
          <t>LEKSAND</t>
        </is>
      </c>
      <c r="F39" t="inlineStr">
        <is>
          <t>Bergvik skog väst AB</t>
        </is>
      </c>
      <c r="G39" t="n">
        <v>4.6</v>
      </c>
      <c r="H39" t="n">
        <v>0</v>
      </c>
      <c r="I39" t="n">
        <v>1</v>
      </c>
      <c r="J39" t="n">
        <v>0</v>
      </c>
      <c r="K39" t="n">
        <v>0</v>
      </c>
      <c r="L39" t="n">
        <v>0</v>
      </c>
      <c r="M39" t="n">
        <v>0</v>
      </c>
      <c r="N39" t="n">
        <v>0</v>
      </c>
      <c r="O39" t="n">
        <v>0</v>
      </c>
      <c r="P39" t="n">
        <v>0</v>
      </c>
      <c r="Q39" t="n">
        <v>1</v>
      </c>
      <c r="R39" s="2" t="inlineStr">
        <is>
          <t>Mindre märgborre</t>
        </is>
      </c>
      <c r="S39">
        <f>HYPERLINK("https://klasma.github.io/Logging_2029/artfynd/A 34993-2025 artfynd.xlsx", "A 34993-2025")</f>
        <v/>
      </c>
      <c r="T39">
        <f>HYPERLINK("https://klasma.github.io/Logging_2029/kartor/A 34993-2025 karta.png", "A 34993-2025")</f>
        <v/>
      </c>
      <c r="V39">
        <f>HYPERLINK("https://klasma.github.io/Logging_2029/klagomål/A 34993-2025 FSC-klagomål.docx", "A 34993-2025")</f>
        <v/>
      </c>
      <c r="W39">
        <f>HYPERLINK("https://klasma.github.io/Logging_2029/klagomålsmail/A 34993-2025 FSC-klagomål mail.docx", "A 34993-2025")</f>
        <v/>
      </c>
      <c r="X39">
        <f>HYPERLINK("https://klasma.github.io/Logging_2029/tillsyn/A 34993-2025 tillsynsbegäran.docx", "A 34993-2025")</f>
        <v/>
      </c>
      <c r="Y39">
        <f>HYPERLINK("https://klasma.github.io/Logging_2029/tillsynsmail/A 34993-2025 tillsynsbegäran mail.docx", "A 34993-2025")</f>
        <v/>
      </c>
    </row>
    <row r="40" ht="15" customHeight="1">
      <c r="A40" t="inlineStr">
        <is>
          <t>A 16735-2025</t>
        </is>
      </c>
      <c r="B40" s="1" t="n">
        <v>45754.54314814815</v>
      </c>
      <c r="C40" s="1" t="n">
        <v>45940</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34996-2025</t>
        </is>
      </c>
      <c r="B41" s="1" t="n">
        <v>45849.82798611111</v>
      </c>
      <c r="C41" s="1" t="n">
        <v>45940</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16333-2023</t>
        </is>
      </c>
      <c r="B42" s="1" t="n">
        <v>45028</v>
      </c>
      <c r="C42" s="1" t="n">
        <v>45940</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47601-2025</t>
        </is>
      </c>
      <c r="B43" s="1" t="n">
        <v>45931.46008101852</v>
      </c>
      <c r="C43" s="1" t="n">
        <v>45940</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53633-2024</t>
        </is>
      </c>
      <c r="B44" s="1" t="n">
        <v>45614.83726851852</v>
      </c>
      <c r="C44" s="1" t="n">
        <v>45940</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26287-2023</t>
        </is>
      </c>
      <c r="B45" s="1" t="n">
        <v>45091</v>
      </c>
      <c r="C45" s="1" t="n">
        <v>45940</v>
      </c>
      <c r="D45" t="inlineStr">
        <is>
          <t>DALARNAS LÄN</t>
        </is>
      </c>
      <c r="E45" t="inlineStr">
        <is>
          <t>LEKSAND</t>
        </is>
      </c>
      <c r="G45" t="n">
        <v>2.4</v>
      </c>
      <c r="H45" t="n">
        <v>0</v>
      </c>
      <c r="I45" t="n">
        <v>1</v>
      </c>
      <c r="J45" t="n">
        <v>0</v>
      </c>
      <c r="K45" t="n">
        <v>0</v>
      </c>
      <c r="L45" t="n">
        <v>0</v>
      </c>
      <c r="M45" t="n">
        <v>0</v>
      </c>
      <c r="N45" t="n">
        <v>0</v>
      </c>
      <c r="O45" t="n">
        <v>0</v>
      </c>
      <c r="P45" t="n">
        <v>0</v>
      </c>
      <c r="Q45" t="n">
        <v>1</v>
      </c>
      <c r="R45" s="2" t="inlineStr">
        <is>
          <t>Mindre märgborre</t>
        </is>
      </c>
      <c r="S45">
        <f>HYPERLINK("https://klasma.github.io/Logging_2029/artfynd/A 26287-2023 artfynd.xlsx", "A 26287-2023")</f>
        <v/>
      </c>
      <c r="T45">
        <f>HYPERLINK("https://klasma.github.io/Logging_2029/kartor/A 26287-2023 karta.png", "A 26287-2023")</f>
        <v/>
      </c>
      <c r="V45">
        <f>HYPERLINK("https://klasma.github.io/Logging_2029/klagomål/A 26287-2023 FSC-klagomål.docx", "A 26287-2023")</f>
        <v/>
      </c>
      <c r="W45">
        <f>HYPERLINK("https://klasma.github.io/Logging_2029/klagomålsmail/A 26287-2023 FSC-klagomål mail.docx", "A 26287-2023")</f>
        <v/>
      </c>
      <c r="X45">
        <f>HYPERLINK("https://klasma.github.io/Logging_2029/tillsyn/A 26287-2023 tillsynsbegäran.docx", "A 26287-2023")</f>
        <v/>
      </c>
      <c r="Y45">
        <f>HYPERLINK("https://klasma.github.io/Logging_2029/tillsynsmail/A 26287-2023 tillsynsbegäran mail.docx", "A 26287-2023")</f>
        <v/>
      </c>
    </row>
    <row r="46" ht="15" customHeight="1">
      <c r="A46" t="inlineStr">
        <is>
          <t>A 59205-2023</t>
        </is>
      </c>
      <c r="B46" s="1" t="n">
        <v>45251</v>
      </c>
      <c r="C46" s="1" t="n">
        <v>45940</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45375-2025</t>
        </is>
      </c>
      <c r="B47" s="1" t="n">
        <v>45922.39347222223</v>
      </c>
      <c r="C47" s="1" t="n">
        <v>45940</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52600-2024</t>
        </is>
      </c>
      <c r="B48" s="1" t="n">
        <v>45609</v>
      </c>
      <c r="C48" s="1" t="n">
        <v>45940</v>
      </c>
      <c r="D48" t="inlineStr">
        <is>
          <t>DALARNAS LÄN</t>
        </is>
      </c>
      <c r="E48" t="inlineStr">
        <is>
          <t>LEKSAND</t>
        </is>
      </c>
      <c r="G48" t="n">
        <v>3.4</v>
      </c>
      <c r="H48" t="n">
        <v>1</v>
      </c>
      <c r="I48" t="n">
        <v>0</v>
      </c>
      <c r="J48" t="n">
        <v>0</v>
      </c>
      <c r="K48" t="n">
        <v>0</v>
      </c>
      <c r="L48" t="n">
        <v>0</v>
      </c>
      <c r="M48" t="n">
        <v>0</v>
      </c>
      <c r="N48" t="n">
        <v>0</v>
      </c>
      <c r="O48" t="n">
        <v>0</v>
      </c>
      <c r="P48" t="n">
        <v>0</v>
      </c>
      <c r="Q48" t="n">
        <v>1</v>
      </c>
      <c r="R48" s="2" t="inlineStr">
        <is>
          <t>Fläcknycklar</t>
        </is>
      </c>
      <c r="S48">
        <f>HYPERLINK("https://klasma.github.io/Logging_2029/artfynd/A 52600-2024 artfynd.xlsx", "A 52600-2024")</f>
        <v/>
      </c>
      <c r="T48">
        <f>HYPERLINK("https://klasma.github.io/Logging_2029/kartor/A 52600-2024 karta.png", "A 52600-2024")</f>
        <v/>
      </c>
      <c r="V48">
        <f>HYPERLINK("https://klasma.github.io/Logging_2029/klagomål/A 52600-2024 FSC-klagomål.docx", "A 52600-2024")</f>
        <v/>
      </c>
      <c r="W48">
        <f>HYPERLINK("https://klasma.github.io/Logging_2029/klagomålsmail/A 52600-2024 FSC-klagomål mail.docx", "A 52600-2024")</f>
        <v/>
      </c>
      <c r="X48">
        <f>HYPERLINK("https://klasma.github.io/Logging_2029/tillsyn/A 52600-2024 tillsynsbegäran.docx", "A 52600-2024")</f>
        <v/>
      </c>
      <c r="Y48">
        <f>HYPERLINK("https://klasma.github.io/Logging_2029/tillsynsmail/A 52600-2024 tillsynsbegäran mail.docx", "A 52600-2024")</f>
        <v/>
      </c>
    </row>
    <row r="49" ht="15" customHeight="1">
      <c r="A49" t="inlineStr">
        <is>
          <t>A 1078-2021</t>
        </is>
      </c>
      <c r="B49" s="1" t="n">
        <v>44207</v>
      </c>
      <c r="C49" s="1" t="n">
        <v>45940</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45940</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45940</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45940</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45940</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45940</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45940</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45940</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45940</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45940</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45940</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45940</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45940</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45940</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45940</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45940</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45940</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45940</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45940</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45940</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45940</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45940</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45940</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45940</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45940</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45940</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45940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45940</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45940</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45940</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45940</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26289-2022</t>
        </is>
      </c>
      <c r="B80" s="1" t="n">
        <v>44735</v>
      </c>
      <c r="C80" s="1" t="n">
        <v>45940</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62279-2021</t>
        </is>
      </c>
      <c r="B81" s="1" t="n">
        <v>44503</v>
      </c>
      <c r="C81" s="1" t="n">
        <v>45940</v>
      </c>
      <c r="D81" t="inlineStr">
        <is>
          <t>DALARNAS LÄN</t>
        </is>
      </c>
      <c r="E81" t="inlineStr">
        <is>
          <t>LEKSAND</t>
        </is>
      </c>
      <c r="G81" t="n">
        <v>1.8</v>
      </c>
      <c r="H81" t="n">
        <v>0</v>
      </c>
      <c r="I81" t="n">
        <v>0</v>
      </c>
      <c r="J81" t="n">
        <v>0</v>
      </c>
      <c r="K81" t="n">
        <v>0</v>
      </c>
      <c r="L81" t="n">
        <v>0</v>
      </c>
      <c r="M81" t="n">
        <v>0</v>
      </c>
      <c r="N81" t="n">
        <v>0</v>
      </c>
      <c r="O81" t="n">
        <v>0</v>
      </c>
      <c r="P81" t="n">
        <v>0</v>
      </c>
      <c r="Q81" t="n">
        <v>0</v>
      </c>
      <c r="R81" s="2" t="inlineStr"/>
    </row>
    <row r="82" ht="15" customHeight="1">
      <c r="A82" t="inlineStr">
        <is>
          <t>A 34317-2022</t>
        </is>
      </c>
      <c r="B82" s="1" t="n">
        <v>44792.38814814815</v>
      </c>
      <c r="C82" s="1" t="n">
        <v>45940</v>
      </c>
      <c r="D82" t="inlineStr">
        <is>
          <t>DALARNAS LÄN</t>
        </is>
      </c>
      <c r="E82" t="inlineStr">
        <is>
          <t>LEKSAND</t>
        </is>
      </c>
      <c r="G82" t="n">
        <v>0.8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45940</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64449-2020</t>
        </is>
      </c>
      <c r="B84" s="1" t="n">
        <v>44168</v>
      </c>
      <c r="C84" s="1" t="n">
        <v>45940</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45940</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18866-2022</t>
        </is>
      </c>
      <c r="B86" s="1" t="n">
        <v>44690</v>
      </c>
      <c r="C86" s="1" t="n">
        <v>45940</v>
      </c>
      <c r="D86" t="inlineStr">
        <is>
          <t>DALARNAS LÄN</t>
        </is>
      </c>
      <c r="E86" t="inlineStr">
        <is>
          <t>LEKSAND</t>
        </is>
      </c>
      <c r="F86" t="inlineStr">
        <is>
          <t>Övriga Aktiebolag</t>
        </is>
      </c>
      <c r="G86" t="n">
        <v>5.1</v>
      </c>
      <c r="H86" t="n">
        <v>0</v>
      </c>
      <c r="I86" t="n">
        <v>0</v>
      </c>
      <c r="J86" t="n">
        <v>0</v>
      </c>
      <c r="K86" t="n">
        <v>0</v>
      </c>
      <c r="L86" t="n">
        <v>0</v>
      </c>
      <c r="M86" t="n">
        <v>0</v>
      </c>
      <c r="N86" t="n">
        <v>0</v>
      </c>
      <c r="O86" t="n">
        <v>0</v>
      </c>
      <c r="P86" t="n">
        <v>0</v>
      </c>
      <c r="Q86" t="n">
        <v>0</v>
      </c>
      <c r="R86" s="2" t="inlineStr"/>
    </row>
    <row r="87" ht="15" customHeight="1">
      <c r="A87" t="inlineStr">
        <is>
          <t>A 18870-2022</t>
        </is>
      </c>
      <c r="B87" s="1" t="n">
        <v>44690.50725694445</v>
      </c>
      <c r="C87" s="1" t="n">
        <v>45940</v>
      </c>
      <c r="D87" t="inlineStr">
        <is>
          <t>DALARNAS LÄN</t>
        </is>
      </c>
      <c r="E87" t="inlineStr">
        <is>
          <t>LEKSAND</t>
        </is>
      </c>
      <c r="F87" t="inlineStr">
        <is>
          <t>Övriga Aktiebolag</t>
        </is>
      </c>
      <c r="G87" t="n">
        <v>3.1</v>
      </c>
      <c r="H87" t="n">
        <v>0</v>
      </c>
      <c r="I87" t="n">
        <v>0</v>
      </c>
      <c r="J87" t="n">
        <v>0</v>
      </c>
      <c r="K87" t="n">
        <v>0</v>
      </c>
      <c r="L87" t="n">
        <v>0</v>
      </c>
      <c r="M87" t="n">
        <v>0</v>
      </c>
      <c r="N87" t="n">
        <v>0</v>
      </c>
      <c r="O87" t="n">
        <v>0</v>
      </c>
      <c r="P87" t="n">
        <v>0</v>
      </c>
      <c r="Q87" t="n">
        <v>0</v>
      </c>
      <c r="R87" s="2" t="inlineStr"/>
    </row>
    <row r="88" ht="15" customHeight="1">
      <c r="A88" t="inlineStr">
        <is>
          <t>A 18140-2022</t>
        </is>
      </c>
      <c r="B88" s="1" t="n">
        <v>44684.58278935185</v>
      </c>
      <c r="C88" s="1" t="n">
        <v>45940</v>
      </c>
      <c r="D88" t="inlineStr">
        <is>
          <t>DALARNAS LÄN</t>
        </is>
      </c>
      <c r="E88" t="inlineStr">
        <is>
          <t>LEKSAND</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36956-2021</t>
        </is>
      </c>
      <c r="B89" s="1" t="n">
        <v>44393.55643518519</v>
      </c>
      <c r="C89" s="1" t="n">
        <v>45940</v>
      </c>
      <c r="D89" t="inlineStr">
        <is>
          <t>DALARNAS LÄN</t>
        </is>
      </c>
      <c r="E89" t="inlineStr">
        <is>
          <t>LEKSAND</t>
        </is>
      </c>
      <c r="G89" t="n">
        <v>4.1</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45940</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8501-2022</t>
        </is>
      </c>
      <c r="B91" s="1" t="n">
        <v>44613.40672453704</v>
      </c>
      <c r="C91" s="1" t="n">
        <v>45940</v>
      </c>
      <c r="D91" t="inlineStr">
        <is>
          <t>DALARNAS LÄN</t>
        </is>
      </c>
      <c r="E91" t="inlineStr">
        <is>
          <t>LEKSAND</t>
        </is>
      </c>
      <c r="G91" t="n">
        <v>3</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45940</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45940</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68573-2021</t>
        </is>
      </c>
      <c r="B94" s="1" t="n">
        <v>44529</v>
      </c>
      <c r="C94" s="1" t="n">
        <v>45940</v>
      </c>
      <c r="D94" t="inlineStr">
        <is>
          <t>DALARNAS LÄN</t>
        </is>
      </c>
      <c r="E94" t="inlineStr">
        <is>
          <t>LEKSAND</t>
        </is>
      </c>
      <c r="G94" t="n">
        <v>1.6</v>
      </c>
      <c r="H94" t="n">
        <v>0</v>
      </c>
      <c r="I94" t="n">
        <v>0</v>
      </c>
      <c r="J94" t="n">
        <v>0</v>
      </c>
      <c r="K94" t="n">
        <v>0</v>
      </c>
      <c r="L94" t="n">
        <v>0</v>
      </c>
      <c r="M94" t="n">
        <v>0</v>
      </c>
      <c r="N94" t="n">
        <v>0</v>
      </c>
      <c r="O94" t="n">
        <v>0</v>
      </c>
      <c r="P94" t="n">
        <v>0</v>
      </c>
      <c r="Q94" t="n">
        <v>0</v>
      </c>
      <c r="R94" s="2" t="inlineStr"/>
    </row>
    <row r="95" ht="15" customHeight="1">
      <c r="A95" t="inlineStr">
        <is>
          <t>A 31871-2022</t>
        </is>
      </c>
      <c r="B95" s="1" t="n">
        <v>44777.37854166667</v>
      </c>
      <c r="C95" s="1" t="n">
        <v>45940</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14140-2022</t>
        </is>
      </c>
      <c r="B96" s="1" t="n">
        <v>44651</v>
      </c>
      <c r="C96" s="1" t="n">
        <v>45940</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45940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40584-2021</t>
        </is>
      </c>
      <c r="B98" s="1" t="n">
        <v>44420</v>
      </c>
      <c r="C98" s="1" t="n">
        <v>45940</v>
      </c>
      <c r="D98" t="inlineStr">
        <is>
          <t>DALARNAS LÄN</t>
        </is>
      </c>
      <c r="E98" t="inlineStr">
        <is>
          <t>LEKSAND</t>
        </is>
      </c>
      <c r="G98" t="n">
        <v>6</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45940</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21965-2021</t>
        </is>
      </c>
      <c r="B100" s="1" t="n">
        <v>44323</v>
      </c>
      <c r="C100" s="1" t="n">
        <v>45940</v>
      </c>
      <c r="D100" t="inlineStr">
        <is>
          <t>DALARNAS LÄN</t>
        </is>
      </c>
      <c r="E100" t="inlineStr">
        <is>
          <t>LEKSAND</t>
        </is>
      </c>
      <c r="G100" t="n">
        <v>0.5</v>
      </c>
      <c r="H100" t="n">
        <v>0</v>
      </c>
      <c r="I100" t="n">
        <v>0</v>
      </c>
      <c r="J100" t="n">
        <v>0</v>
      </c>
      <c r="K100" t="n">
        <v>0</v>
      </c>
      <c r="L100" t="n">
        <v>0</v>
      </c>
      <c r="M100" t="n">
        <v>0</v>
      </c>
      <c r="N100" t="n">
        <v>0</v>
      </c>
      <c r="O100" t="n">
        <v>0</v>
      </c>
      <c r="P100" t="n">
        <v>0</v>
      </c>
      <c r="Q100" t="n">
        <v>0</v>
      </c>
      <c r="R100" s="2" t="inlineStr"/>
    </row>
    <row r="101" ht="15" customHeight="1">
      <c r="A101" t="inlineStr">
        <is>
          <t>A 21969-2021</t>
        </is>
      </c>
      <c r="B101" s="1" t="n">
        <v>44323</v>
      </c>
      <c r="C101" s="1" t="n">
        <v>45940</v>
      </c>
      <c r="D101" t="inlineStr">
        <is>
          <t>DALARNAS LÄN</t>
        </is>
      </c>
      <c r="E101" t="inlineStr">
        <is>
          <t>LEKSAND</t>
        </is>
      </c>
      <c r="G101" t="n">
        <v>3.8</v>
      </c>
      <c r="H101" t="n">
        <v>0</v>
      </c>
      <c r="I101" t="n">
        <v>0</v>
      </c>
      <c r="J101" t="n">
        <v>0</v>
      </c>
      <c r="K101" t="n">
        <v>0</v>
      </c>
      <c r="L101" t="n">
        <v>0</v>
      </c>
      <c r="M101" t="n">
        <v>0</v>
      </c>
      <c r="N101" t="n">
        <v>0</v>
      </c>
      <c r="O101" t="n">
        <v>0</v>
      </c>
      <c r="P101" t="n">
        <v>0</v>
      </c>
      <c r="Q101" t="n">
        <v>0</v>
      </c>
      <c r="R101" s="2" t="inlineStr"/>
    </row>
    <row r="102" ht="15" customHeight="1">
      <c r="A102" t="inlineStr">
        <is>
          <t>A 45155-2021</t>
        </is>
      </c>
      <c r="B102" s="1" t="n">
        <v>44439</v>
      </c>
      <c r="C102" s="1" t="n">
        <v>45940</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49581-2022</t>
        </is>
      </c>
      <c r="B103" s="1" t="n">
        <v>44862.36287037037</v>
      </c>
      <c r="C103" s="1" t="n">
        <v>45940</v>
      </c>
      <c r="D103" t="inlineStr">
        <is>
          <t>DALARNAS LÄN</t>
        </is>
      </c>
      <c r="E103" t="inlineStr">
        <is>
          <t>LEKSAND</t>
        </is>
      </c>
      <c r="G103" t="n">
        <v>1.8</v>
      </c>
      <c r="H103" t="n">
        <v>0</v>
      </c>
      <c r="I103" t="n">
        <v>0</v>
      </c>
      <c r="J103" t="n">
        <v>0</v>
      </c>
      <c r="K103" t="n">
        <v>0</v>
      </c>
      <c r="L103" t="n">
        <v>0</v>
      </c>
      <c r="M103" t="n">
        <v>0</v>
      </c>
      <c r="N103" t="n">
        <v>0</v>
      </c>
      <c r="O103" t="n">
        <v>0</v>
      </c>
      <c r="P103" t="n">
        <v>0</v>
      </c>
      <c r="Q103" t="n">
        <v>0</v>
      </c>
      <c r="R103" s="2" t="inlineStr"/>
    </row>
    <row r="104" ht="15" customHeight="1">
      <c r="A104" t="inlineStr">
        <is>
          <t>A 56153-2021</t>
        </is>
      </c>
      <c r="B104" s="1" t="n">
        <v>44477</v>
      </c>
      <c r="C104" s="1" t="n">
        <v>45940</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35080-2022</t>
        </is>
      </c>
      <c r="B105" s="1" t="n">
        <v>44797</v>
      </c>
      <c r="C105" s="1" t="n">
        <v>45940</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70098-2021</t>
        </is>
      </c>
      <c r="B106" s="1" t="n">
        <v>44533</v>
      </c>
      <c r="C106" s="1" t="n">
        <v>45940</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50219-2022</t>
        </is>
      </c>
      <c r="B107" s="1" t="n">
        <v>44865.64244212963</v>
      </c>
      <c r="C107" s="1" t="n">
        <v>45940</v>
      </c>
      <c r="D107" t="inlineStr">
        <is>
          <t>DALARNAS LÄN</t>
        </is>
      </c>
      <c r="E107" t="inlineStr">
        <is>
          <t>LEKSAND</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59199-2024</t>
        </is>
      </c>
      <c r="B108" s="1" t="n">
        <v>45637</v>
      </c>
      <c r="C108" s="1" t="n">
        <v>45940</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36932-2023</t>
        </is>
      </c>
      <c r="B109" s="1" t="n">
        <v>45154</v>
      </c>
      <c r="C109" s="1" t="n">
        <v>45940</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2579-2022</t>
        </is>
      </c>
      <c r="B110" s="1" t="n">
        <v>44580</v>
      </c>
      <c r="C110" s="1" t="n">
        <v>45940</v>
      </c>
      <c r="D110" t="inlineStr">
        <is>
          <t>DALARNAS LÄN</t>
        </is>
      </c>
      <c r="E110" t="inlineStr">
        <is>
          <t>LEKSAND</t>
        </is>
      </c>
      <c r="G110" t="n">
        <v>0.3</v>
      </c>
      <c r="H110" t="n">
        <v>0</v>
      </c>
      <c r="I110" t="n">
        <v>0</v>
      </c>
      <c r="J110" t="n">
        <v>0</v>
      </c>
      <c r="K110" t="n">
        <v>0</v>
      </c>
      <c r="L110" t="n">
        <v>0</v>
      </c>
      <c r="M110" t="n">
        <v>0</v>
      </c>
      <c r="N110" t="n">
        <v>0</v>
      </c>
      <c r="O110" t="n">
        <v>0</v>
      </c>
      <c r="P110" t="n">
        <v>0</v>
      </c>
      <c r="Q110" t="n">
        <v>0</v>
      </c>
      <c r="R110" s="2" t="inlineStr"/>
    </row>
    <row r="111" ht="15" customHeight="1">
      <c r="A111" t="inlineStr">
        <is>
          <t>A 57013-2023</t>
        </is>
      </c>
      <c r="B111" s="1" t="n">
        <v>45244</v>
      </c>
      <c r="C111" s="1" t="n">
        <v>45940</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2140-2024</t>
        </is>
      </c>
      <c r="B112" s="1" t="n">
        <v>45309</v>
      </c>
      <c r="C112" s="1" t="n">
        <v>45940</v>
      </c>
      <c r="D112" t="inlineStr">
        <is>
          <t>DALARNAS LÄN</t>
        </is>
      </c>
      <c r="E112" t="inlineStr">
        <is>
          <t>LEKSAND</t>
        </is>
      </c>
      <c r="G112" t="n">
        <v>1.5</v>
      </c>
      <c r="H112" t="n">
        <v>0</v>
      </c>
      <c r="I112" t="n">
        <v>0</v>
      </c>
      <c r="J112" t="n">
        <v>0</v>
      </c>
      <c r="K112" t="n">
        <v>0</v>
      </c>
      <c r="L112" t="n">
        <v>0</v>
      </c>
      <c r="M112" t="n">
        <v>0</v>
      </c>
      <c r="N112" t="n">
        <v>0</v>
      </c>
      <c r="O112" t="n">
        <v>0</v>
      </c>
      <c r="P112" t="n">
        <v>0</v>
      </c>
      <c r="Q112" t="n">
        <v>0</v>
      </c>
      <c r="R112" s="2" t="inlineStr"/>
    </row>
    <row r="113" ht="15" customHeight="1">
      <c r="A113" t="inlineStr">
        <is>
          <t>A 23615-2024</t>
        </is>
      </c>
      <c r="B113" s="1" t="n">
        <v>45454.43050925926</v>
      </c>
      <c r="C113" s="1" t="n">
        <v>45940</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22349-2024</t>
        </is>
      </c>
      <c r="B114" s="1" t="n">
        <v>45446</v>
      </c>
      <c r="C114" s="1" t="n">
        <v>45940</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70296-2021</t>
        </is>
      </c>
      <c r="B115" s="1" t="n">
        <v>44536.40434027778</v>
      </c>
      <c r="C115" s="1" t="n">
        <v>45940</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53717-2023</t>
        </is>
      </c>
      <c r="B116" s="1" t="n">
        <v>45230</v>
      </c>
      <c r="C116" s="1" t="n">
        <v>45940</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46665-2023</t>
        </is>
      </c>
      <c r="B117" s="1" t="n">
        <v>45198.47399305556</v>
      </c>
      <c r="C117" s="1" t="n">
        <v>45940</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56943-2024</t>
        </is>
      </c>
      <c r="B118" s="1" t="n">
        <v>45625</v>
      </c>
      <c r="C118" s="1" t="n">
        <v>45940</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60715-2022</t>
        </is>
      </c>
      <c r="B119" s="1" t="n">
        <v>44912</v>
      </c>
      <c r="C119" s="1" t="n">
        <v>45940</v>
      </c>
      <c r="D119" t="inlineStr">
        <is>
          <t>DALARNAS LÄN</t>
        </is>
      </c>
      <c r="E119" t="inlineStr">
        <is>
          <t>LEKSAND</t>
        </is>
      </c>
      <c r="G119" t="n">
        <v>1</v>
      </c>
      <c r="H119" t="n">
        <v>0</v>
      </c>
      <c r="I119" t="n">
        <v>0</v>
      </c>
      <c r="J119" t="n">
        <v>0</v>
      </c>
      <c r="K119" t="n">
        <v>0</v>
      </c>
      <c r="L119" t="n">
        <v>0</v>
      </c>
      <c r="M119" t="n">
        <v>0</v>
      </c>
      <c r="N119" t="n">
        <v>0</v>
      </c>
      <c r="O119" t="n">
        <v>0</v>
      </c>
      <c r="P119" t="n">
        <v>0</v>
      </c>
      <c r="Q119" t="n">
        <v>0</v>
      </c>
      <c r="R119" s="2" t="inlineStr"/>
    </row>
    <row r="120" ht="15" customHeight="1">
      <c r="A120" t="inlineStr">
        <is>
          <t>A 57925-2024</t>
        </is>
      </c>
      <c r="B120" s="1" t="n">
        <v>45630</v>
      </c>
      <c r="C120" s="1" t="n">
        <v>45940</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15619-2025</t>
        </is>
      </c>
      <c r="B121" s="1" t="n">
        <v>45747</v>
      </c>
      <c r="C121" s="1" t="n">
        <v>45940</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11004-2023</t>
        </is>
      </c>
      <c r="B122" s="1" t="n">
        <v>44986</v>
      </c>
      <c r="C122" s="1" t="n">
        <v>45940</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32688-2024</t>
        </is>
      </c>
      <c r="B123" s="1" t="n">
        <v>45515.83091435185</v>
      </c>
      <c r="C123" s="1" t="n">
        <v>45940</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21954-2023</t>
        </is>
      </c>
      <c r="B124" s="1" t="n">
        <v>45068</v>
      </c>
      <c r="C124" s="1" t="n">
        <v>45940</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43419-2024</t>
        </is>
      </c>
      <c r="B125" s="1" t="n">
        <v>45568</v>
      </c>
      <c r="C125" s="1" t="n">
        <v>45940</v>
      </c>
      <c r="D125" t="inlineStr">
        <is>
          <t>DALARNAS LÄN</t>
        </is>
      </c>
      <c r="E125" t="inlineStr">
        <is>
          <t>LEKSAND</t>
        </is>
      </c>
      <c r="G125" t="n">
        <v>0.4</v>
      </c>
      <c r="H125" t="n">
        <v>0</v>
      </c>
      <c r="I125" t="n">
        <v>0</v>
      </c>
      <c r="J125" t="n">
        <v>0</v>
      </c>
      <c r="K125" t="n">
        <v>0</v>
      </c>
      <c r="L125" t="n">
        <v>0</v>
      </c>
      <c r="M125" t="n">
        <v>0</v>
      </c>
      <c r="N125" t="n">
        <v>0</v>
      </c>
      <c r="O125" t="n">
        <v>0</v>
      </c>
      <c r="P125" t="n">
        <v>0</v>
      </c>
      <c r="Q125" t="n">
        <v>0</v>
      </c>
      <c r="R125" s="2" t="inlineStr"/>
    </row>
    <row r="126" ht="15" customHeight="1">
      <c r="A126" t="inlineStr">
        <is>
          <t>A 40165-2022</t>
        </is>
      </c>
      <c r="B126" s="1" t="n">
        <v>44820.56857638889</v>
      </c>
      <c r="C126" s="1" t="n">
        <v>45940</v>
      </c>
      <c r="D126" t="inlineStr">
        <is>
          <t>DALARNAS LÄN</t>
        </is>
      </c>
      <c r="E126" t="inlineStr">
        <is>
          <t>LEKSAND</t>
        </is>
      </c>
      <c r="G126" t="n">
        <v>1.9</v>
      </c>
      <c r="H126" t="n">
        <v>0</v>
      </c>
      <c r="I126" t="n">
        <v>0</v>
      </c>
      <c r="J126" t="n">
        <v>0</v>
      </c>
      <c r="K126" t="n">
        <v>0</v>
      </c>
      <c r="L126" t="n">
        <v>0</v>
      </c>
      <c r="M126" t="n">
        <v>0</v>
      </c>
      <c r="N126" t="n">
        <v>0</v>
      </c>
      <c r="O126" t="n">
        <v>0</v>
      </c>
      <c r="P126" t="n">
        <v>0</v>
      </c>
      <c r="Q126" t="n">
        <v>0</v>
      </c>
      <c r="R126" s="2" t="inlineStr"/>
    </row>
    <row r="127" ht="15" customHeight="1">
      <c r="A127" t="inlineStr">
        <is>
          <t>A 47854-2023</t>
        </is>
      </c>
      <c r="B127" s="1" t="n">
        <v>45198</v>
      </c>
      <c r="C127" s="1" t="n">
        <v>45940</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28633-2023</t>
        </is>
      </c>
      <c r="B128" s="1" t="n">
        <v>45103.61575231481</v>
      </c>
      <c r="C128" s="1" t="n">
        <v>45940</v>
      </c>
      <c r="D128" t="inlineStr">
        <is>
          <t>DALARNAS LÄN</t>
        </is>
      </c>
      <c r="E128" t="inlineStr">
        <is>
          <t>LEKSAND</t>
        </is>
      </c>
      <c r="F128" t="inlineStr">
        <is>
          <t>Bergvik skog väst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14797-2025</t>
        </is>
      </c>
      <c r="B129" s="1" t="n">
        <v>45742.90363425926</v>
      </c>
      <c r="C129" s="1" t="n">
        <v>45940</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59751-2024</t>
        </is>
      </c>
      <c r="B130" s="1" t="n">
        <v>45638</v>
      </c>
      <c r="C130" s="1" t="n">
        <v>45940</v>
      </c>
      <c r="D130" t="inlineStr">
        <is>
          <t>DALARNAS LÄN</t>
        </is>
      </c>
      <c r="E130" t="inlineStr">
        <is>
          <t>LEKSAND</t>
        </is>
      </c>
      <c r="G130" t="n">
        <v>5.2</v>
      </c>
      <c r="H130" t="n">
        <v>0</v>
      </c>
      <c r="I130" t="n">
        <v>0</v>
      </c>
      <c r="J130" t="n">
        <v>0</v>
      </c>
      <c r="K130" t="n">
        <v>0</v>
      </c>
      <c r="L130" t="n">
        <v>0</v>
      </c>
      <c r="M130" t="n">
        <v>0</v>
      </c>
      <c r="N130" t="n">
        <v>0</v>
      </c>
      <c r="O130" t="n">
        <v>0</v>
      </c>
      <c r="P130" t="n">
        <v>0</v>
      </c>
      <c r="Q130" t="n">
        <v>0</v>
      </c>
      <c r="R130" s="2" t="inlineStr"/>
    </row>
    <row r="131" ht="15" customHeight="1">
      <c r="A131" t="inlineStr">
        <is>
          <t>A 9459-2023</t>
        </is>
      </c>
      <c r="B131" s="1" t="n">
        <v>44977</v>
      </c>
      <c r="C131" s="1" t="n">
        <v>45940</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30198-2024</t>
        </is>
      </c>
      <c r="B132" s="1" t="n">
        <v>45490.34765046297</v>
      </c>
      <c r="C132" s="1" t="n">
        <v>45940</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59718-2023</t>
        </is>
      </c>
      <c r="B133" s="1" t="n">
        <v>45257</v>
      </c>
      <c r="C133" s="1" t="n">
        <v>45940</v>
      </c>
      <c r="D133" t="inlineStr">
        <is>
          <t>DALARNAS LÄN</t>
        </is>
      </c>
      <c r="E133" t="inlineStr">
        <is>
          <t>LEKSAND</t>
        </is>
      </c>
      <c r="G133" t="n">
        <v>2.2</v>
      </c>
      <c r="H133" t="n">
        <v>0</v>
      </c>
      <c r="I133" t="n">
        <v>0</v>
      </c>
      <c r="J133" t="n">
        <v>0</v>
      </c>
      <c r="K133" t="n">
        <v>0</v>
      </c>
      <c r="L133" t="n">
        <v>0</v>
      </c>
      <c r="M133" t="n">
        <v>0</v>
      </c>
      <c r="N133" t="n">
        <v>0</v>
      </c>
      <c r="O133" t="n">
        <v>0</v>
      </c>
      <c r="P133" t="n">
        <v>0</v>
      </c>
      <c r="Q133" t="n">
        <v>0</v>
      </c>
      <c r="R133" s="2" t="inlineStr"/>
    </row>
    <row r="134" ht="15" customHeight="1">
      <c r="A134" t="inlineStr">
        <is>
          <t>A 28128-2022</t>
        </is>
      </c>
      <c r="B134" s="1" t="n">
        <v>44746.50628472222</v>
      </c>
      <c r="C134" s="1" t="n">
        <v>45940</v>
      </c>
      <c r="D134" t="inlineStr">
        <is>
          <t>DALARNAS LÄN</t>
        </is>
      </c>
      <c r="E134" t="inlineStr">
        <is>
          <t>LEKSAND</t>
        </is>
      </c>
      <c r="G134" t="n">
        <v>3.5</v>
      </c>
      <c r="H134" t="n">
        <v>0</v>
      </c>
      <c r="I134" t="n">
        <v>0</v>
      </c>
      <c r="J134" t="n">
        <v>0</v>
      </c>
      <c r="K134" t="n">
        <v>0</v>
      </c>
      <c r="L134" t="n">
        <v>0</v>
      </c>
      <c r="M134" t="n">
        <v>0</v>
      </c>
      <c r="N134" t="n">
        <v>0</v>
      </c>
      <c r="O134" t="n">
        <v>0</v>
      </c>
      <c r="P134" t="n">
        <v>0</v>
      </c>
      <c r="Q134" t="n">
        <v>0</v>
      </c>
      <c r="R134" s="2" t="inlineStr"/>
    </row>
    <row r="135" ht="15" customHeight="1">
      <c r="A135" t="inlineStr">
        <is>
          <t>A 61787-2022</t>
        </is>
      </c>
      <c r="B135" s="1" t="n">
        <v>44917</v>
      </c>
      <c r="C135" s="1" t="n">
        <v>45940</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7395-2025</t>
        </is>
      </c>
      <c r="B136" s="1" t="n">
        <v>45705.34516203704</v>
      </c>
      <c r="C136" s="1" t="n">
        <v>45940</v>
      </c>
      <c r="D136" t="inlineStr">
        <is>
          <t>DALARNAS LÄN</t>
        </is>
      </c>
      <c r="E136" t="inlineStr">
        <is>
          <t>LEKSAND</t>
        </is>
      </c>
      <c r="G136" t="n">
        <v>1.8</v>
      </c>
      <c r="H136" t="n">
        <v>0</v>
      </c>
      <c r="I136" t="n">
        <v>0</v>
      </c>
      <c r="J136" t="n">
        <v>0</v>
      </c>
      <c r="K136" t="n">
        <v>0</v>
      </c>
      <c r="L136" t="n">
        <v>0</v>
      </c>
      <c r="M136" t="n">
        <v>0</v>
      </c>
      <c r="N136" t="n">
        <v>0</v>
      </c>
      <c r="O136" t="n">
        <v>0</v>
      </c>
      <c r="P136" t="n">
        <v>0</v>
      </c>
      <c r="Q136" t="n">
        <v>0</v>
      </c>
      <c r="R136" s="2" t="inlineStr"/>
    </row>
    <row r="137" ht="15" customHeight="1">
      <c r="A137" t="inlineStr">
        <is>
          <t>A 16744-2025</t>
        </is>
      </c>
      <c r="B137" s="1" t="n">
        <v>45754</v>
      </c>
      <c r="C137" s="1" t="n">
        <v>45940</v>
      </c>
      <c r="D137" t="inlineStr">
        <is>
          <t>DALARNAS LÄN</t>
        </is>
      </c>
      <c r="E137" t="inlineStr">
        <is>
          <t>LEKSAND</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43275-2022</t>
        </is>
      </c>
      <c r="B138" s="1" t="n">
        <v>44824</v>
      </c>
      <c r="C138" s="1" t="n">
        <v>45940</v>
      </c>
      <c r="D138" t="inlineStr">
        <is>
          <t>DALARNAS LÄN</t>
        </is>
      </c>
      <c r="E138" t="inlineStr">
        <is>
          <t>LEKSAND</t>
        </is>
      </c>
      <c r="G138" t="n">
        <v>2.1</v>
      </c>
      <c r="H138" t="n">
        <v>0</v>
      </c>
      <c r="I138" t="n">
        <v>0</v>
      </c>
      <c r="J138" t="n">
        <v>0</v>
      </c>
      <c r="K138" t="n">
        <v>0</v>
      </c>
      <c r="L138" t="n">
        <v>0</v>
      </c>
      <c r="M138" t="n">
        <v>0</v>
      </c>
      <c r="N138" t="n">
        <v>0</v>
      </c>
      <c r="O138" t="n">
        <v>0</v>
      </c>
      <c r="P138" t="n">
        <v>0</v>
      </c>
      <c r="Q138" t="n">
        <v>0</v>
      </c>
      <c r="R138" s="2" t="inlineStr"/>
    </row>
    <row r="139" ht="15" customHeight="1">
      <c r="A139" t="inlineStr">
        <is>
          <t>A 43304-2022</t>
        </is>
      </c>
      <c r="B139" s="1" t="n">
        <v>44834</v>
      </c>
      <c r="C139" s="1" t="n">
        <v>45940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11859-2024</t>
        </is>
      </c>
      <c r="B140" s="1" t="n">
        <v>45376.44569444445</v>
      </c>
      <c r="C140" s="1" t="n">
        <v>45940</v>
      </c>
      <c r="D140" t="inlineStr">
        <is>
          <t>DALARNAS LÄN</t>
        </is>
      </c>
      <c r="E140" t="inlineStr">
        <is>
          <t>LEKSAND</t>
        </is>
      </c>
      <c r="G140" t="n">
        <v>2.1</v>
      </c>
      <c r="H140" t="n">
        <v>0</v>
      </c>
      <c r="I140" t="n">
        <v>0</v>
      </c>
      <c r="J140" t="n">
        <v>0</v>
      </c>
      <c r="K140" t="n">
        <v>0</v>
      </c>
      <c r="L140" t="n">
        <v>0</v>
      </c>
      <c r="M140" t="n">
        <v>0</v>
      </c>
      <c r="N140" t="n">
        <v>0</v>
      </c>
      <c r="O140" t="n">
        <v>0</v>
      </c>
      <c r="P140" t="n">
        <v>0</v>
      </c>
      <c r="Q140" t="n">
        <v>0</v>
      </c>
      <c r="R140" s="2" t="inlineStr"/>
    </row>
    <row r="141" ht="15" customHeight="1">
      <c r="A141" t="inlineStr">
        <is>
          <t>A 32635-2021</t>
        </is>
      </c>
      <c r="B141" s="1" t="n">
        <v>44374</v>
      </c>
      <c r="C141" s="1" t="n">
        <v>45940</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19480-2022</t>
        </is>
      </c>
      <c r="B142" s="1" t="n">
        <v>44693</v>
      </c>
      <c r="C142" s="1" t="n">
        <v>45940</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67307-2020</t>
        </is>
      </c>
      <c r="B143" s="1" t="n">
        <v>44181</v>
      </c>
      <c r="C143" s="1" t="n">
        <v>45940</v>
      </c>
      <c r="D143" t="inlineStr">
        <is>
          <t>DALARNAS LÄN</t>
        </is>
      </c>
      <c r="E143" t="inlineStr">
        <is>
          <t>LEKSAND</t>
        </is>
      </c>
      <c r="G143" t="n">
        <v>5.9</v>
      </c>
      <c r="H143" t="n">
        <v>0</v>
      </c>
      <c r="I143" t="n">
        <v>0</v>
      </c>
      <c r="J143" t="n">
        <v>0</v>
      </c>
      <c r="K143" t="n">
        <v>0</v>
      </c>
      <c r="L143" t="n">
        <v>0</v>
      </c>
      <c r="M143" t="n">
        <v>0</v>
      </c>
      <c r="N143" t="n">
        <v>0</v>
      </c>
      <c r="O143" t="n">
        <v>0</v>
      </c>
      <c r="P143" t="n">
        <v>0</v>
      </c>
      <c r="Q143" t="n">
        <v>0</v>
      </c>
      <c r="R143" s="2" t="inlineStr"/>
    </row>
    <row r="144" ht="15" customHeight="1">
      <c r="A144" t="inlineStr">
        <is>
          <t>A 51320-2023</t>
        </is>
      </c>
      <c r="B144" s="1" t="n">
        <v>45219.57456018519</v>
      </c>
      <c r="C144" s="1" t="n">
        <v>45940</v>
      </c>
      <c r="D144" t="inlineStr">
        <is>
          <t>DALARNAS LÄN</t>
        </is>
      </c>
      <c r="E144" t="inlineStr">
        <is>
          <t>LEKSAND</t>
        </is>
      </c>
      <c r="G144" t="n">
        <v>2.1</v>
      </c>
      <c r="H144" t="n">
        <v>0</v>
      </c>
      <c r="I144" t="n">
        <v>0</v>
      </c>
      <c r="J144" t="n">
        <v>0</v>
      </c>
      <c r="K144" t="n">
        <v>0</v>
      </c>
      <c r="L144" t="n">
        <v>0</v>
      </c>
      <c r="M144" t="n">
        <v>0</v>
      </c>
      <c r="N144" t="n">
        <v>0</v>
      </c>
      <c r="O144" t="n">
        <v>0</v>
      </c>
      <c r="P144" t="n">
        <v>0</v>
      </c>
      <c r="Q144" t="n">
        <v>0</v>
      </c>
      <c r="R144" s="2" t="inlineStr"/>
    </row>
    <row r="145" ht="15" customHeight="1">
      <c r="A145" t="inlineStr">
        <is>
          <t>A 45040-2021</t>
        </is>
      </c>
      <c r="B145" s="1" t="n">
        <v>44438</v>
      </c>
      <c r="C145" s="1" t="n">
        <v>45940</v>
      </c>
      <c r="D145" t="inlineStr">
        <is>
          <t>DALARNAS LÄN</t>
        </is>
      </c>
      <c r="E145" t="inlineStr">
        <is>
          <t>LEKSAND</t>
        </is>
      </c>
      <c r="G145" t="n">
        <v>2.7</v>
      </c>
      <c r="H145" t="n">
        <v>0</v>
      </c>
      <c r="I145" t="n">
        <v>0</v>
      </c>
      <c r="J145" t="n">
        <v>0</v>
      </c>
      <c r="K145" t="n">
        <v>0</v>
      </c>
      <c r="L145" t="n">
        <v>0</v>
      </c>
      <c r="M145" t="n">
        <v>0</v>
      </c>
      <c r="N145" t="n">
        <v>0</v>
      </c>
      <c r="O145" t="n">
        <v>0</v>
      </c>
      <c r="P145" t="n">
        <v>0</v>
      </c>
      <c r="Q145" t="n">
        <v>0</v>
      </c>
      <c r="R145" s="2" t="inlineStr"/>
    </row>
    <row r="146" ht="15" customHeight="1">
      <c r="A146" t="inlineStr">
        <is>
          <t>A 28630-2023</t>
        </is>
      </c>
      <c r="B146" s="1" t="n">
        <v>45103.61003472222</v>
      </c>
      <c r="C146" s="1" t="n">
        <v>45940</v>
      </c>
      <c r="D146" t="inlineStr">
        <is>
          <t>DALARNAS LÄN</t>
        </is>
      </c>
      <c r="E146" t="inlineStr">
        <is>
          <t>LEKSAND</t>
        </is>
      </c>
      <c r="F146" t="inlineStr">
        <is>
          <t>Bergvik skog väst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42727-2024</t>
        </is>
      </c>
      <c r="B147" s="1" t="n">
        <v>45566</v>
      </c>
      <c r="C147" s="1" t="n">
        <v>45940</v>
      </c>
      <c r="D147" t="inlineStr">
        <is>
          <t>DALARNAS LÄN</t>
        </is>
      </c>
      <c r="E147" t="inlineStr">
        <is>
          <t>LEKSAND</t>
        </is>
      </c>
      <c r="G147" t="n">
        <v>0.8</v>
      </c>
      <c r="H147" t="n">
        <v>0</v>
      </c>
      <c r="I147" t="n">
        <v>0</v>
      </c>
      <c r="J147" t="n">
        <v>0</v>
      </c>
      <c r="K147" t="n">
        <v>0</v>
      </c>
      <c r="L147" t="n">
        <v>0</v>
      </c>
      <c r="M147" t="n">
        <v>0</v>
      </c>
      <c r="N147" t="n">
        <v>0</v>
      </c>
      <c r="O147" t="n">
        <v>0</v>
      </c>
      <c r="P147" t="n">
        <v>0</v>
      </c>
      <c r="Q147" t="n">
        <v>0</v>
      </c>
      <c r="R147" s="2" t="inlineStr"/>
    </row>
    <row r="148" ht="15" customHeight="1">
      <c r="A148" t="inlineStr">
        <is>
          <t>A 30860-2024</t>
        </is>
      </c>
      <c r="B148" s="1" t="n">
        <v>45497.69108796296</v>
      </c>
      <c r="C148" s="1" t="n">
        <v>45940</v>
      </c>
      <c r="D148" t="inlineStr">
        <is>
          <t>DALARNAS LÄN</t>
        </is>
      </c>
      <c r="E148" t="inlineStr">
        <is>
          <t>LEKSAND</t>
        </is>
      </c>
      <c r="F148" t="inlineStr">
        <is>
          <t>Bergvik skog väst AB</t>
        </is>
      </c>
      <c r="G148" t="n">
        <v>0.7</v>
      </c>
      <c r="H148" t="n">
        <v>0</v>
      </c>
      <c r="I148" t="n">
        <v>0</v>
      </c>
      <c r="J148" t="n">
        <v>0</v>
      </c>
      <c r="K148" t="n">
        <v>0</v>
      </c>
      <c r="L148" t="n">
        <v>0</v>
      </c>
      <c r="M148" t="n">
        <v>0</v>
      </c>
      <c r="N148" t="n">
        <v>0</v>
      </c>
      <c r="O148" t="n">
        <v>0</v>
      </c>
      <c r="P148" t="n">
        <v>0</v>
      </c>
      <c r="Q148" t="n">
        <v>0</v>
      </c>
      <c r="R148" s="2" t="inlineStr"/>
    </row>
    <row r="149" ht="15" customHeight="1">
      <c r="A149" t="inlineStr">
        <is>
          <t>A 30864-2024</t>
        </is>
      </c>
      <c r="B149" s="1" t="n">
        <v>45497.71550925926</v>
      </c>
      <c r="C149" s="1" t="n">
        <v>45940</v>
      </c>
      <c r="D149" t="inlineStr">
        <is>
          <t>DALARNAS LÄN</t>
        </is>
      </c>
      <c r="E149" t="inlineStr">
        <is>
          <t>LEKSAND</t>
        </is>
      </c>
      <c r="F149" t="inlineStr">
        <is>
          <t>Bergvik skog väst AB</t>
        </is>
      </c>
      <c r="G149" t="n">
        <v>2.3</v>
      </c>
      <c r="H149" t="n">
        <v>0</v>
      </c>
      <c r="I149" t="n">
        <v>0</v>
      </c>
      <c r="J149" t="n">
        <v>0</v>
      </c>
      <c r="K149" t="n">
        <v>0</v>
      </c>
      <c r="L149" t="n">
        <v>0</v>
      </c>
      <c r="M149" t="n">
        <v>0</v>
      </c>
      <c r="N149" t="n">
        <v>0</v>
      </c>
      <c r="O149" t="n">
        <v>0</v>
      </c>
      <c r="P149" t="n">
        <v>0</v>
      </c>
      <c r="Q149" t="n">
        <v>0</v>
      </c>
      <c r="R149" s="2" t="inlineStr"/>
    </row>
    <row r="150" ht="15" customHeight="1">
      <c r="A150" t="inlineStr">
        <is>
          <t>A 19295-2024</t>
        </is>
      </c>
      <c r="B150" s="1" t="n">
        <v>45428.69106481481</v>
      </c>
      <c r="C150" s="1" t="n">
        <v>45940</v>
      </c>
      <c r="D150" t="inlineStr">
        <is>
          <t>DALARNAS LÄN</t>
        </is>
      </c>
      <c r="E150" t="inlineStr">
        <is>
          <t>LEKSAND</t>
        </is>
      </c>
      <c r="G150" t="n">
        <v>1.6</v>
      </c>
      <c r="H150" t="n">
        <v>0</v>
      </c>
      <c r="I150" t="n">
        <v>0</v>
      </c>
      <c r="J150" t="n">
        <v>0</v>
      </c>
      <c r="K150" t="n">
        <v>0</v>
      </c>
      <c r="L150" t="n">
        <v>0</v>
      </c>
      <c r="M150" t="n">
        <v>0</v>
      </c>
      <c r="N150" t="n">
        <v>0</v>
      </c>
      <c r="O150" t="n">
        <v>0</v>
      </c>
      <c r="P150" t="n">
        <v>0</v>
      </c>
      <c r="Q150" t="n">
        <v>0</v>
      </c>
      <c r="R150" s="2" t="inlineStr"/>
    </row>
    <row r="151" ht="15" customHeight="1">
      <c r="A151" t="inlineStr">
        <is>
          <t>A 16197-2024</t>
        </is>
      </c>
      <c r="B151" s="1" t="n">
        <v>45406.70356481482</v>
      </c>
      <c r="C151" s="1" t="n">
        <v>45940</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61269-2022</t>
        </is>
      </c>
      <c r="B152" s="1" t="n">
        <v>44909</v>
      </c>
      <c r="C152" s="1" t="n">
        <v>45940</v>
      </c>
      <c r="D152" t="inlineStr">
        <is>
          <t>DALARNAS LÄN</t>
        </is>
      </c>
      <c r="E152" t="inlineStr">
        <is>
          <t>LEKSAND</t>
        </is>
      </c>
      <c r="G152" t="n">
        <v>4.2</v>
      </c>
      <c r="H152" t="n">
        <v>0</v>
      </c>
      <c r="I152" t="n">
        <v>0</v>
      </c>
      <c r="J152" t="n">
        <v>0</v>
      </c>
      <c r="K152" t="n">
        <v>0</v>
      </c>
      <c r="L152" t="n">
        <v>0</v>
      </c>
      <c r="M152" t="n">
        <v>0</v>
      </c>
      <c r="N152" t="n">
        <v>0</v>
      </c>
      <c r="O152" t="n">
        <v>0</v>
      </c>
      <c r="P152" t="n">
        <v>0</v>
      </c>
      <c r="Q152" t="n">
        <v>0</v>
      </c>
      <c r="R152" s="2" t="inlineStr"/>
    </row>
    <row r="153" ht="15" customHeight="1">
      <c r="A153" t="inlineStr">
        <is>
          <t>A 64933-2023</t>
        </is>
      </c>
      <c r="B153" s="1" t="n">
        <v>45282</v>
      </c>
      <c r="C153" s="1" t="n">
        <v>45940</v>
      </c>
      <c r="D153" t="inlineStr">
        <is>
          <t>DALARNAS LÄN</t>
        </is>
      </c>
      <c r="E153" t="inlineStr">
        <is>
          <t>LEKSAND</t>
        </is>
      </c>
      <c r="G153" t="n">
        <v>2.3</v>
      </c>
      <c r="H153" t="n">
        <v>0</v>
      </c>
      <c r="I153" t="n">
        <v>0</v>
      </c>
      <c r="J153" t="n">
        <v>0</v>
      </c>
      <c r="K153" t="n">
        <v>0</v>
      </c>
      <c r="L153" t="n">
        <v>0</v>
      </c>
      <c r="M153" t="n">
        <v>0</v>
      </c>
      <c r="N153" t="n">
        <v>0</v>
      </c>
      <c r="O153" t="n">
        <v>0</v>
      </c>
      <c r="P153" t="n">
        <v>0</v>
      </c>
      <c r="Q153" t="n">
        <v>0</v>
      </c>
      <c r="R153" s="2" t="inlineStr"/>
    </row>
    <row r="154" ht="15" customHeight="1">
      <c r="A154" t="inlineStr">
        <is>
          <t>A 24003-2024</t>
        </is>
      </c>
      <c r="B154" s="1" t="n">
        <v>45456.39003472222</v>
      </c>
      <c r="C154" s="1" t="n">
        <v>45940</v>
      </c>
      <c r="D154" t="inlineStr">
        <is>
          <t>DALARNAS LÄN</t>
        </is>
      </c>
      <c r="E154" t="inlineStr">
        <is>
          <t>LEKSAND</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61252-2023</t>
        </is>
      </c>
      <c r="B155" s="1" t="n">
        <v>45261</v>
      </c>
      <c r="C155" s="1" t="n">
        <v>45940</v>
      </c>
      <c r="D155" t="inlineStr">
        <is>
          <t>DALARNAS LÄN</t>
        </is>
      </c>
      <c r="E155" t="inlineStr">
        <is>
          <t>LEKSAND</t>
        </is>
      </c>
      <c r="G155" t="n">
        <v>1.9</v>
      </c>
      <c r="H155" t="n">
        <v>0</v>
      </c>
      <c r="I155" t="n">
        <v>0</v>
      </c>
      <c r="J155" t="n">
        <v>0</v>
      </c>
      <c r="K155" t="n">
        <v>0</v>
      </c>
      <c r="L155" t="n">
        <v>0</v>
      </c>
      <c r="M155" t="n">
        <v>0</v>
      </c>
      <c r="N155" t="n">
        <v>0</v>
      </c>
      <c r="O155" t="n">
        <v>0</v>
      </c>
      <c r="P155" t="n">
        <v>0</v>
      </c>
      <c r="Q155" t="n">
        <v>0</v>
      </c>
      <c r="R155" s="2" t="inlineStr"/>
    </row>
    <row r="156" ht="15" customHeight="1">
      <c r="A156" t="inlineStr">
        <is>
          <t>A 20937-2025</t>
        </is>
      </c>
      <c r="B156" s="1" t="n">
        <v>45777.42769675926</v>
      </c>
      <c r="C156" s="1" t="n">
        <v>45940</v>
      </c>
      <c r="D156" t="inlineStr">
        <is>
          <t>DALARNAS LÄN</t>
        </is>
      </c>
      <c r="E156" t="inlineStr">
        <is>
          <t>LEKSAND</t>
        </is>
      </c>
      <c r="G156" t="n">
        <v>2.2</v>
      </c>
      <c r="H156" t="n">
        <v>0</v>
      </c>
      <c r="I156" t="n">
        <v>0</v>
      </c>
      <c r="J156" t="n">
        <v>0</v>
      </c>
      <c r="K156" t="n">
        <v>0</v>
      </c>
      <c r="L156" t="n">
        <v>0</v>
      </c>
      <c r="M156" t="n">
        <v>0</v>
      </c>
      <c r="N156" t="n">
        <v>0</v>
      </c>
      <c r="O156" t="n">
        <v>0</v>
      </c>
      <c r="P156" t="n">
        <v>0</v>
      </c>
      <c r="Q156" t="n">
        <v>0</v>
      </c>
      <c r="R156" s="2" t="inlineStr"/>
    </row>
    <row r="157" ht="15" customHeight="1">
      <c r="A157" t="inlineStr">
        <is>
          <t>A 30449-2022</t>
        </is>
      </c>
      <c r="B157" s="1" t="n">
        <v>44761.59276620371</v>
      </c>
      <c r="C157" s="1" t="n">
        <v>45940</v>
      </c>
      <c r="D157" t="inlineStr">
        <is>
          <t>DALARNAS LÄN</t>
        </is>
      </c>
      <c r="E157" t="inlineStr">
        <is>
          <t>LEKSAND</t>
        </is>
      </c>
      <c r="G157" t="n">
        <v>5.7</v>
      </c>
      <c r="H157" t="n">
        <v>0</v>
      </c>
      <c r="I157" t="n">
        <v>0</v>
      </c>
      <c r="J157" t="n">
        <v>0</v>
      </c>
      <c r="K157" t="n">
        <v>0</v>
      </c>
      <c r="L157" t="n">
        <v>0</v>
      </c>
      <c r="M157" t="n">
        <v>0</v>
      </c>
      <c r="N157" t="n">
        <v>0</v>
      </c>
      <c r="O157" t="n">
        <v>0</v>
      </c>
      <c r="P157" t="n">
        <v>0</v>
      </c>
      <c r="Q157" t="n">
        <v>0</v>
      </c>
      <c r="R157" s="2" t="inlineStr"/>
    </row>
    <row r="158" ht="15" customHeight="1">
      <c r="A158" t="inlineStr">
        <is>
          <t>A 20683-2025</t>
        </is>
      </c>
      <c r="B158" s="1" t="n">
        <v>45776</v>
      </c>
      <c r="C158" s="1" t="n">
        <v>45940</v>
      </c>
      <c r="D158" t="inlineStr">
        <is>
          <t>DALARNAS LÄN</t>
        </is>
      </c>
      <c r="E158" t="inlineStr">
        <is>
          <t>LEKSAND</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34585-2024</t>
        </is>
      </c>
      <c r="B159" s="1" t="n">
        <v>45526.37697916666</v>
      </c>
      <c r="C159" s="1" t="n">
        <v>45940</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18040-2024</t>
        </is>
      </c>
      <c r="B160" s="1" t="n">
        <v>45420.36664351852</v>
      </c>
      <c r="C160" s="1" t="n">
        <v>45940</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46141-2022</t>
        </is>
      </c>
      <c r="B161" s="1" t="n">
        <v>44846</v>
      </c>
      <c r="C161" s="1" t="n">
        <v>45940</v>
      </c>
      <c r="D161" t="inlineStr">
        <is>
          <t>DALARNAS LÄN</t>
        </is>
      </c>
      <c r="E161" t="inlineStr">
        <is>
          <t>LEKSAND</t>
        </is>
      </c>
      <c r="G161" t="n">
        <v>2.8</v>
      </c>
      <c r="H161" t="n">
        <v>0</v>
      </c>
      <c r="I161" t="n">
        <v>0</v>
      </c>
      <c r="J161" t="n">
        <v>0</v>
      </c>
      <c r="K161" t="n">
        <v>0</v>
      </c>
      <c r="L161" t="n">
        <v>0</v>
      </c>
      <c r="M161" t="n">
        <v>0</v>
      </c>
      <c r="N161" t="n">
        <v>0</v>
      </c>
      <c r="O161" t="n">
        <v>0</v>
      </c>
      <c r="P161" t="n">
        <v>0</v>
      </c>
      <c r="Q161" t="n">
        <v>0</v>
      </c>
      <c r="R161" s="2" t="inlineStr"/>
    </row>
    <row r="162" ht="15" customHeight="1">
      <c r="A162" t="inlineStr">
        <is>
          <t>A 14616-2024</t>
        </is>
      </c>
      <c r="B162" s="1" t="n">
        <v>45397.2624537037</v>
      </c>
      <c r="C162" s="1" t="n">
        <v>45940</v>
      </c>
      <c r="D162" t="inlineStr">
        <is>
          <t>DALARNAS LÄN</t>
        </is>
      </c>
      <c r="E162" t="inlineStr">
        <is>
          <t>LEKSAND</t>
        </is>
      </c>
      <c r="G162" t="n">
        <v>0.5</v>
      </c>
      <c r="H162" t="n">
        <v>0</v>
      </c>
      <c r="I162" t="n">
        <v>0</v>
      </c>
      <c r="J162" t="n">
        <v>0</v>
      </c>
      <c r="K162" t="n">
        <v>0</v>
      </c>
      <c r="L162" t="n">
        <v>0</v>
      </c>
      <c r="M162" t="n">
        <v>0</v>
      </c>
      <c r="N162" t="n">
        <v>0</v>
      </c>
      <c r="O162" t="n">
        <v>0</v>
      </c>
      <c r="P162" t="n">
        <v>0</v>
      </c>
      <c r="Q162" t="n">
        <v>0</v>
      </c>
      <c r="R162" s="2" t="inlineStr"/>
    </row>
    <row r="163" ht="15" customHeight="1">
      <c r="A163" t="inlineStr">
        <is>
          <t>A 10743-2024</t>
        </is>
      </c>
      <c r="B163" s="1" t="n">
        <v>45369.52167824074</v>
      </c>
      <c r="C163" s="1" t="n">
        <v>45940</v>
      </c>
      <c r="D163" t="inlineStr">
        <is>
          <t>DALARNAS LÄN</t>
        </is>
      </c>
      <c r="E163" t="inlineStr">
        <is>
          <t>LEKSAND</t>
        </is>
      </c>
      <c r="G163" t="n">
        <v>2.7</v>
      </c>
      <c r="H163" t="n">
        <v>0</v>
      </c>
      <c r="I163" t="n">
        <v>0</v>
      </c>
      <c r="J163" t="n">
        <v>0</v>
      </c>
      <c r="K163" t="n">
        <v>0</v>
      </c>
      <c r="L163" t="n">
        <v>0</v>
      </c>
      <c r="M163" t="n">
        <v>0</v>
      </c>
      <c r="N163" t="n">
        <v>0</v>
      </c>
      <c r="O163" t="n">
        <v>0</v>
      </c>
      <c r="P163" t="n">
        <v>0</v>
      </c>
      <c r="Q163" t="n">
        <v>0</v>
      </c>
      <c r="R163" s="2" t="inlineStr"/>
    </row>
    <row r="164" ht="15" customHeight="1">
      <c r="A164" t="inlineStr">
        <is>
          <t>A 21230-2025</t>
        </is>
      </c>
      <c r="B164" s="1" t="n">
        <v>45779.54589120371</v>
      </c>
      <c r="C164" s="1" t="n">
        <v>45940</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10771-2024</t>
        </is>
      </c>
      <c r="B165" s="1" t="n">
        <v>45369.57342592593</v>
      </c>
      <c r="C165" s="1" t="n">
        <v>45940</v>
      </c>
      <c r="D165" t="inlineStr">
        <is>
          <t>DALARNAS LÄN</t>
        </is>
      </c>
      <c r="E165" t="inlineStr">
        <is>
          <t>LEKSAND</t>
        </is>
      </c>
      <c r="G165" t="n">
        <v>0.4</v>
      </c>
      <c r="H165" t="n">
        <v>0</v>
      </c>
      <c r="I165" t="n">
        <v>0</v>
      </c>
      <c r="J165" t="n">
        <v>0</v>
      </c>
      <c r="K165" t="n">
        <v>0</v>
      </c>
      <c r="L165" t="n">
        <v>0</v>
      </c>
      <c r="M165" t="n">
        <v>0</v>
      </c>
      <c r="N165" t="n">
        <v>0</v>
      </c>
      <c r="O165" t="n">
        <v>0</v>
      </c>
      <c r="P165" t="n">
        <v>0</v>
      </c>
      <c r="Q165" t="n">
        <v>0</v>
      </c>
      <c r="R165" s="2" t="inlineStr"/>
    </row>
    <row r="166" ht="15" customHeight="1">
      <c r="A166" t="inlineStr">
        <is>
          <t>A 21193-2025</t>
        </is>
      </c>
      <c r="B166" s="1" t="n">
        <v>45779.46675925926</v>
      </c>
      <c r="C166" s="1" t="n">
        <v>45940</v>
      </c>
      <c r="D166" t="inlineStr">
        <is>
          <t>DALARNAS LÄN</t>
        </is>
      </c>
      <c r="E166" t="inlineStr">
        <is>
          <t>LEKSAND</t>
        </is>
      </c>
      <c r="G166" t="n">
        <v>3.7</v>
      </c>
      <c r="H166" t="n">
        <v>0</v>
      </c>
      <c r="I166" t="n">
        <v>0</v>
      </c>
      <c r="J166" t="n">
        <v>0</v>
      </c>
      <c r="K166" t="n">
        <v>0</v>
      </c>
      <c r="L166" t="n">
        <v>0</v>
      </c>
      <c r="M166" t="n">
        <v>0</v>
      </c>
      <c r="N166" t="n">
        <v>0</v>
      </c>
      <c r="O166" t="n">
        <v>0</v>
      </c>
      <c r="P166" t="n">
        <v>0</v>
      </c>
      <c r="Q166" t="n">
        <v>0</v>
      </c>
      <c r="R166" s="2" t="inlineStr"/>
    </row>
    <row r="167" ht="15" customHeight="1">
      <c r="A167" t="inlineStr">
        <is>
          <t>A 41840-2024</t>
        </is>
      </c>
      <c r="B167" s="1" t="n">
        <v>45561.42170138889</v>
      </c>
      <c r="C167" s="1" t="n">
        <v>45940</v>
      </c>
      <c r="D167" t="inlineStr">
        <is>
          <t>DALARNAS LÄN</t>
        </is>
      </c>
      <c r="E167" t="inlineStr">
        <is>
          <t>LEKSAND</t>
        </is>
      </c>
      <c r="G167" t="n">
        <v>0.4</v>
      </c>
      <c r="H167" t="n">
        <v>0</v>
      </c>
      <c r="I167" t="n">
        <v>0</v>
      </c>
      <c r="J167" t="n">
        <v>0</v>
      </c>
      <c r="K167" t="n">
        <v>0</v>
      </c>
      <c r="L167" t="n">
        <v>0</v>
      </c>
      <c r="M167" t="n">
        <v>0</v>
      </c>
      <c r="N167" t="n">
        <v>0</v>
      </c>
      <c r="O167" t="n">
        <v>0</v>
      </c>
      <c r="P167" t="n">
        <v>0</v>
      </c>
      <c r="Q167" t="n">
        <v>0</v>
      </c>
      <c r="R167" s="2" t="inlineStr"/>
    </row>
    <row r="168" ht="15" customHeight="1">
      <c r="A168" t="inlineStr">
        <is>
          <t>A 45512-2023</t>
        </is>
      </c>
      <c r="B168" s="1" t="n">
        <v>45194.49178240741</v>
      </c>
      <c r="C168" s="1" t="n">
        <v>45940</v>
      </c>
      <c r="D168" t="inlineStr">
        <is>
          <t>DALARNAS LÄN</t>
        </is>
      </c>
      <c r="E168" t="inlineStr">
        <is>
          <t>LEKSAND</t>
        </is>
      </c>
      <c r="F168" t="inlineStr">
        <is>
          <t>Bergvik skog väst AB</t>
        </is>
      </c>
      <c r="G168" t="n">
        <v>3.4</v>
      </c>
      <c r="H168" t="n">
        <v>0</v>
      </c>
      <c r="I168" t="n">
        <v>0</v>
      </c>
      <c r="J168" t="n">
        <v>0</v>
      </c>
      <c r="K168" t="n">
        <v>0</v>
      </c>
      <c r="L168" t="n">
        <v>0</v>
      </c>
      <c r="M168" t="n">
        <v>0</v>
      </c>
      <c r="N168" t="n">
        <v>0</v>
      </c>
      <c r="O168" t="n">
        <v>0</v>
      </c>
      <c r="P168" t="n">
        <v>0</v>
      </c>
      <c r="Q168" t="n">
        <v>0</v>
      </c>
      <c r="R168" s="2" t="inlineStr"/>
    </row>
    <row r="169" ht="15" customHeight="1">
      <c r="A169" t="inlineStr">
        <is>
          <t>A 40627-2023</t>
        </is>
      </c>
      <c r="B169" s="1" t="n">
        <v>45170</v>
      </c>
      <c r="C169" s="1" t="n">
        <v>45940</v>
      </c>
      <c r="D169" t="inlineStr">
        <is>
          <t>DALARNAS LÄN</t>
        </is>
      </c>
      <c r="E169" t="inlineStr">
        <is>
          <t>LEKSAND</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21600-2025</t>
        </is>
      </c>
      <c r="B170" s="1" t="n">
        <v>45783.3521875</v>
      </c>
      <c r="C170" s="1" t="n">
        <v>45940</v>
      </c>
      <c r="D170" t="inlineStr">
        <is>
          <t>DALARNAS LÄN</t>
        </is>
      </c>
      <c r="E170" t="inlineStr">
        <is>
          <t>LEKSAND</t>
        </is>
      </c>
      <c r="G170" t="n">
        <v>7.7</v>
      </c>
      <c r="H170" t="n">
        <v>0</v>
      </c>
      <c r="I170" t="n">
        <v>0</v>
      </c>
      <c r="J170" t="n">
        <v>0</v>
      </c>
      <c r="K170" t="n">
        <v>0</v>
      </c>
      <c r="L170" t="n">
        <v>0</v>
      </c>
      <c r="M170" t="n">
        <v>0</v>
      </c>
      <c r="N170" t="n">
        <v>0</v>
      </c>
      <c r="O170" t="n">
        <v>0</v>
      </c>
      <c r="P170" t="n">
        <v>0</v>
      </c>
      <c r="Q170" t="n">
        <v>0</v>
      </c>
      <c r="R170" s="2" t="inlineStr"/>
    </row>
    <row r="171" ht="15" customHeight="1">
      <c r="A171" t="inlineStr">
        <is>
          <t>A 11872-2024</t>
        </is>
      </c>
      <c r="B171" s="1" t="n">
        <v>45376.46833333333</v>
      </c>
      <c r="C171" s="1" t="n">
        <v>45940</v>
      </c>
      <c r="D171" t="inlineStr">
        <is>
          <t>DALARNAS LÄN</t>
        </is>
      </c>
      <c r="E171" t="inlineStr">
        <is>
          <t>LEKSAND</t>
        </is>
      </c>
      <c r="G171" t="n">
        <v>3.1</v>
      </c>
      <c r="H171" t="n">
        <v>0</v>
      </c>
      <c r="I171" t="n">
        <v>0</v>
      </c>
      <c r="J171" t="n">
        <v>0</v>
      </c>
      <c r="K171" t="n">
        <v>0</v>
      </c>
      <c r="L171" t="n">
        <v>0</v>
      </c>
      <c r="M171" t="n">
        <v>0</v>
      </c>
      <c r="N171" t="n">
        <v>0</v>
      </c>
      <c r="O171" t="n">
        <v>0</v>
      </c>
      <c r="P171" t="n">
        <v>0</v>
      </c>
      <c r="Q171" t="n">
        <v>0</v>
      </c>
      <c r="R171" s="2" t="inlineStr"/>
    </row>
    <row r="172" ht="15" customHeight="1">
      <c r="A172" t="inlineStr">
        <is>
          <t>A 21457-2025</t>
        </is>
      </c>
      <c r="B172" s="1" t="n">
        <v>45782.55451388889</v>
      </c>
      <c r="C172" s="1" t="n">
        <v>45940</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60024-2023</t>
        </is>
      </c>
      <c r="B173" s="1" t="n">
        <v>45258</v>
      </c>
      <c r="C173" s="1" t="n">
        <v>45940</v>
      </c>
      <c r="D173" t="inlineStr">
        <is>
          <t>DALARNAS LÄN</t>
        </is>
      </c>
      <c r="E173" t="inlineStr">
        <is>
          <t>LEKSAND</t>
        </is>
      </c>
      <c r="G173" t="n">
        <v>4.2</v>
      </c>
      <c r="H173" t="n">
        <v>0</v>
      </c>
      <c r="I173" t="n">
        <v>0</v>
      </c>
      <c r="J173" t="n">
        <v>0</v>
      </c>
      <c r="K173" t="n">
        <v>0</v>
      </c>
      <c r="L173" t="n">
        <v>0</v>
      </c>
      <c r="M173" t="n">
        <v>0</v>
      </c>
      <c r="N173" t="n">
        <v>0</v>
      </c>
      <c r="O173" t="n">
        <v>0</v>
      </c>
      <c r="P173" t="n">
        <v>0</v>
      </c>
      <c r="Q173" t="n">
        <v>0</v>
      </c>
      <c r="R173" s="2" t="inlineStr"/>
    </row>
    <row r="174" ht="15" customHeight="1">
      <c r="A174" t="inlineStr">
        <is>
          <t>A 56941-2024</t>
        </is>
      </c>
      <c r="B174" s="1" t="n">
        <v>45625</v>
      </c>
      <c r="C174" s="1" t="n">
        <v>45940</v>
      </c>
      <c r="D174" t="inlineStr">
        <is>
          <t>DALARNAS LÄN</t>
        </is>
      </c>
      <c r="E174" t="inlineStr">
        <is>
          <t>LEKSAND</t>
        </is>
      </c>
      <c r="G174" t="n">
        <v>1.8</v>
      </c>
      <c r="H174" t="n">
        <v>0</v>
      </c>
      <c r="I174" t="n">
        <v>0</v>
      </c>
      <c r="J174" t="n">
        <v>0</v>
      </c>
      <c r="K174" t="n">
        <v>0</v>
      </c>
      <c r="L174" t="n">
        <v>0</v>
      </c>
      <c r="M174" t="n">
        <v>0</v>
      </c>
      <c r="N174" t="n">
        <v>0</v>
      </c>
      <c r="O174" t="n">
        <v>0</v>
      </c>
      <c r="P174" t="n">
        <v>0</v>
      </c>
      <c r="Q174" t="n">
        <v>0</v>
      </c>
      <c r="R174" s="2" t="inlineStr"/>
    </row>
    <row r="175" ht="15" customHeight="1">
      <c r="A175" t="inlineStr">
        <is>
          <t>A 16051-2023</t>
        </is>
      </c>
      <c r="B175" s="1" t="n">
        <v>45027</v>
      </c>
      <c r="C175" s="1" t="n">
        <v>45940</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63514-2023</t>
        </is>
      </c>
      <c r="B176" s="1" t="n">
        <v>45274</v>
      </c>
      <c r="C176" s="1" t="n">
        <v>45940</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45940</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19330-2025</t>
        </is>
      </c>
      <c r="B178" s="1" t="n">
        <v>45769</v>
      </c>
      <c r="C178" s="1" t="n">
        <v>45940</v>
      </c>
      <c r="D178" t="inlineStr">
        <is>
          <t>DALARNAS LÄN</t>
        </is>
      </c>
      <c r="E178" t="inlineStr">
        <is>
          <t>LEKSAND</t>
        </is>
      </c>
      <c r="G178" t="n">
        <v>1.6</v>
      </c>
      <c r="H178" t="n">
        <v>0</v>
      </c>
      <c r="I178" t="n">
        <v>0</v>
      </c>
      <c r="J178" t="n">
        <v>0</v>
      </c>
      <c r="K178" t="n">
        <v>0</v>
      </c>
      <c r="L178" t="n">
        <v>0</v>
      </c>
      <c r="M178" t="n">
        <v>0</v>
      </c>
      <c r="N178" t="n">
        <v>0</v>
      </c>
      <c r="O178" t="n">
        <v>0</v>
      </c>
      <c r="P178" t="n">
        <v>0</v>
      </c>
      <c r="Q178" t="n">
        <v>0</v>
      </c>
      <c r="R178" s="2" t="inlineStr"/>
    </row>
    <row r="179" ht="15" customHeight="1">
      <c r="A179" t="inlineStr">
        <is>
          <t>A 28592-2023</t>
        </is>
      </c>
      <c r="B179" s="1" t="n">
        <v>45103</v>
      </c>
      <c r="C179" s="1" t="n">
        <v>45940</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59826-2023</t>
        </is>
      </c>
      <c r="B180" s="1" t="n">
        <v>45254</v>
      </c>
      <c r="C180" s="1" t="n">
        <v>45940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28913-2024</t>
        </is>
      </c>
      <c r="B181" s="1" t="n">
        <v>45480.75318287037</v>
      </c>
      <c r="C181" s="1" t="n">
        <v>45940</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46446-2023</t>
        </is>
      </c>
      <c r="B182" s="1" t="n">
        <v>45197.59344907408</v>
      </c>
      <c r="C182" s="1" t="n">
        <v>45940</v>
      </c>
      <c r="D182" t="inlineStr">
        <is>
          <t>DALARNAS LÄN</t>
        </is>
      </c>
      <c r="E182" t="inlineStr">
        <is>
          <t>LEKSAND</t>
        </is>
      </c>
      <c r="G182" t="n">
        <v>1</v>
      </c>
      <c r="H182" t="n">
        <v>0</v>
      </c>
      <c r="I182" t="n">
        <v>0</v>
      </c>
      <c r="J182" t="n">
        <v>0</v>
      </c>
      <c r="K182" t="n">
        <v>0</v>
      </c>
      <c r="L182" t="n">
        <v>0</v>
      </c>
      <c r="M182" t="n">
        <v>0</v>
      </c>
      <c r="N182" t="n">
        <v>0</v>
      </c>
      <c r="O182" t="n">
        <v>0</v>
      </c>
      <c r="P182" t="n">
        <v>0</v>
      </c>
      <c r="Q182" t="n">
        <v>0</v>
      </c>
      <c r="R182" s="2" t="inlineStr"/>
    </row>
    <row r="183" ht="15" customHeight="1">
      <c r="A183" t="inlineStr">
        <is>
          <t>A 52100-2024</t>
        </is>
      </c>
      <c r="B183" s="1" t="n">
        <v>45608.41634259259</v>
      </c>
      <c r="C183" s="1" t="n">
        <v>45940</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53981-2024</t>
        </is>
      </c>
      <c r="B184" s="1" t="n">
        <v>45615</v>
      </c>
      <c r="C184" s="1" t="n">
        <v>45940</v>
      </c>
      <c r="D184" t="inlineStr">
        <is>
          <t>DALARNAS LÄN</t>
        </is>
      </c>
      <c r="E184" t="inlineStr">
        <is>
          <t>LEKSAND</t>
        </is>
      </c>
      <c r="G184" t="n">
        <v>5.4</v>
      </c>
      <c r="H184" t="n">
        <v>0</v>
      </c>
      <c r="I184" t="n">
        <v>0</v>
      </c>
      <c r="J184" t="n">
        <v>0</v>
      </c>
      <c r="K184" t="n">
        <v>0</v>
      </c>
      <c r="L184" t="n">
        <v>0</v>
      </c>
      <c r="M184" t="n">
        <v>0</v>
      </c>
      <c r="N184" t="n">
        <v>0</v>
      </c>
      <c r="O184" t="n">
        <v>0</v>
      </c>
      <c r="P184" t="n">
        <v>0</v>
      </c>
      <c r="Q184" t="n">
        <v>0</v>
      </c>
      <c r="R184" s="2" t="inlineStr"/>
    </row>
    <row r="185" ht="15" customHeight="1">
      <c r="A185" t="inlineStr">
        <is>
          <t>A 14617-2024</t>
        </is>
      </c>
      <c r="B185" s="1" t="n">
        <v>45397</v>
      </c>
      <c r="C185" s="1" t="n">
        <v>45940</v>
      </c>
      <c r="D185" t="inlineStr">
        <is>
          <t>DALARNAS LÄN</t>
        </is>
      </c>
      <c r="E185" t="inlineStr">
        <is>
          <t>LEKSAND</t>
        </is>
      </c>
      <c r="G185" t="n">
        <v>0.2</v>
      </c>
      <c r="H185" t="n">
        <v>0</v>
      </c>
      <c r="I185" t="n">
        <v>0</v>
      </c>
      <c r="J185" t="n">
        <v>0</v>
      </c>
      <c r="K185" t="n">
        <v>0</v>
      </c>
      <c r="L185" t="n">
        <v>0</v>
      </c>
      <c r="M185" t="n">
        <v>0</v>
      </c>
      <c r="N185" t="n">
        <v>0</v>
      </c>
      <c r="O185" t="n">
        <v>0</v>
      </c>
      <c r="P185" t="n">
        <v>0</v>
      </c>
      <c r="Q185" t="n">
        <v>0</v>
      </c>
      <c r="R185" s="2" t="inlineStr"/>
    </row>
    <row r="186" ht="15" customHeight="1">
      <c r="A186" t="inlineStr">
        <is>
          <t>A 34033-2024</t>
        </is>
      </c>
      <c r="B186" s="1" t="n">
        <v>45523.59265046296</v>
      </c>
      <c r="C186" s="1" t="n">
        <v>45940</v>
      </c>
      <c r="D186" t="inlineStr">
        <is>
          <t>DALARNAS LÄN</t>
        </is>
      </c>
      <c r="E186" t="inlineStr">
        <is>
          <t>LEKSAND</t>
        </is>
      </c>
      <c r="G186" t="n">
        <v>2.6</v>
      </c>
      <c r="H186" t="n">
        <v>0</v>
      </c>
      <c r="I186" t="n">
        <v>0</v>
      </c>
      <c r="J186" t="n">
        <v>0</v>
      </c>
      <c r="K186" t="n">
        <v>0</v>
      </c>
      <c r="L186" t="n">
        <v>0</v>
      </c>
      <c r="M186" t="n">
        <v>0</v>
      </c>
      <c r="N186" t="n">
        <v>0</v>
      </c>
      <c r="O186" t="n">
        <v>0</v>
      </c>
      <c r="P186" t="n">
        <v>0</v>
      </c>
      <c r="Q186" t="n">
        <v>0</v>
      </c>
      <c r="R186" s="2" t="inlineStr"/>
    </row>
    <row r="187" ht="15" customHeight="1">
      <c r="A187" t="inlineStr">
        <is>
          <t>A 61554-2024</t>
        </is>
      </c>
      <c r="B187" s="1" t="n">
        <v>45646.60748842593</v>
      </c>
      <c r="C187" s="1" t="n">
        <v>45940</v>
      </c>
      <c r="D187" t="inlineStr">
        <is>
          <t>DALARNAS LÄN</t>
        </is>
      </c>
      <c r="E187" t="inlineStr">
        <is>
          <t>LEKSAND</t>
        </is>
      </c>
      <c r="G187" t="n">
        <v>2.6</v>
      </c>
      <c r="H187" t="n">
        <v>0</v>
      </c>
      <c r="I187" t="n">
        <v>0</v>
      </c>
      <c r="J187" t="n">
        <v>0</v>
      </c>
      <c r="K187" t="n">
        <v>0</v>
      </c>
      <c r="L187" t="n">
        <v>0</v>
      </c>
      <c r="M187" t="n">
        <v>0</v>
      </c>
      <c r="N187" t="n">
        <v>0</v>
      </c>
      <c r="O187" t="n">
        <v>0</v>
      </c>
      <c r="P187" t="n">
        <v>0</v>
      </c>
      <c r="Q187" t="n">
        <v>0</v>
      </c>
      <c r="R187" s="2" t="inlineStr"/>
    </row>
    <row r="188" ht="15" customHeight="1">
      <c r="A188" t="inlineStr">
        <is>
          <t>A 60945-2024</t>
        </is>
      </c>
      <c r="B188" s="1" t="n">
        <v>45645.37893518519</v>
      </c>
      <c r="C188" s="1" t="n">
        <v>45940</v>
      </c>
      <c r="D188" t="inlineStr">
        <is>
          <t>DALARNAS LÄN</t>
        </is>
      </c>
      <c r="E188" t="inlineStr">
        <is>
          <t>LEKSAND</t>
        </is>
      </c>
      <c r="G188" t="n">
        <v>2.2</v>
      </c>
      <c r="H188" t="n">
        <v>0</v>
      </c>
      <c r="I188" t="n">
        <v>0</v>
      </c>
      <c r="J188" t="n">
        <v>0</v>
      </c>
      <c r="K188" t="n">
        <v>0</v>
      </c>
      <c r="L188" t="n">
        <v>0</v>
      </c>
      <c r="M188" t="n">
        <v>0</v>
      </c>
      <c r="N188" t="n">
        <v>0</v>
      </c>
      <c r="O188" t="n">
        <v>0</v>
      </c>
      <c r="P188" t="n">
        <v>0</v>
      </c>
      <c r="Q188" t="n">
        <v>0</v>
      </c>
      <c r="R188" s="2" t="inlineStr"/>
    </row>
    <row r="189" ht="15" customHeight="1">
      <c r="A189" t="inlineStr">
        <is>
          <t>A 60692-2023</t>
        </is>
      </c>
      <c r="B189" s="1" t="n">
        <v>45260.50008101852</v>
      </c>
      <c r="C189" s="1" t="n">
        <v>45940</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7467-2023</t>
        </is>
      </c>
      <c r="B190" s="1" t="n">
        <v>44966</v>
      </c>
      <c r="C190" s="1" t="n">
        <v>45940</v>
      </c>
      <c r="D190" t="inlineStr">
        <is>
          <t>DALARNAS LÄN</t>
        </is>
      </c>
      <c r="E190" t="inlineStr">
        <is>
          <t>LEKSAND</t>
        </is>
      </c>
      <c r="G190" t="n">
        <v>2.4</v>
      </c>
      <c r="H190" t="n">
        <v>0</v>
      </c>
      <c r="I190" t="n">
        <v>0</v>
      </c>
      <c r="J190" t="n">
        <v>0</v>
      </c>
      <c r="K190" t="n">
        <v>0</v>
      </c>
      <c r="L190" t="n">
        <v>0</v>
      </c>
      <c r="M190" t="n">
        <v>0</v>
      </c>
      <c r="N190" t="n">
        <v>0</v>
      </c>
      <c r="O190" t="n">
        <v>0</v>
      </c>
      <c r="P190" t="n">
        <v>0</v>
      </c>
      <c r="Q190" t="n">
        <v>0</v>
      </c>
      <c r="R190" s="2" t="inlineStr"/>
    </row>
    <row r="191" ht="15" customHeight="1">
      <c r="A191" t="inlineStr">
        <is>
          <t>A 18484-2024</t>
        </is>
      </c>
      <c r="B191" s="1" t="n">
        <v>45425.52559027778</v>
      </c>
      <c r="C191" s="1" t="n">
        <v>45940</v>
      </c>
      <c r="D191" t="inlineStr">
        <is>
          <t>DALARNAS LÄN</t>
        </is>
      </c>
      <c r="E191" t="inlineStr">
        <is>
          <t>LEKSAND</t>
        </is>
      </c>
      <c r="G191" t="n">
        <v>2</v>
      </c>
      <c r="H191" t="n">
        <v>0</v>
      </c>
      <c r="I191" t="n">
        <v>0</v>
      </c>
      <c r="J191" t="n">
        <v>0</v>
      </c>
      <c r="K191" t="n">
        <v>0</v>
      </c>
      <c r="L191" t="n">
        <v>0</v>
      </c>
      <c r="M191" t="n">
        <v>0</v>
      </c>
      <c r="N191" t="n">
        <v>0</v>
      </c>
      <c r="O191" t="n">
        <v>0</v>
      </c>
      <c r="P191" t="n">
        <v>0</v>
      </c>
      <c r="Q191" t="n">
        <v>0</v>
      </c>
      <c r="R191" s="2" t="inlineStr"/>
    </row>
    <row r="192" ht="15" customHeight="1">
      <c r="A192" t="inlineStr">
        <is>
          <t>A 22080-2025</t>
        </is>
      </c>
      <c r="B192" s="1" t="n">
        <v>45785</v>
      </c>
      <c r="C192" s="1" t="n">
        <v>45940</v>
      </c>
      <c r="D192" t="inlineStr">
        <is>
          <t>DALARNAS LÄN</t>
        </is>
      </c>
      <c r="E192" t="inlineStr">
        <is>
          <t>LEKSAND</t>
        </is>
      </c>
      <c r="G192" t="n">
        <v>7</v>
      </c>
      <c r="H192" t="n">
        <v>0</v>
      </c>
      <c r="I192" t="n">
        <v>0</v>
      </c>
      <c r="J192" t="n">
        <v>0</v>
      </c>
      <c r="K192" t="n">
        <v>0</v>
      </c>
      <c r="L192" t="n">
        <v>0</v>
      </c>
      <c r="M192" t="n">
        <v>0</v>
      </c>
      <c r="N192" t="n">
        <v>0</v>
      </c>
      <c r="O192" t="n">
        <v>0</v>
      </c>
      <c r="P192" t="n">
        <v>0</v>
      </c>
      <c r="Q192" t="n">
        <v>0</v>
      </c>
      <c r="R192" s="2" t="inlineStr"/>
    </row>
    <row r="193" ht="15" customHeight="1">
      <c r="A193" t="inlineStr">
        <is>
          <t>A 11418-2023</t>
        </is>
      </c>
      <c r="B193" s="1" t="n">
        <v>44993</v>
      </c>
      <c r="C193" s="1" t="n">
        <v>45940</v>
      </c>
      <c r="D193" t="inlineStr">
        <is>
          <t>DALARNAS LÄN</t>
        </is>
      </c>
      <c r="E193" t="inlineStr">
        <is>
          <t>LEKSAND</t>
        </is>
      </c>
      <c r="G193" t="n">
        <v>2.7</v>
      </c>
      <c r="H193" t="n">
        <v>0</v>
      </c>
      <c r="I193" t="n">
        <v>0</v>
      </c>
      <c r="J193" t="n">
        <v>0</v>
      </c>
      <c r="K193" t="n">
        <v>0</v>
      </c>
      <c r="L193" t="n">
        <v>0</v>
      </c>
      <c r="M193" t="n">
        <v>0</v>
      </c>
      <c r="N193" t="n">
        <v>0</v>
      </c>
      <c r="O193" t="n">
        <v>0</v>
      </c>
      <c r="P193" t="n">
        <v>0</v>
      </c>
      <c r="Q193" t="n">
        <v>0</v>
      </c>
      <c r="R193" s="2" t="inlineStr"/>
    </row>
    <row r="194" ht="15" customHeight="1">
      <c r="A194" t="inlineStr">
        <is>
          <t>A 44491-2023</t>
        </is>
      </c>
      <c r="B194" s="1" t="n">
        <v>45183</v>
      </c>
      <c r="C194" s="1" t="n">
        <v>45940</v>
      </c>
      <c r="D194" t="inlineStr">
        <is>
          <t>DALARNAS LÄN</t>
        </is>
      </c>
      <c r="E194" t="inlineStr">
        <is>
          <t>LEKSAND</t>
        </is>
      </c>
      <c r="G194" t="n">
        <v>2.6</v>
      </c>
      <c r="H194" t="n">
        <v>0</v>
      </c>
      <c r="I194" t="n">
        <v>0</v>
      </c>
      <c r="J194" t="n">
        <v>0</v>
      </c>
      <c r="K194" t="n">
        <v>0</v>
      </c>
      <c r="L194" t="n">
        <v>0</v>
      </c>
      <c r="M194" t="n">
        <v>0</v>
      </c>
      <c r="N194" t="n">
        <v>0</v>
      </c>
      <c r="O194" t="n">
        <v>0</v>
      </c>
      <c r="P194" t="n">
        <v>0</v>
      </c>
      <c r="Q194" t="n">
        <v>0</v>
      </c>
      <c r="R194" s="2" t="inlineStr"/>
    </row>
    <row r="195" ht="15" customHeight="1">
      <c r="A195" t="inlineStr">
        <is>
          <t>A 40407-2024</t>
        </is>
      </c>
      <c r="B195" s="1" t="n">
        <v>45555</v>
      </c>
      <c r="C195" s="1" t="n">
        <v>45940</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33180-2024</t>
        </is>
      </c>
      <c r="B196" s="1" t="n">
        <v>45518.44481481481</v>
      </c>
      <c r="C196" s="1" t="n">
        <v>45940</v>
      </c>
      <c r="D196" t="inlineStr">
        <is>
          <t>DALARNAS LÄN</t>
        </is>
      </c>
      <c r="E196" t="inlineStr">
        <is>
          <t>LEKSAND</t>
        </is>
      </c>
      <c r="G196" t="n">
        <v>7.6</v>
      </c>
      <c r="H196" t="n">
        <v>0</v>
      </c>
      <c r="I196" t="n">
        <v>0</v>
      </c>
      <c r="J196" t="n">
        <v>0</v>
      </c>
      <c r="K196" t="n">
        <v>0</v>
      </c>
      <c r="L196" t="n">
        <v>0</v>
      </c>
      <c r="M196" t="n">
        <v>0</v>
      </c>
      <c r="N196" t="n">
        <v>0</v>
      </c>
      <c r="O196" t="n">
        <v>0</v>
      </c>
      <c r="P196" t="n">
        <v>0</v>
      </c>
      <c r="Q196" t="n">
        <v>0</v>
      </c>
      <c r="R196" s="2" t="inlineStr"/>
    </row>
    <row r="197" ht="15" customHeight="1">
      <c r="A197" t="inlineStr">
        <is>
          <t>A 70099-2021</t>
        </is>
      </c>
      <c r="B197" s="1" t="n">
        <v>44533</v>
      </c>
      <c r="C197" s="1" t="n">
        <v>45940</v>
      </c>
      <c r="D197" t="inlineStr">
        <is>
          <t>DALARNAS LÄN</t>
        </is>
      </c>
      <c r="E197" t="inlineStr">
        <is>
          <t>LEKSAND</t>
        </is>
      </c>
      <c r="G197" t="n">
        <v>2.8</v>
      </c>
      <c r="H197" t="n">
        <v>0</v>
      </c>
      <c r="I197" t="n">
        <v>0</v>
      </c>
      <c r="J197" t="n">
        <v>0</v>
      </c>
      <c r="K197" t="n">
        <v>0</v>
      </c>
      <c r="L197" t="n">
        <v>0</v>
      </c>
      <c r="M197" t="n">
        <v>0</v>
      </c>
      <c r="N197" t="n">
        <v>0</v>
      </c>
      <c r="O197" t="n">
        <v>0</v>
      </c>
      <c r="P197" t="n">
        <v>0</v>
      </c>
      <c r="Q197" t="n">
        <v>0</v>
      </c>
      <c r="R197" s="2" t="inlineStr"/>
    </row>
    <row r="198" ht="15" customHeight="1">
      <c r="A198" t="inlineStr">
        <is>
          <t>A 21916-2025</t>
        </is>
      </c>
      <c r="B198" s="1" t="n">
        <v>45784.50115740741</v>
      </c>
      <c r="C198" s="1" t="n">
        <v>45940</v>
      </c>
      <c r="D198" t="inlineStr">
        <is>
          <t>DALARNAS LÄN</t>
        </is>
      </c>
      <c r="E198" t="inlineStr">
        <is>
          <t>LEKSAND</t>
        </is>
      </c>
      <c r="G198" t="n">
        <v>2.6</v>
      </c>
      <c r="H198" t="n">
        <v>0</v>
      </c>
      <c r="I198" t="n">
        <v>0</v>
      </c>
      <c r="J198" t="n">
        <v>0</v>
      </c>
      <c r="K198" t="n">
        <v>0</v>
      </c>
      <c r="L198" t="n">
        <v>0</v>
      </c>
      <c r="M198" t="n">
        <v>0</v>
      </c>
      <c r="N198" t="n">
        <v>0</v>
      </c>
      <c r="O198" t="n">
        <v>0</v>
      </c>
      <c r="P198" t="n">
        <v>0</v>
      </c>
      <c r="Q198" t="n">
        <v>0</v>
      </c>
      <c r="R198" s="2" t="inlineStr"/>
    </row>
    <row r="199" ht="15" customHeight="1">
      <c r="A199" t="inlineStr">
        <is>
          <t>A 62307-2023</t>
        </is>
      </c>
      <c r="B199" s="1" t="n">
        <v>45266</v>
      </c>
      <c r="C199" s="1" t="n">
        <v>45940</v>
      </c>
      <c r="D199" t="inlineStr">
        <is>
          <t>DALARNAS LÄN</t>
        </is>
      </c>
      <c r="E199" t="inlineStr">
        <is>
          <t>LEKSAND</t>
        </is>
      </c>
      <c r="G199" t="n">
        <v>3.9</v>
      </c>
      <c r="H199" t="n">
        <v>0</v>
      </c>
      <c r="I199" t="n">
        <v>0</v>
      </c>
      <c r="J199" t="n">
        <v>0</v>
      </c>
      <c r="K199" t="n">
        <v>0</v>
      </c>
      <c r="L199" t="n">
        <v>0</v>
      </c>
      <c r="M199" t="n">
        <v>0</v>
      </c>
      <c r="N199" t="n">
        <v>0</v>
      </c>
      <c r="O199" t="n">
        <v>0</v>
      </c>
      <c r="P199" t="n">
        <v>0</v>
      </c>
      <c r="Q199" t="n">
        <v>0</v>
      </c>
      <c r="R199" s="2" t="inlineStr"/>
    </row>
    <row r="200" ht="15" customHeight="1">
      <c r="A200" t="inlineStr">
        <is>
          <t>A 27791-2023</t>
        </is>
      </c>
      <c r="B200" s="1" t="n">
        <v>45098</v>
      </c>
      <c r="C200" s="1" t="n">
        <v>45940</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52801-2023</t>
        </is>
      </c>
      <c r="B201" s="1" t="n">
        <v>45219</v>
      </c>
      <c r="C201" s="1" t="n">
        <v>45940</v>
      </c>
      <c r="D201" t="inlineStr">
        <is>
          <t>DALARNAS LÄN</t>
        </is>
      </c>
      <c r="E201" t="inlineStr">
        <is>
          <t>LEKSAND</t>
        </is>
      </c>
      <c r="G201" t="n">
        <v>4.9</v>
      </c>
      <c r="H201" t="n">
        <v>0</v>
      </c>
      <c r="I201" t="n">
        <v>0</v>
      </c>
      <c r="J201" t="n">
        <v>0</v>
      </c>
      <c r="K201" t="n">
        <v>0</v>
      </c>
      <c r="L201" t="n">
        <v>0</v>
      </c>
      <c r="M201" t="n">
        <v>0</v>
      </c>
      <c r="N201" t="n">
        <v>0</v>
      </c>
      <c r="O201" t="n">
        <v>0</v>
      </c>
      <c r="P201" t="n">
        <v>0</v>
      </c>
      <c r="Q201" t="n">
        <v>0</v>
      </c>
      <c r="R201" s="2" t="inlineStr"/>
    </row>
    <row r="202" ht="15" customHeight="1">
      <c r="A202" t="inlineStr">
        <is>
          <t>A 9781-2024</t>
        </is>
      </c>
      <c r="B202" s="1" t="n">
        <v>45362.66299768518</v>
      </c>
      <c r="C202" s="1" t="n">
        <v>45940</v>
      </c>
      <c r="D202" t="inlineStr">
        <is>
          <t>DALARNAS LÄN</t>
        </is>
      </c>
      <c r="E202" t="inlineStr">
        <is>
          <t>LEKSAND</t>
        </is>
      </c>
      <c r="G202" t="n">
        <v>1.1</v>
      </c>
      <c r="H202" t="n">
        <v>0</v>
      </c>
      <c r="I202" t="n">
        <v>0</v>
      </c>
      <c r="J202" t="n">
        <v>0</v>
      </c>
      <c r="K202" t="n">
        <v>0</v>
      </c>
      <c r="L202" t="n">
        <v>0</v>
      </c>
      <c r="M202" t="n">
        <v>0</v>
      </c>
      <c r="N202" t="n">
        <v>0</v>
      </c>
      <c r="O202" t="n">
        <v>0</v>
      </c>
      <c r="P202" t="n">
        <v>0</v>
      </c>
      <c r="Q202" t="n">
        <v>0</v>
      </c>
      <c r="R202" s="2" t="inlineStr"/>
    </row>
    <row r="203" ht="15" customHeight="1">
      <c r="A203" t="inlineStr">
        <is>
          <t>A 14967-2023</t>
        </is>
      </c>
      <c r="B203" s="1" t="n">
        <v>45015</v>
      </c>
      <c r="C203" s="1" t="n">
        <v>45940</v>
      </c>
      <c r="D203" t="inlineStr">
        <is>
          <t>DALARNAS LÄN</t>
        </is>
      </c>
      <c r="E203" t="inlineStr">
        <is>
          <t>LEKSAND</t>
        </is>
      </c>
      <c r="G203" t="n">
        <v>1.4</v>
      </c>
      <c r="H203" t="n">
        <v>0</v>
      </c>
      <c r="I203" t="n">
        <v>0</v>
      </c>
      <c r="J203" t="n">
        <v>0</v>
      </c>
      <c r="K203" t="n">
        <v>0</v>
      </c>
      <c r="L203" t="n">
        <v>0</v>
      </c>
      <c r="M203" t="n">
        <v>0</v>
      </c>
      <c r="N203" t="n">
        <v>0</v>
      </c>
      <c r="O203" t="n">
        <v>0</v>
      </c>
      <c r="P203" t="n">
        <v>0</v>
      </c>
      <c r="Q203" t="n">
        <v>0</v>
      </c>
      <c r="R203" s="2" t="inlineStr"/>
    </row>
    <row r="204" ht="15" customHeight="1">
      <c r="A204" t="inlineStr">
        <is>
          <t>A 71817-2021</t>
        </is>
      </c>
      <c r="B204" s="1" t="n">
        <v>44543.59780092593</v>
      </c>
      <c r="C204" s="1" t="n">
        <v>45940</v>
      </c>
      <c r="D204" t="inlineStr">
        <is>
          <t>DALARNAS LÄN</t>
        </is>
      </c>
      <c r="E204" t="inlineStr">
        <is>
          <t>LEKSAND</t>
        </is>
      </c>
      <c r="F204" t="inlineStr">
        <is>
          <t>Bergvik skog väst AB</t>
        </is>
      </c>
      <c r="G204" t="n">
        <v>3</v>
      </c>
      <c r="H204" t="n">
        <v>0</v>
      </c>
      <c r="I204" t="n">
        <v>0</v>
      </c>
      <c r="J204" t="n">
        <v>0</v>
      </c>
      <c r="K204" t="n">
        <v>0</v>
      </c>
      <c r="L204" t="n">
        <v>0</v>
      </c>
      <c r="M204" t="n">
        <v>0</v>
      </c>
      <c r="N204" t="n">
        <v>0</v>
      </c>
      <c r="O204" t="n">
        <v>0</v>
      </c>
      <c r="P204" t="n">
        <v>0</v>
      </c>
      <c r="Q204" t="n">
        <v>0</v>
      </c>
      <c r="R204" s="2" t="inlineStr"/>
    </row>
    <row r="205" ht="15" customHeight="1">
      <c r="A205" t="inlineStr">
        <is>
          <t>A 30175-2023</t>
        </is>
      </c>
      <c r="B205" s="1" t="n">
        <v>45110</v>
      </c>
      <c r="C205" s="1" t="n">
        <v>45940</v>
      </c>
      <c r="D205" t="inlineStr">
        <is>
          <t>DALARNAS LÄN</t>
        </is>
      </c>
      <c r="E205" t="inlineStr">
        <is>
          <t>LEKSAND</t>
        </is>
      </c>
      <c r="G205" t="n">
        <v>0.5</v>
      </c>
      <c r="H205" t="n">
        <v>0</v>
      </c>
      <c r="I205" t="n">
        <v>0</v>
      </c>
      <c r="J205" t="n">
        <v>0</v>
      </c>
      <c r="K205" t="n">
        <v>0</v>
      </c>
      <c r="L205" t="n">
        <v>0</v>
      </c>
      <c r="M205" t="n">
        <v>0</v>
      </c>
      <c r="N205" t="n">
        <v>0</v>
      </c>
      <c r="O205" t="n">
        <v>0</v>
      </c>
      <c r="P205" t="n">
        <v>0</v>
      </c>
      <c r="Q205" t="n">
        <v>0</v>
      </c>
      <c r="R205" s="2" t="inlineStr"/>
    </row>
    <row r="206" ht="15" customHeight="1">
      <c r="A206" t="inlineStr">
        <is>
          <t>A 59103-2024</t>
        </is>
      </c>
      <c r="B206" s="1" t="n">
        <v>45637.34184027778</v>
      </c>
      <c r="C206" s="1" t="n">
        <v>45940</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60920-2020</t>
        </is>
      </c>
      <c r="B207" s="1" t="n">
        <v>44153</v>
      </c>
      <c r="C207" s="1" t="n">
        <v>45940</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61614-2023</t>
        </is>
      </c>
      <c r="B208" s="1" t="n">
        <v>45261</v>
      </c>
      <c r="C208" s="1" t="n">
        <v>45940</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7861-2024</t>
        </is>
      </c>
      <c r="B209" s="1" t="n">
        <v>45350.30831018519</v>
      </c>
      <c r="C209" s="1" t="n">
        <v>45940</v>
      </c>
      <c r="D209" t="inlineStr">
        <is>
          <t>DALARNAS LÄN</t>
        </is>
      </c>
      <c r="E209" t="inlineStr">
        <is>
          <t>LEKSAND</t>
        </is>
      </c>
      <c r="G209" t="n">
        <v>1.8</v>
      </c>
      <c r="H209" t="n">
        <v>0</v>
      </c>
      <c r="I209" t="n">
        <v>0</v>
      </c>
      <c r="J209" t="n">
        <v>0</v>
      </c>
      <c r="K209" t="n">
        <v>0</v>
      </c>
      <c r="L209" t="n">
        <v>0</v>
      </c>
      <c r="M209" t="n">
        <v>0</v>
      </c>
      <c r="N209" t="n">
        <v>0</v>
      </c>
      <c r="O209" t="n">
        <v>0</v>
      </c>
      <c r="P209" t="n">
        <v>0</v>
      </c>
      <c r="Q209" t="n">
        <v>0</v>
      </c>
      <c r="R209" s="2" t="inlineStr"/>
    </row>
    <row r="210" ht="15" customHeight="1">
      <c r="A210" t="inlineStr">
        <is>
          <t>A 51857-2022</t>
        </is>
      </c>
      <c r="B210" s="1" t="n">
        <v>44867</v>
      </c>
      <c r="C210" s="1" t="n">
        <v>45940</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36534-2024</t>
        </is>
      </c>
      <c r="B211" s="1" t="n">
        <v>45537.45143518518</v>
      </c>
      <c r="C211" s="1" t="n">
        <v>45940</v>
      </c>
      <c r="D211" t="inlineStr">
        <is>
          <t>DALARNAS LÄN</t>
        </is>
      </c>
      <c r="E211" t="inlineStr">
        <is>
          <t>LEKSAND</t>
        </is>
      </c>
      <c r="G211" t="n">
        <v>4</v>
      </c>
      <c r="H211" t="n">
        <v>0</v>
      </c>
      <c r="I211" t="n">
        <v>0</v>
      </c>
      <c r="J211" t="n">
        <v>0</v>
      </c>
      <c r="K211" t="n">
        <v>0</v>
      </c>
      <c r="L211" t="n">
        <v>0</v>
      </c>
      <c r="M211" t="n">
        <v>0</v>
      </c>
      <c r="N211" t="n">
        <v>0</v>
      </c>
      <c r="O211" t="n">
        <v>0</v>
      </c>
      <c r="P211" t="n">
        <v>0</v>
      </c>
      <c r="Q211" t="n">
        <v>0</v>
      </c>
      <c r="R211" s="2" t="inlineStr"/>
    </row>
    <row r="212" ht="15" customHeight="1">
      <c r="A212" t="inlineStr">
        <is>
          <t>A 11617-2024</t>
        </is>
      </c>
      <c r="B212" s="1" t="n">
        <v>45373.42898148148</v>
      </c>
      <c r="C212" s="1" t="n">
        <v>45940</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14504-2025</t>
        </is>
      </c>
      <c r="B213" s="1" t="n">
        <v>45741</v>
      </c>
      <c r="C213" s="1" t="n">
        <v>45940</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22536-2025</t>
        </is>
      </c>
      <c r="B214" s="1" t="n">
        <v>45787.33037037037</v>
      </c>
      <c r="C214" s="1" t="n">
        <v>45940</v>
      </c>
      <c r="D214" t="inlineStr">
        <is>
          <t>DALARNAS LÄN</t>
        </is>
      </c>
      <c r="E214" t="inlineStr">
        <is>
          <t>LEKSAND</t>
        </is>
      </c>
      <c r="G214" t="n">
        <v>1.8</v>
      </c>
      <c r="H214" t="n">
        <v>0</v>
      </c>
      <c r="I214" t="n">
        <v>0</v>
      </c>
      <c r="J214" t="n">
        <v>0</v>
      </c>
      <c r="K214" t="n">
        <v>0</v>
      </c>
      <c r="L214" t="n">
        <v>0</v>
      </c>
      <c r="M214" t="n">
        <v>0</v>
      </c>
      <c r="N214" t="n">
        <v>0</v>
      </c>
      <c r="O214" t="n">
        <v>0</v>
      </c>
      <c r="P214" t="n">
        <v>0</v>
      </c>
      <c r="Q214" t="n">
        <v>0</v>
      </c>
      <c r="R214" s="2" t="inlineStr"/>
    </row>
    <row r="215" ht="15" customHeight="1">
      <c r="A215" t="inlineStr">
        <is>
          <t>A 38117-2023</t>
        </is>
      </c>
      <c r="B215" s="1" t="n">
        <v>45161</v>
      </c>
      <c r="C215" s="1" t="n">
        <v>45940</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59763-2023</t>
        </is>
      </c>
      <c r="B216" s="1" t="n">
        <v>45257</v>
      </c>
      <c r="C216" s="1" t="n">
        <v>45940</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64516-2023</t>
        </is>
      </c>
      <c r="B217" s="1" t="n">
        <v>45280</v>
      </c>
      <c r="C217" s="1" t="n">
        <v>45940</v>
      </c>
      <c r="D217" t="inlineStr">
        <is>
          <t>DALARNAS LÄN</t>
        </is>
      </c>
      <c r="E217" t="inlineStr">
        <is>
          <t>LEKSAND</t>
        </is>
      </c>
      <c r="G217" t="n">
        <v>4.4</v>
      </c>
      <c r="H217" t="n">
        <v>0</v>
      </c>
      <c r="I217" t="n">
        <v>0</v>
      </c>
      <c r="J217" t="n">
        <v>0</v>
      </c>
      <c r="K217" t="n">
        <v>0</v>
      </c>
      <c r="L217" t="n">
        <v>0</v>
      </c>
      <c r="M217" t="n">
        <v>0</v>
      </c>
      <c r="N217" t="n">
        <v>0</v>
      </c>
      <c r="O217" t="n">
        <v>0</v>
      </c>
      <c r="P217" t="n">
        <v>0</v>
      </c>
      <c r="Q217" t="n">
        <v>0</v>
      </c>
      <c r="R217" s="2" t="inlineStr"/>
    </row>
    <row r="218" ht="15" customHeight="1">
      <c r="A218" t="inlineStr">
        <is>
          <t>A 33674-2023</t>
        </is>
      </c>
      <c r="B218" s="1" t="n">
        <v>45132</v>
      </c>
      <c r="C218" s="1" t="n">
        <v>45940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62306-2023</t>
        </is>
      </c>
      <c r="B219" s="1" t="n">
        <v>45266</v>
      </c>
      <c r="C219" s="1" t="n">
        <v>45940</v>
      </c>
      <c r="D219" t="inlineStr">
        <is>
          <t>DALARNAS LÄN</t>
        </is>
      </c>
      <c r="E219" t="inlineStr">
        <is>
          <t>LEKSAND</t>
        </is>
      </c>
      <c r="G219" t="n">
        <v>1.1</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45940</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60042-2023</t>
        </is>
      </c>
      <c r="B221" s="1" t="n">
        <v>45256</v>
      </c>
      <c r="C221" s="1" t="n">
        <v>45940</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31971-2024</t>
        </is>
      </c>
      <c r="B222" s="1" t="n">
        <v>45510.55171296297</v>
      </c>
      <c r="C222" s="1" t="n">
        <v>45940</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1267-2025</t>
        </is>
      </c>
      <c r="B223" s="1" t="n">
        <v>45667</v>
      </c>
      <c r="C223" s="1" t="n">
        <v>45940</v>
      </c>
      <c r="D223" t="inlineStr">
        <is>
          <t>DALARNAS LÄN</t>
        </is>
      </c>
      <c r="E223" t="inlineStr">
        <is>
          <t>LEKSAND</t>
        </is>
      </c>
      <c r="G223" t="n">
        <v>0.8</v>
      </c>
      <c r="H223" t="n">
        <v>0</v>
      </c>
      <c r="I223" t="n">
        <v>0</v>
      </c>
      <c r="J223" t="n">
        <v>0</v>
      </c>
      <c r="K223" t="n">
        <v>0</v>
      </c>
      <c r="L223" t="n">
        <v>0</v>
      </c>
      <c r="M223" t="n">
        <v>0</v>
      </c>
      <c r="N223" t="n">
        <v>0</v>
      </c>
      <c r="O223" t="n">
        <v>0</v>
      </c>
      <c r="P223" t="n">
        <v>0</v>
      </c>
      <c r="Q223" t="n">
        <v>0</v>
      </c>
      <c r="R223" s="2" t="inlineStr"/>
    </row>
    <row r="224" ht="15" customHeight="1">
      <c r="A224" t="inlineStr">
        <is>
          <t>A 52977-2022</t>
        </is>
      </c>
      <c r="B224" s="1" t="n">
        <v>44875</v>
      </c>
      <c r="C224" s="1" t="n">
        <v>45940</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34244-2024</t>
        </is>
      </c>
      <c r="B225" s="1" t="n">
        <v>45524.58349537037</v>
      </c>
      <c r="C225" s="1" t="n">
        <v>45940</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43221-2024</t>
        </is>
      </c>
      <c r="B226" s="1" t="n">
        <v>45567.86695601852</v>
      </c>
      <c r="C226" s="1" t="n">
        <v>45940</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22388-2024</t>
        </is>
      </c>
      <c r="B227" s="1" t="n">
        <v>45446</v>
      </c>
      <c r="C227" s="1" t="n">
        <v>45940</v>
      </c>
      <c r="D227" t="inlineStr">
        <is>
          <t>DALARNAS LÄN</t>
        </is>
      </c>
      <c r="E227" t="inlineStr">
        <is>
          <t>LEKSAND</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31728-2024</t>
        </is>
      </c>
      <c r="B228" s="1" t="n">
        <v>45509.34517361111</v>
      </c>
      <c r="C228" s="1" t="n">
        <v>45940</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48644-2023</t>
        </is>
      </c>
      <c r="B229" s="1" t="n">
        <v>45208.58997685185</v>
      </c>
      <c r="C229" s="1" t="n">
        <v>45940</v>
      </c>
      <c r="D229" t="inlineStr">
        <is>
          <t>DALARNAS LÄN</t>
        </is>
      </c>
      <c r="E229" t="inlineStr">
        <is>
          <t>LEKSAND</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19700-2025</t>
        </is>
      </c>
      <c r="B230" s="1" t="n">
        <v>45771.32445601852</v>
      </c>
      <c r="C230" s="1" t="n">
        <v>45940</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12582-2025</t>
        </is>
      </c>
      <c r="B231" s="1" t="n">
        <v>45732.62988425926</v>
      </c>
      <c r="C231" s="1" t="n">
        <v>45940</v>
      </c>
      <c r="D231" t="inlineStr">
        <is>
          <t>DALARNAS LÄN</t>
        </is>
      </c>
      <c r="E231" t="inlineStr">
        <is>
          <t>LEKSAND</t>
        </is>
      </c>
      <c r="G231" t="n">
        <v>1.3</v>
      </c>
      <c r="H231" t="n">
        <v>0</v>
      </c>
      <c r="I231" t="n">
        <v>0</v>
      </c>
      <c r="J231" t="n">
        <v>0</v>
      </c>
      <c r="K231" t="n">
        <v>0</v>
      </c>
      <c r="L231" t="n">
        <v>0</v>
      </c>
      <c r="M231" t="n">
        <v>0</v>
      </c>
      <c r="N231" t="n">
        <v>0</v>
      </c>
      <c r="O231" t="n">
        <v>0</v>
      </c>
      <c r="P231" t="n">
        <v>0</v>
      </c>
      <c r="Q231" t="n">
        <v>0</v>
      </c>
      <c r="R231" s="2" t="inlineStr"/>
    </row>
    <row r="232" ht="15" customHeight="1">
      <c r="A232" t="inlineStr">
        <is>
          <t>A 62116-2024</t>
        </is>
      </c>
      <c r="B232" s="1" t="n">
        <v>45646</v>
      </c>
      <c r="C232" s="1" t="n">
        <v>45940</v>
      </c>
      <c r="D232" t="inlineStr">
        <is>
          <t>DALARNAS LÄN</t>
        </is>
      </c>
      <c r="E232" t="inlineStr">
        <is>
          <t>LEKSAND</t>
        </is>
      </c>
      <c r="G232" t="n">
        <v>1.4</v>
      </c>
      <c r="H232" t="n">
        <v>0</v>
      </c>
      <c r="I232" t="n">
        <v>0</v>
      </c>
      <c r="J232" t="n">
        <v>0</v>
      </c>
      <c r="K232" t="n">
        <v>0</v>
      </c>
      <c r="L232" t="n">
        <v>0</v>
      </c>
      <c r="M232" t="n">
        <v>0</v>
      </c>
      <c r="N232" t="n">
        <v>0</v>
      </c>
      <c r="O232" t="n">
        <v>0</v>
      </c>
      <c r="P232" t="n">
        <v>0</v>
      </c>
      <c r="Q232" t="n">
        <v>0</v>
      </c>
      <c r="R232" s="2" t="inlineStr"/>
    </row>
    <row r="233" ht="15" customHeight="1">
      <c r="A233" t="inlineStr">
        <is>
          <t>A 30169-2023</t>
        </is>
      </c>
      <c r="B233" s="1" t="n">
        <v>45110</v>
      </c>
      <c r="C233" s="1" t="n">
        <v>45940</v>
      </c>
      <c r="D233" t="inlineStr">
        <is>
          <t>DALARNAS LÄN</t>
        </is>
      </c>
      <c r="E233" t="inlineStr">
        <is>
          <t>LEKSAND</t>
        </is>
      </c>
      <c r="G233" t="n">
        <v>1.1</v>
      </c>
      <c r="H233" t="n">
        <v>0</v>
      </c>
      <c r="I233" t="n">
        <v>0</v>
      </c>
      <c r="J233" t="n">
        <v>0</v>
      </c>
      <c r="K233" t="n">
        <v>0</v>
      </c>
      <c r="L233" t="n">
        <v>0</v>
      </c>
      <c r="M233" t="n">
        <v>0</v>
      </c>
      <c r="N233" t="n">
        <v>0</v>
      </c>
      <c r="O233" t="n">
        <v>0</v>
      </c>
      <c r="P233" t="n">
        <v>0</v>
      </c>
      <c r="Q233" t="n">
        <v>0</v>
      </c>
      <c r="R233" s="2" t="inlineStr"/>
    </row>
    <row r="234" ht="15" customHeight="1">
      <c r="A234" t="inlineStr">
        <is>
          <t>A 13063-2023</t>
        </is>
      </c>
      <c r="B234" s="1" t="n">
        <v>45001</v>
      </c>
      <c r="C234" s="1" t="n">
        <v>45940</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14943-2023</t>
        </is>
      </c>
      <c r="B235" s="1" t="n">
        <v>45015</v>
      </c>
      <c r="C235" s="1" t="n">
        <v>45940</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57468-2023</t>
        </is>
      </c>
      <c r="B236" s="1" t="n">
        <v>45246</v>
      </c>
      <c r="C236" s="1" t="n">
        <v>45940</v>
      </c>
      <c r="D236" t="inlineStr">
        <is>
          <t>DALARNAS LÄN</t>
        </is>
      </c>
      <c r="E236" t="inlineStr">
        <is>
          <t>LEKSAND</t>
        </is>
      </c>
      <c r="G236" t="n">
        <v>4.6</v>
      </c>
      <c r="H236" t="n">
        <v>0</v>
      </c>
      <c r="I236" t="n">
        <v>0</v>
      </c>
      <c r="J236" t="n">
        <v>0</v>
      </c>
      <c r="K236" t="n">
        <v>0</v>
      </c>
      <c r="L236" t="n">
        <v>0</v>
      </c>
      <c r="M236" t="n">
        <v>0</v>
      </c>
      <c r="N236" t="n">
        <v>0</v>
      </c>
      <c r="O236" t="n">
        <v>0</v>
      </c>
      <c r="P236" t="n">
        <v>0</v>
      </c>
      <c r="Q236" t="n">
        <v>0</v>
      </c>
      <c r="R236" s="2" t="inlineStr"/>
    </row>
    <row r="237" ht="15" customHeight="1">
      <c r="A237" t="inlineStr">
        <is>
          <t>A 325-2023</t>
        </is>
      </c>
      <c r="B237" s="1" t="n">
        <v>44929</v>
      </c>
      <c r="C237" s="1" t="n">
        <v>45940</v>
      </c>
      <c r="D237" t="inlineStr">
        <is>
          <t>DALARNAS LÄN</t>
        </is>
      </c>
      <c r="E237" t="inlineStr">
        <is>
          <t>LEKSAND</t>
        </is>
      </c>
      <c r="F237" t="inlineStr">
        <is>
          <t>Övriga Aktiebolag</t>
        </is>
      </c>
      <c r="G237" t="n">
        <v>7.1</v>
      </c>
      <c r="H237" t="n">
        <v>0</v>
      </c>
      <c r="I237" t="n">
        <v>0</v>
      </c>
      <c r="J237" t="n">
        <v>0</v>
      </c>
      <c r="K237" t="n">
        <v>0</v>
      </c>
      <c r="L237" t="n">
        <v>0</v>
      </c>
      <c r="M237" t="n">
        <v>0</v>
      </c>
      <c r="N237" t="n">
        <v>0</v>
      </c>
      <c r="O237" t="n">
        <v>0</v>
      </c>
      <c r="P237" t="n">
        <v>0</v>
      </c>
      <c r="Q237" t="n">
        <v>0</v>
      </c>
      <c r="R237" s="2" t="inlineStr"/>
    </row>
    <row r="238" ht="15" customHeight="1">
      <c r="A238" t="inlineStr">
        <is>
          <t>A 17589-2025</t>
        </is>
      </c>
      <c r="B238" s="1" t="n">
        <v>45757.67844907408</v>
      </c>
      <c r="C238" s="1" t="n">
        <v>45940</v>
      </c>
      <c r="D238" t="inlineStr">
        <is>
          <t>DALARNAS LÄN</t>
        </is>
      </c>
      <c r="E238" t="inlineStr">
        <is>
          <t>LEKSAND</t>
        </is>
      </c>
      <c r="G238" t="n">
        <v>5.8</v>
      </c>
      <c r="H238" t="n">
        <v>0</v>
      </c>
      <c r="I238" t="n">
        <v>0</v>
      </c>
      <c r="J238" t="n">
        <v>0</v>
      </c>
      <c r="K238" t="n">
        <v>0</v>
      </c>
      <c r="L238" t="n">
        <v>0</v>
      </c>
      <c r="M238" t="n">
        <v>0</v>
      </c>
      <c r="N238" t="n">
        <v>0</v>
      </c>
      <c r="O238" t="n">
        <v>0</v>
      </c>
      <c r="P238" t="n">
        <v>0</v>
      </c>
      <c r="Q238" t="n">
        <v>0</v>
      </c>
      <c r="R238" s="2" t="inlineStr"/>
    </row>
    <row r="239" ht="15" customHeight="1">
      <c r="A239" t="inlineStr">
        <is>
          <t>A 29157-2022</t>
        </is>
      </c>
      <c r="B239" s="1" t="n">
        <v>44750.48355324074</v>
      </c>
      <c r="C239" s="1" t="n">
        <v>45940</v>
      </c>
      <c r="D239" t="inlineStr">
        <is>
          <t>DALARNAS LÄN</t>
        </is>
      </c>
      <c r="E239" t="inlineStr">
        <is>
          <t>LEKSAND</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22876-2025</t>
        </is>
      </c>
      <c r="B240" s="1" t="n">
        <v>45790.3728587963</v>
      </c>
      <c r="C240" s="1" t="n">
        <v>45940</v>
      </c>
      <c r="D240" t="inlineStr">
        <is>
          <t>DALARNAS LÄN</t>
        </is>
      </c>
      <c r="E240" t="inlineStr">
        <is>
          <t>LEKSAND</t>
        </is>
      </c>
      <c r="G240" t="n">
        <v>5.9</v>
      </c>
      <c r="H240" t="n">
        <v>0</v>
      </c>
      <c r="I240" t="n">
        <v>0</v>
      </c>
      <c r="J240" t="n">
        <v>0</v>
      </c>
      <c r="K240" t="n">
        <v>0</v>
      </c>
      <c r="L240" t="n">
        <v>0</v>
      </c>
      <c r="M240" t="n">
        <v>0</v>
      </c>
      <c r="N240" t="n">
        <v>0</v>
      </c>
      <c r="O240" t="n">
        <v>0</v>
      </c>
      <c r="P240" t="n">
        <v>0</v>
      </c>
      <c r="Q240" t="n">
        <v>0</v>
      </c>
      <c r="R240" s="2" t="inlineStr"/>
    </row>
    <row r="241" ht="15" customHeight="1">
      <c r="A241" t="inlineStr">
        <is>
          <t>A 11080-2023</t>
        </is>
      </c>
      <c r="B241" s="1" t="n">
        <v>44992</v>
      </c>
      <c r="C241" s="1" t="n">
        <v>45940</v>
      </c>
      <c r="D241" t="inlineStr">
        <is>
          <t>DALARNAS LÄN</t>
        </is>
      </c>
      <c r="E241" t="inlineStr">
        <is>
          <t>LEKSAND</t>
        </is>
      </c>
      <c r="G241" t="n">
        <v>6.9</v>
      </c>
      <c r="H241" t="n">
        <v>0</v>
      </c>
      <c r="I241" t="n">
        <v>0</v>
      </c>
      <c r="J241" t="n">
        <v>0</v>
      </c>
      <c r="K241" t="n">
        <v>0</v>
      </c>
      <c r="L241" t="n">
        <v>0</v>
      </c>
      <c r="M241" t="n">
        <v>0</v>
      </c>
      <c r="N241" t="n">
        <v>0</v>
      </c>
      <c r="O241" t="n">
        <v>0</v>
      </c>
      <c r="P241" t="n">
        <v>0</v>
      </c>
      <c r="Q241" t="n">
        <v>0</v>
      </c>
      <c r="R241" s="2" t="inlineStr"/>
    </row>
    <row r="242" ht="15" customHeight="1">
      <c r="A242" t="inlineStr">
        <is>
          <t>A 320-2023</t>
        </is>
      </c>
      <c r="B242" s="1" t="n">
        <v>44929</v>
      </c>
      <c r="C242" s="1" t="n">
        <v>45940</v>
      </c>
      <c r="D242" t="inlineStr">
        <is>
          <t>DALARNAS LÄN</t>
        </is>
      </c>
      <c r="E242" t="inlineStr">
        <is>
          <t>LEKSAND</t>
        </is>
      </c>
      <c r="F242" t="inlineStr">
        <is>
          <t>Övriga Aktiebolag</t>
        </is>
      </c>
      <c r="G242" t="n">
        <v>5.4</v>
      </c>
      <c r="H242" t="n">
        <v>0</v>
      </c>
      <c r="I242" t="n">
        <v>0</v>
      </c>
      <c r="J242" t="n">
        <v>0</v>
      </c>
      <c r="K242" t="n">
        <v>0</v>
      </c>
      <c r="L242" t="n">
        <v>0</v>
      </c>
      <c r="M242" t="n">
        <v>0</v>
      </c>
      <c r="N242" t="n">
        <v>0</v>
      </c>
      <c r="O242" t="n">
        <v>0</v>
      </c>
      <c r="P242" t="n">
        <v>0</v>
      </c>
      <c r="Q242" t="n">
        <v>0</v>
      </c>
      <c r="R242" s="2" t="inlineStr"/>
    </row>
    <row r="243" ht="15" customHeight="1">
      <c r="A243" t="inlineStr">
        <is>
          <t>A 49499-2024</t>
        </is>
      </c>
      <c r="B243" s="1" t="n">
        <v>45596</v>
      </c>
      <c r="C243" s="1" t="n">
        <v>45940</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59236-2024</t>
        </is>
      </c>
      <c r="B244" s="1" t="n">
        <v>45637.58795138889</v>
      </c>
      <c r="C244" s="1" t="n">
        <v>45940</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44822-2024</t>
        </is>
      </c>
      <c r="B245" s="1" t="n">
        <v>45574.6646412037</v>
      </c>
      <c r="C245" s="1" t="n">
        <v>45940</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40181-2023</t>
        </is>
      </c>
      <c r="B246" s="1" t="n">
        <v>45169</v>
      </c>
      <c r="C246" s="1" t="n">
        <v>45940</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54289-2023</t>
        </is>
      </c>
      <c r="B247" s="1" t="n">
        <v>45232.71193287037</v>
      </c>
      <c r="C247" s="1" t="n">
        <v>45940</v>
      </c>
      <c r="D247" t="inlineStr">
        <is>
          <t>DALARNAS LÄN</t>
        </is>
      </c>
      <c r="E247" t="inlineStr">
        <is>
          <t>LEKSAND</t>
        </is>
      </c>
      <c r="G247" t="n">
        <v>2</v>
      </c>
      <c r="H247" t="n">
        <v>0</v>
      </c>
      <c r="I247" t="n">
        <v>0</v>
      </c>
      <c r="J247" t="n">
        <v>0</v>
      </c>
      <c r="K247" t="n">
        <v>0</v>
      </c>
      <c r="L247" t="n">
        <v>0</v>
      </c>
      <c r="M247" t="n">
        <v>0</v>
      </c>
      <c r="N247" t="n">
        <v>0</v>
      </c>
      <c r="O247" t="n">
        <v>0</v>
      </c>
      <c r="P247" t="n">
        <v>0</v>
      </c>
      <c r="Q247" t="n">
        <v>0</v>
      </c>
      <c r="R247" s="2" t="inlineStr"/>
    </row>
    <row r="248" ht="15" customHeight="1">
      <c r="A248" t="inlineStr">
        <is>
          <t>A 23058-2025</t>
        </is>
      </c>
      <c r="B248" s="1" t="n">
        <v>45790.78076388889</v>
      </c>
      <c r="C248" s="1" t="n">
        <v>45940</v>
      </c>
      <c r="D248" t="inlineStr">
        <is>
          <t>DALARNAS LÄN</t>
        </is>
      </c>
      <c r="E248" t="inlineStr">
        <is>
          <t>LEKSAND</t>
        </is>
      </c>
      <c r="G248" t="n">
        <v>6.7</v>
      </c>
      <c r="H248" t="n">
        <v>0</v>
      </c>
      <c r="I248" t="n">
        <v>0</v>
      </c>
      <c r="J248" t="n">
        <v>0</v>
      </c>
      <c r="K248" t="n">
        <v>0</v>
      </c>
      <c r="L248" t="n">
        <v>0</v>
      </c>
      <c r="M248" t="n">
        <v>0</v>
      </c>
      <c r="N248" t="n">
        <v>0</v>
      </c>
      <c r="O248" t="n">
        <v>0</v>
      </c>
      <c r="P248" t="n">
        <v>0</v>
      </c>
      <c r="Q248" t="n">
        <v>0</v>
      </c>
      <c r="R248" s="2" t="inlineStr"/>
    </row>
    <row r="249" ht="15" customHeight="1">
      <c r="A249" t="inlineStr">
        <is>
          <t>A 23076-2025</t>
        </is>
      </c>
      <c r="B249" s="1" t="n">
        <v>45790.90960648148</v>
      </c>
      <c r="C249" s="1" t="n">
        <v>45940</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63544-2023</t>
        </is>
      </c>
      <c r="B250" s="1" t="n">
        <v>45275</v>
      </c>
      <c r="C250" s="1" t="n">
        <v>45940</v>
      </c>
      <c r="D250" t="inlineStr">
        <is>
          <t>DALARNAS LÄN</t>
        </is>
      </c>
      <c r="E250" t="inlineStr">
        <is>
          <t>LEKSAND</t>
        </is>
      </c>
      <c r="G250" t="n">
        <v>0.3</v>
      </c>
      <c r="H250" t="n">
        <v>0</v>
      </c>
      <c r="I250" t="n">
        <v>0</v>
      </c>
      <c r="J250" t="n">
        <v>0</v>
      </c>
      <c r="K250" t="n">
        <v>0</v>
      </c>
      <c r="L250" t="n">
        <v>0</v>
      </c>
      <c r="M250" t="n">
        <v>0</v>
      </c>
      <c r="N250" t="n">
        <v>0</v>
      </c>
      <c r="O250" t="n">
        <v>0</v>
      </c>
      <c r="P250" t="n">
        <v>0</v>
      </c>
      <c r="Q250" t="n">
        <v>0</v>
      </c>
      <c r="R250" s="2" t="inlineStr"/>
    </row>
    <row r="251" ht="15" customHeight="1">
      <c r="A251" t="inlineStr">
        <is>
          <t>A 23855-2025</t>
        </is>
      </c>
      <c r="B251" s="1" t="n">
        <v>45793.65900462963</v>
      </c>
      <c r="C251" s="1" t="n">
        <v>45940</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33317-2023</t>
        </is>
      </c>
      <c r="B252" s="1" t="n">
        <v>45127.84586805556</v>
      </c>
      <c r="C252" s="1" t="n">
        <v>45940</v>
      </c>
      <c r="D252" t="inlineStr">
        <is>
          <t>DALARNAS LÄN</t>
        </is>
      </c>
      <c r="E252" t="inlineStr">
        <is>
          <t>LEKSAND</t>
        </is>
      </c>
      <c r="G252" t="n">
        <v>2.7</v>
      </c>
      <c r="H252" t="n">
        <v>0</v>
      </c>
      <c r="I252" t="n">
        <v>0</v>
      </c>
      <c r="J252" t="n">
        <v>0</v>
      </c>
      <c r="K252" t="n">
        <v>0</v>
      </c>
      <c r="L252" t="n">
        <v>0</v>
      </c>
      <c r="M252" t="n">
        <v>0</v>
      </c>
      <c r="N252" t="n">
        <v>0</v>
      </c>
      <c r="O252" t="n">
        <v>0</v>
      </c>
      <c r="P252" t="n">
        <v>0</v>
      </c>
      <c r="Q252" t="n">
        <v>0</v>
      </c>
      <c r="R252" s="2" t="inlineStr"/>
    </row>
    <row r="253" ht="15" customHeight="1">
      <c r="A253" t="inlineStr">
        <is>
          <t>A 33318-2023</t>
        </is>
      </c>
      <c r="B253" s="1" t="n">
        <v>45127</v>
      </c>
      <c r="C253" s="1" t="n">
        <v>45940</v>
      </c>
      <c r="D253" t="inlineStr">
        <is>
          <t>DALARNAS LÄN</t>
        </is>
      </c>
      <c r="E253" t="inlineStr">
        <is>
          <t>LEKSAND</t>
        </is>
      </c>
      <c r="G253" t="n">
        <v>5.5</v>
      </c>
      <c r="H253" t="n">
        <v>0</v>
      </c>
      <c r="I253" t="n">
        <v>0</v>
      </c>
      <c r="J253" t="n">
        <v>0</v>
      </c>
      <c r="K253" t="n">
        <v>0</v>
      </c>
      <c r="L253" t="n">
        <v>0</v>
      </c>
      <c r="M253" t="n">
        <v>0</v>
      </c>
      <c r="N253" t="n">
        <v>0</v>
      </c>
      <c r="O253" t="n">
        <v>0</v>
      </c>
      <c r="P253" t="n">
        <v>0</v>
      </c>
      <c r="Q253" t="n">
        <v>0</v>
      </c>
      <c r="R253" s="2" t="inlineStr"/>
    </row>
    <row r="254" ht="15" customHeight="1">
      <c r="A254" t="inlineStr">
        <is>
          <t>A 11869-2024</t>
        </is>
      </c>
      <c r="B254" s="1" t="n">
        <v>45376.45800925926</v>
      </c>
      <c r="C254" s="1" t="n">
        <v>45940</v>
      </c>
      <c r="D254" t="inlineStr">
        <is>
          <t>DALARNAS LÄN</t>
        </is>
      </c>
      <c r="E254" t="inlineStr">
        <is>
          <t>LEKSAND</t>
        </is>
      </c>
      <c r="G254" t="n">
        <v>0.5</v>
      </c>
      <c r="H254" t="n">
        <v>0</v>
      </c>
      <c r="I254" t="n">
        <v>0</v>
      </c>
      <c r="J254" t="n">
        <v>0</v>
      </c>
      <c r="K254" t="n">
        <v>0</v>
      </c>
      <c r="L254" t="n">
        <v>0</v>
      </c>
      <c r="M254" t="n">
        <v>0</v>
      </c>
      <c r="N254" t="n">
        <v>0</v>
      </c>
      <c r="O254" t="n">
        <v>0</v>
      </c>
      <c r="P254" t="n">
        <v>0</v>
      </c>
      <c r="Q254" t="n">
        <v>0</v>
      </c>
      <c r="R254" s="2" t="inlineStr"/>
    </row>
    <row r="255" ht="15" customHeight="1">
      <c r="A255" t="inlineStr">
        <is>
          <t>A 58877-2023</t>
        </is>
      </c>
      <c r="B255" s="1" t="n">
        <v>45252</v>
      </c>
      <c r="C255" s="1" t="n">
        <v>45940</v>
      </c>
      <c r="D255" t="inlineStr">
        <is>
          <t>DALARNAS LÄN</t>
        </is>
      </c>
      <c r="E255" t="inlineStr">
        <is>
          <t>LEKSAND</t>
        </is>
      </c>
      <c r="G255" t="n">
        <v>1.9</v>
      </c>
      <c r="H255" t="n">
        <v>0</v>
      </c>
      <c r="I255" t="n">
        <v>0</v>
      </c>
      <c r="J255" t="n">
        <v>0</v>
      </c>
      <c r="K255" t="n">
        <v>0</v>
      </c>
      <c r="L255" t="n">
        <v>0</v>
      </c>
      <c r="M255" t="n">
        <v>0</v>
      </c>
      <c r="N255" t="n">
        <v>0</v>
      </c>
      <c r="O255" t="n">
        <v>0</v>
      </c>
      <c r="P255" t="n">
        <v>0</v>
      </c>
      <c r="Q255" t="n">
        <v>0</v>
      </c>
      <c r="R255" s="2" t="inlineStr"/>
    </row>
    <row r="256" ht="15" customHeight="1">
      <c r="A256" t="inlineStr">
        <is>
          <t>A 61055-2023</t>
        </is>
      </c>
      <c r="B256" s="1" t="n">
        <v>45261</v>
      </c>
      <c r="C256" s="1" t="n">
        <v>45940</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32666-2023</t>
        </is>
      </c>
      <c r="B257" s="1" t="n">
        <v>45121</v>
      </c>
      <c r="C257" s="1" t="n">
        <v>45940</v>
      </c>
      <c r="D257" t="inlineStr">
        <is>
          <t>DALARNAS LÄN</t>
        </is>
      </c>
      <c r="E257" t="inlineStr">
        <is>
          <t>LEKSAND</t>
        </is>
      </c>
      <c r="G257" t="n">
        <v>9.9</v>
      </c>
      <c r="H257" t="n">
        <v>0</v>
      </c>
      <c r="I257" t="n">
        <v>0</v>
      </c>
      <c r="J257" t="n">
        <v>0</v>
      </c>
      <c r="K257" t="n">
        <v>0</v>
      </c>
      <c r="L257" t="n">
        <v>0</v>
      </c>
      <c r="M257" t="n">
        <v>0</v>
      </c>
      <c r="N257" t="n">
        <v>0</v>
      </c>
      <c r="O257" t="n">
        <v>0</v>
      </c>
      <c r="P257" t="n">
        <v>0</v>
      </c>
      <c r="Q257" t="n">
        <v>0</v>
      </c>
      <c r="R257" s="2" t="inlineStr"/>
    </row>
    <row r="258" ht="15" customHeight="1">
      <c r="A258" t="inlineStr">
        <is>
          <t>A 23891-2025</t>
        </is>
      </c>
      <c r="B258" s="1" t="n">
        <v>45793</v>
      </c>
      <c r="C258" s="1" t="n">
        <v>45940</v>
      </c>
      <c r="D258" t="inlineStr">
        <is>
          <t>DALARNAS LÄN</t>
        </is>
      </c>
      <c r="E258" t="inlineStr">
        <is>
          <t>LEKSAND</t>
        </is>
      </c>
      <c r="F258" t="inlineStr">
        <is>
          <t>Kommuner</t>
        </is>
      </c>
      <c r="G258" t="n">
        <v>1.5</v>
      </c>
      <c r="H258" t="n">
        <v>0</v>
      </c>
      <c r="I258" t="n">
        <v>0</v>
      </c>
      <c r="J258" t="n">
        <v>0</v>
      </c>
      <c r="K258" t="n">
        <v>0</v>
      </c>
      <c r="L258" t="n">
        <v>0</v>
      </c>
      <c r="M258" t="n">
        <v>0</v>
      </c>
      <c r="N258" t="n">
        <v>0</v>
      </c>
      <c r="O258" t="n">
        <v>0</v>
      </c>
      <c r="P258" t="n">
        <v>0</v>
      </c>
      <c r="Q258" t="n">
        <v>0</v>
      </c>
      <c r="R258" s="2" t="inlineStr"/>
    </row>
    <row r="259" ht="15" customHeight="1">
      <c r="A259" t="inlineStr">
        <is>
          <t>A 34038-2024</t>
        </is>
      </c>
      <c r="B259" s="1" t="n">
        <v>45523.59578703704</v>
      </c>
      <c r="C259" s="1" t="n">
        <v>45940</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34041-2024</t>
        </is>
      </c>
      <c r="B260" s="1" t="n">
        <v>45523.59895833334</v>
      </c>
      <c r="C260" s="1" t="n">
        <v>45940</v>
      </c>
      <c r="D260" t="inlineStr">
        <is>
          <t>DALARNAS LÄN</t>
        </is>
      </c>
      <c r="E260" t="inlineStr">
        <is>
          <t>LEKSAND</t>
        </is>
      </c>
      <c r="G260" t="n">
        <v>4</v>
      </c>
      <c r="H260" t="n">
        <v>0</v>
      </c>
      <c r="I260" t="n">
        <v>0</v>
      </c>
      <c r="J260" t="n">
        <v>0</v>
      </c>
      <c r="K260" t="n">
        <v>0</v>
      </c>
      <c r="L260" t="n">
        <v>0</v>
      </c>
      <c r="M260" t="n">
        <v>0</v>
      </c>
      <c r="N260" t="n">
        <v>0</v>
      </c>
      <c r="O260" t="n">
        <v>0</v>
      </c>
      <c r="P260" t="n">
        <v>0</v>
      </c>
      <c r="Q260" t="n">
        <v>0</v>
      </c>
      <c r="R260" s="2" t="inlineStr"/>
    </row>
    <row r="261" ht="15" customHeight="1">
      <c r="A261" t="inlineStr">
        <is>
          <t>A 23896-2024</t>
        </is>
      </c>
      <c r="B261" s="1" t="n">
        <v>45455.6758449074</v>
      </c>
      <c r="C261" s="1" t="n">
        <v>45940</v>
      </c>
      <c r="D261" t="inlineStr">
        <is>
          <t>DALARNAS LÄN</t>
        </is>
      </c>
      <c r="E261" t="inlineStr">
        <is>
          <t>LEKSAND</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5231-2024</t>
        </is>
      </c>
      <c r="B262" s="1" t="n">
        <v>45330</v>
      </c>
      <c r="C262" s="1" t="n">
        <v>45940</v>
      </c>
      <c r="D262" t="inlineStr">
        <is>
          <t>DALARNAS LÄN</t>
        </is>
      </c>
      <c r="E262" t="inlineStr">
        <is>
          <t>LEKSAND</t>
        </is>
      </c>
      <c r="F262" t="inlineStr">
        <is>
          <t>Bergvik skog väst AB</t>
        </is>
      </c>
      <c r="G262" t="n">
        <v>11.2</v>
      </c>
      <c r="H262" t="n">
        <v>0</v>
      </c>
      <c r="I262" t="n">
        <v>0</v>
      </c>
      <c r="J262" t="n">
        <v>0</v>
      </c>
      <c r="K262" t="n">
        <v>0</v>
      </c>
      <c r="L262" t="n">
        <v>0</v>
      </c>
      <c r="M262" t="n">
        <v>0</v>
      </c>
      <c r="N262" t="n">
        <v>0</v>
      </c>
      <c r="O262" t="n">
        <v>0</v>
      </c>
      <c r="P262" t="n">
        <v>0</v>
      </c>
      <c r="Q262" t="n">
        <v>0</v>
      </c>
      <c r="R262" s="2" t="inlineStr"/>
    </row>
    <row r="263" ht="15" customHeight="1">
      <c r="A263" t="inlineStr">
        <is>
          <t>A 16137-2023</t>
        </is>
      </c>
      <c r="B263" s="1" t="n">
        <v>45027</v>
      </c>
      <c r="C263" s="1" t="n">
        <v>45940</v>
      </c>
      <c r="D263" t="inlineStr">
        <is>
          <t>DALARNAS LÄN</t>
        </is>
      </c>
      <c r="E263" t="inlineStr">
        <is>
          <t>LEKSAND</t>
        </is>
      </c>
      <c r="G263" t="n">
        <v>1.6</v>
      </c>
      <c r="H263" t="n">
        <v>0</v>
      </c>
      <c r="I263" t="n">
        <v>0</v>
      </c>
      <c r="J263" t="n">
        <v>0</v>
      </c>
      <c r="K263" t="n">
        <v>0</v>
      </c>
      <c r="L263" t="n">
        <v>0</v>
      </c>
      <c r="M263" t="n">
        <v>0</v>
      </c>
      <c r="N263" t="n">
        <v>0</v>
      </c>
      <c r="O263" t="n">
        <v>0</v>
      </c>
      <c r="P263" t="n">
        <v>0</v>
      </c>
      <c r="Q263" t="n">
        <v>0</v>
      </c>
      <c r="R263" s="2" t="inlineStr"/>
    </row>
    <row r="264" ht="15" customHeight="1">
      <c r="A264" t="inlineStr">
        <is>
          <t>A 51377-2023</t>
        </is>
      </c>
      <c r="B264" s="1" t="n">
        <v>45219</v>
      </c>
      <c r="C264" s="1" t="n">
        <v>45940</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23517-2025</t>
        </is>
      </c>
      <c r="B265" s="1" t="n">
        <v>45792</v>
      </c>
      <c r="C265" s="1" t="n">
        <v>45940</v>
      </c>
      <c r="D265" t="inlineStr">
        <is>
          <t>DALARNAS LÄN</t>
        </is>
      </c>
      <c r="E265" t="inlineStr">
        <is>
          <t>LEKSAND</t>
        </is>
      </c>
      <c r="G265" t="n">
        <v>2.2</v>
      </c>
      <c r="H265" t="n">
        <v>0</v>
      </c>
      <c r="I265" t="n">
        <v>0</v>
      </c>
      <c r="J265" t="n">
        <v>0</v>
      </c>
      <c r="K265" t="n">
        <v>0</v>
      </c>
      <c r="L265" t="n">
        <v>0</v>
      </c>
      <c r="M265" t="n">
        <v>0</v>
      </c>
      <c r="N265" t="n">
        <v>0</v>
      </c>
      <c r="O265" t="n">
        <v>0</v>
      </c>
      <c r="P265" t="n">
        <v>0</v>
      </c>
      <c r="Q265" t="n">
        <v>0</v>
      </c>
      <c r="R265" s="2" t="inlineStr"/>
    </row>
    <row r="266" ht="15" customHeight="1">
      <c r="A266" t="inlineStr">
        <is>
          <t>A 19618-2024</t>
        </is>
      </c>
      <c r="B266" s="1" t="n">
        <v>45432.32896990741</v>
      </c>
      <c r="C266" s="1" t="n">
        <v>45940</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24142-2021</t>
        </is>
      </c>
      <c r="B267" s="1" t="n">
        <v>44336</v>
      </c>
      <c r="C267" s="1" t="n">
        <v>45940</v>
      </c>
      <c r="D267" t="inlineStr">
        <is>
          <t>DALARNAS LÄN</t>
        </is>
      </c>
      <c r="E267" t="inlineStr">
        <is>
          <t>LEKSAND</t>
        </is>
      </c>
      <c r="F267" t="inlineStr">
        <is>
          <t>Bergvik skog väst AB</t>
        </is>
      </c>
      <c r="G267" t="n">
        <v>18.9</v>
      </c>
      <c r="H267" t="n">
        <v>0</v>
      </c>
      <c r="I267" t="n">
        <v>0</v>
      </c>
      <c r="J267" t="n">
        <v>0</v>
      </c>
      <c r="K267" t="n">
        <v>0</v>
      </c>
      <c r="L267" t="n">
        <v>0</v>
      </c>
      <c r="M267" t="n">
        <v>0</v>
      </c>
      <c r="N267" t="n">
        <v>0</v>
      </c>
      <c r="O267" t="n">
        <v>0</v>
      </c>
      <c r="P267" t="n">
        <v>0</v>
      </c>
      <c r="Q267" t="n">
        <v>0</v>
      </c>
      <c r="R267" s="2" t="inlineStr"/>
    </row>
    <row r="268" ht="15" customHeight="1">
      <c r="A268" t="inlineStr">
        <is>
          <t>A 14865-2025</t>
        </is>
      </c>
      <c r="B268" s="1" t="n">
        <v>45743.43929398148</v>
      </c>
      <c r="C268" s="1" t="n">
        <v>45940</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28032-2024</t>
        </is>
      </c>
      <c r="B269" s="1" t="n">
        <v>45476.49346064815</v>
      </c>
      <c r="C269" s="1" t="n">
        <v>45940</v>
      </c>
      <c r="D269" t="inlineStr">
        <is>
          <t>DALARNAS LÄN</t>
        </is>
      </c>
      <c r="E269" t="inlineStr">
        <is>
          <t>LEKSAND</t>
        </is>
      </c>
      <c r="G269" t="n">
        <v>2</v>
      </c>
      <c r="H269" t="n">
        <v>0</v>
      </c>
      <c r="I269" t="n">
        <v>0</v>
      </c>
      <c r="J269" t="n">
        <v>0</v>
      </c>
      <c r="K269" t="n">
        <v>0</v>
      </c>
      <c r="L269" t="n">
        <v>0</v>
      </c>
      <c r="M269" t="n">
        <v>0</v>
      </c>
      <c r="N269" t="n">
        <v>0</v>
      </c>
      <c r="O269" t="n">
        <v>0</v>
      </c>
      <c r="P269" t="n">
        <v>0</v>
      </c>
      <c r="Q269" t="n">
        <v>0</v>
      </c>
      <c r="R269" s="2" t="inlineStr"/>
    </row>
    <row r="270" ht="15" customHeight="1">
      <c r="A270" t="inlineStr">
        <is>
          <t>A 54682-2023</t>
        </is>
      </c>
      <c r="B270" s="1" t="n">
        <v>45235.90439814814</v>
      </c>
      <c r="C270" s="1" t="n">
        <v>45940</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52572-2024</t>
        </is>
      </c>
      <c r="B271" s="1" t="n">
        <v>45609.66488425926</v>
      </c>
      <c r="C271" s="1" t="n">
        <v>45940</v>
      </c>
      <c r="D271" t="inlineStr">
        <is>
          <t>DALARNAS LÄN</t>
        </is>
      </c>
      <c r="E271" t="inlineStr">
        <is>
          <t>LEKSAND</t>
        </is>
      </c>
      <c r="G271" t="n">
        <v>0.7</v>
      </c>
      <c r="H271" t="n">
        <v>0</v>
      </c>
      <c r="I271" t="n">
        <v>0</v>
      </c>
      <c r="J271" t="n">
        <v>0</v>
      </c>
      <c r="K271" t="n">
        <v>0</v>
      </c>
      <c r="L271" t="n">
        <v>0</v>
      </c>
      <c r="M271" t="n">
        <v>0</v>
      </c>
      <c r="N271" t="n">
        <v>0</v>
      </c>
      <c r="O271" t="n">
        <v>0</v>
      </c>
      <c r="P271" t="n">
        <v>0</v>
      </c>
      <c r="Q271" t="n">
        <v>0</v>
      </c>
      <c r="R271" s="2" t="inlineStr"/>
    </row>
    <row r="272" ht="15" customHeight="1">
      <c r="A272" t="inlineStr">
        <is>
          <t>A 18837-2023</t>
        </is>
      </c>
      <c r="B272" s="1" t="n">
        <v>45044.42940972222</v>
      </c>
      <c r="C272" s="1" t="n">
        <v>45940</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5847-2025</t>
        </is>
      </c>
      <c r="B273" s="1" t="n">
        <v>45695.30824074074</v>
      </c>
      <c r="C273" s="1" t="n">
        <v>45940</v>
      </c>
      <c r="D273" t="inlineStr">
        <is>
          <t>DALARNAS LÄN</t>
        </is>
      </c>
      <c r="E273" t="inlineStr">
        <is>
          <t>LEKSAND</t>
        </is>
      </c>
      <c r="G273" t="n">
        <v>2.6</v>
      </c>
      <c r="H273" t="n">
        <v>0</v>
      </c>
      <c r="I273" t="n">
        <v>0</v>
      </c>
      <c r="J273" t="n">
        <v>0</v>
      </c>
      <c r="K273" t="n">
        <v>0</v>
      </c>
      <c r="L273" t="n">
        <v>0</v>
      </c>
      <c r="M273" t="n">
        <v>0</v>
      </c>
      <c r="N273" t="n">
        <v>0</v>
      </c>
      <c r="O273" t="n">
        <v>0</v>
      </c>
      <c r="P273" t="n">
        <v>0</v>
      </c>
      <c r="Q273" t="n">
        <v>0</v>
      </c>
      <c r="R273" s="2" t="inlineStr"/>
    </row>
    <row r="274" ht="15" customHeight="1">
      <c r="A274" t="inlineStr">
        <is>
          <t>A 61288-2022</t>
        </is>
      </c>
      <c r="B274" s="1" t="n">
        <v>44915</v>
      </c>
      <c r="C274" s="1" t="n">
        <v>45940</v>
      </c>
      <c r="D274" t="inlineStr">
        <is>
          <t>DALARNAS LÄN</t>
        </is>
      </c>
      <c r="E274" t="inlineStr">
        <is>
          <t>LEKSAND</t>
        </is>
      </c>
      <c r="G274" t="n">
        <v>1.7</v>
      </c>
      <c r="H274" t="n">
        <v>0</v>
      </c>
      <c r="I274" t="n">
        <v>0</v>
      </c>
      <c r="J274" t="n">
        <v>0</v>
      </c>
      <c r="K274" t="n">
        <v>0</v>
      </c>
      <c r="L274" t="n">
        <v>0</v>
      </c>
      <c r="M274" t="n">
        <v>0</v>
      </c>
      <c r="N274" t="n">
        <v>0</v>
      </c>
      <c r="O274" t="n">
        <v>0</v>
      </c>
      <c r="P274" t="n">
        <v>0</v>
      </c>
      <c r="Q274" t="n">
        <v>0</v>
      </c>
      <c r="R274" s="2" t="inlineStr"/>
    </row>
    <row r="275" ht="15" customHeight="1">
      <c r="A275" t="inlineStr">
        <is>
          <t>A 60878-2023</t>
        </is>
      </c>
      <c r="B275" s="1" t="n">
        <v>45259</v>
      </c>
      <c r="C275" s="1" t="n">
        <v>45940</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24187-2025</t>
        </is>
      </c>
      <c r="B276" s="1" t="n">
        <v>45796</v>
      </c>
      <c r="C276" s="1" t="n">
        <v>45940</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24188-2025</t>
        </is>
      </c>
      <c r="B277" s="1" t="n">
        <v>45796</v>
      </c>
      <c r="C277" s="1" t="n">
        <v>45940</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7450-2023</t>
        </is>
      </c>
      <c r="B278" s="1" t="n">
        <v>44971</v>
      </c>
      <c r="C278" s="1" t="n">
        <v>45940</v>
      </c>
      <c r="D278" t="inlineStr">
        <is>
          <t>DALARNAS LÄN</t>
        </is>
      </c>
      <c r="E278" t="inlineStr">
        <is>
          <t>LEKSAND</t>
        </is>
      </c>
      <c r="G278" t="n">
        <v>3</v>
      </c>
      <c r="H278" t="n">
        <v>0</v>
      </c>
      <c r="I278" t="n">
        <v>0</v>
      </c>
      <c r="J278" t="n">
        <v>0</v>
      </c>
      <c r="K278" t="n">
        <v>0</v>
      </c>
      <c r="L278" t="n">
        <v>0</v>
      </c>
      <c r="M278" t="n">
        <v>0</v>
      </c>
      <c r="N278" t="n">
        <v>0</v>
      </c>
      <c r="O278" t="n">
        <v>0</v>
      </c>
      <c r="P278" t="n">
        <v>0</v>
      </c>
      <c r="Q278" t="n">
        <v>0</v>
      </c>
      <c r="R278" s="2" t="inlineStr"/>
    </row>
    <row r="279" ht="15" customHeight="1">
      <c r="A279" t="inlineStr">
        <is>
          <t>A 1215-2024</t>
        </is>
      </c>
      <c r="B279" s="1" t="n">
        <v>45302</v>
      </c>
      <c r="C279" s="1" t="n">
        <v>45940</v>
      </c>
      <c r="D279" t="inlineStr">
        <is>
          <t>DALARNAS LÄN</t>
        </is>
      </c>
      <c r="E279" t="inlineStr">
        <is>
          <t>LEKSAND</t>
        </is>
      </c>
      <c r="G279" t="n">
        <v>1.3</v>
      </c>
      <c r="H279" t="n">
        <v>0</v>
      </c>
      <c r="I279" t="n">
        <v>0</v>
      </c>
      <c r="J279" t="n">
        <v>0</v>
      </c>
      <c r="K279" t="n">
        <v>0</v>
      </c>
      <c r="L279" t="n">
        <v>0</v>
      </c>
      <c r="M279" t="n">
        <v>0</v>
      </c>
      <c r="N279" t="n">
        <v>0</v>
      </c>
      <c r="O279" t="n">
        <v>0</v>
      </c>
      <c r="P279" t="n">
        <v>0</v>
      </c>
      <c r="Q279" t="n">
        <v>0</v>
      </c>
      <c r="R279" s="2" t="inlineStr"/>
    </row>
    <row r="280" ht="15" customHeight="1">
      <c r="A280" t="inlineStr">
        <is>
          <t>A 41853-2023</t>
        </is>
      </c>
      <c r="B280" s="1" t="n">
        <v>45176.62483796296</v>
      </c>
      <c r="C280" s="1" t="n">
        <v>45940</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61502-2023</t>
        </is>
      </c>
      <c r="B281" s="1" t="n">
        <v>45264</v>
      </c>
      <c r="C281" s="1" t="n">
        <v>45940</v>
      </c>
      <c r="D281" t="inlineStr">
        <is>
          <t>DALARNAS LÄN</t>
        </is>
      </c>
      <c r="E281" t="inlineStr">
        <is>
          <t>LEKSAND</t>
        </is>
      </c>
      <c r="G281" t="n">
        <v>5.2</v>
      </c>
      <c r="H281" t="n">
        <v>0</v>
      </c>
      <c r="I281" t="n">
        <v>0</v>
      </c>
      <c r="J281" t="n">
        <v>0</v>
      </c>
      <c r="K281" t="n">
        <v>0</v>
      </c>
      <c r="L281" t="n">
        <v>0</v>
      </c>
      <c r="M281" t="n">
        <v>0</v>
      </c>
      <c r="N281" t="n">
        <v>0</v>
      </c>
      <c r="O281" t="n">
        <v>0</v>
      </c>
      <c r="P281" t="n">
        <v>0</v>
      </c>
      <c r="Q281" t="n">
        <v>0</v>
      </c>
      <c r="R281" s="2" t="inlineStr"/>
    </row>
    <row r="282" ht="15" customHeight="1">
      <c r="A282" t="inlineStr">
        <is>
          <t>A 36262-2023</t>
        </is>
      </c>
      <c r="B282" s="1" t="n">
        <v>45151.9096875</v>
      </c>
      <c r="C282" s="1" t="n">
        <v>45940</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60040-2023</t>
        </is>
      </c>
      <c r="B283" s="1" t="n">
        <v>45256</v>
      </c>
      <c r="C283" s="1" t="n">
        <v>45940</v>
      </c>
      <c r="D283" t="inlineStr">
        <is>
          <t>DALARNAS LÄN</t>
        </is>
      </c>
      <c r="E283" t="inlineStr">
        <is>
          <t>LEKSAND</t>
        </is>
      </c>
      <c r="G283" t="n">
        <v>0.9</v>
      </c>
      <c r="H283" t="n">
        <v>0</v>
      </c>
      <c r="I283" t="n">
        <v>0</v>
      </c>
      <c r="J283" t="n">
        <v>0</v>
      </c>
      <c r="K283" t="n">
        <v>0</v>
      </c>
      <c r="L283" t="n">
        <v>0</v>
      </c>
      <c r="M283" t="n">
        <v>0</v>
      </c>
      <c r="N283" t="n">
        <v>0</v>
      </c>
      <c r="O283" t="n">
        <v>0</v>
      </c>
      <c r="P283" t="n">
        <v>0</v>
      </c>
      <c r="Q283" t="n">
        <v>0</v>
      </c>
      <c r="R283" s="2" t="inlineStr"/>
    </row>
    <row r="284" ht="15" customHeight="1">
      <c r="A284" t="inlineStr">
        <is>
          <t>A 24373-2025</t>
        </is>
      </c>
      <c r="B284" s="1" t="n">
        <v>45797.61113425926</v>
      </c>
      <c r="C284" s="1" t="n">
        <v>45940</v>
      </c>
      <c r="D284" t="inlineStr">
        <is>
          <t>DALARNAS LÄN</t>
        </is>
      </c>
      <c r="E284" t="inlineStr">
        <is>
          <t>LEKSAND</t>
        </is>
      </c>
      <c r="G284" t="n">
        <v>2.4</v>
      </c>
      <c r="H284" t="n">
        <v>0</v>
      </c>
      <c r="I284" t="n">
        <v>0</v>
      </c>
      <c r="J284" t="n">
        <v>0</v>
      </c>
      <c r="K284" t="n">
        <v>0</v>
      </c>
      <c r="L284" t="n">
        <v>0</v>
      </c>
      <c r="M284" t="n">
        <v>0</v>
      </c>
      <c r="N284" t="n">
        <v>0</v>
      </c>
      <c r="O284" t="n">
        <v>0</v>
      </c>
      <c r="P284" t="n">
        <v>0</v>
      </c>
      <c r="Q284" t="n">
        <v>0</v>
      </c>
      <c r="R284" s="2" t="inlineStr"/>
    </row>
    <row r="285" ht="15" customHeight="1">
      <c r="A285" t="inlineStr">
        <is>
          <t>A 10367-2023</t>
        </is>
      </c>
      <c r="B285" s="1" t="n">
        <v>44987</v>
      </c>
      <c r="C285" s="1" t="n">
        <v>45940</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22646-2025</t>
        </is>
      </c>
      <c r="B286" s="1" t="n">
        <v>45786</v>
      </c>
      <c r="C286" s="1" t="n">
        <v>45940</v>
      </c>
      <c r="D286" t="inlineStr">
        <is>
          <t>DALARNAS LÄN</t>
        </is>
      </c>
      <c r="E286" t="inlineStr">
        <is>
          <t>LEKSAND</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27520-2023</t>
        </is>
      </c>
      <c r="B287" s="1" t="n">
        <v>45097</v>
      </c>
      <c r="C287" s="1" t="n">
        <v>45940</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55926-2024</t>
        </is>
      </c>
      <c r="B288" s="1" t="n">
        <v>45623.601875</v>
      </c>
      <c r="C288" s="1" t="n">
        <v>45940</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52059-2024</t>
        </is>
      </c>
      <c r="B289" s="1" t="n">
        <v>45608.35609953704</v>
      </c>
      <c r="C289" s="1" t="n">
        <v>45940</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21839-2022</t>
        </is>
      </c>
      <c r="B290" s="1" t="n">
        <v>44711</v>
      </c>
      <c r="C290" s="1" t="n">
        <v>45940</v>
      </c>
      <c r="D290" t="inlineStr">
        <is>
          <t>DALARNAS LÄN</t>
        </is>
      </c>
      <c r="E290" t="inlineStr">
        <is>
          <t>LEKSAND</t>
        </is>
      </c>
      <c r="F290" t="inlineStr">
        <is>
          <t>Bergvik skog väst AB</t>
        </is>
      </c>
      <c r="G290" t="n">
        <v>3</v>
      </c>
      <c r="H290" t="n">
        <v>0</v>
      </c>
      <c r="I290" t="n">
        <v>0</v>
      </c>
      <c r="J290" t="n">
        <v>0</v>
      </c>
      <c r="K290" t="n">
        <v>0</v>
      </c>
      <c r="L290" t="n">
        <v>0</v>
      </c>
      <c r="M290" t="n">
        <v>0</v>
      </c>
      <c r="N290" t="n">
        <v>0</v>
      </c>
      <c r="O290" t="n">
        <v>0</v>
      </c>
      <c r="P290" t="n">
        <v>0</v>
      </c>
      <c r="Q290" t="n">
        <v>0</v>
      </c>
      <c r="R290" s="2" t="inlineStr"/>
    </row>
    <row r="291" ht="15" customHeight="1">
      <c r="A291" t="inlineStr">
        <is>
          <t>A 49405-2024</t>
        </is>
      </c>
      <c r="B291" s="1" t="n">
        <v>45595</v>
      </c>
      <c r="C291" s="1" t="n">
        <v>45940</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24919-2024</t>
        </is>
      </c>
      <c r="B292" s="1" t="n">
        <v>45461.60636574074</v>
      </c>
      <c r="C292" s="1" t="n">
        <v>45940</v>
      </c>
      <c r="D292" t="inlineStr">
        <is>
          <t>DALARNAS LÄN</t>
        </is>
      </c>
      <c r="E292" t="inlineStr">
        <is>
          <t>LEKSAND</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56211-2023</t>
        </is>
      </c>
      <c r="B293" s="1" t="n">
        <v>45240</v>
      </c>
      <c r="C293" s="1" t="n">
        <v>45940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24369-2025</t>
        </is>
      </c>
      <c r="B294" s="1" t="n">
        <v>45797.60731481481</v>
      </c>
      <c r="C294" s="1" t="n">
        <v>45940</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55268-2024</t>
        </is>
      </c>
      <c r="B295" s="1" t="n">
        <v>45621.61266203703</v>
      </c>
      <c r="C295" s="1" t="n">
        <v>45940</v>
      </c>
      <c r="D295" t="inlineStr">
        <is>
          <t>DALARNAS LÄN</t>
        </is>
      </c>
      <c r="E295" t="inlineStr">
        <is>
          <t>LEKSAND</t>
        </is>
      </c>
      <c r="G295" t="n">
        <v>4.2</v>
      </c>
      <c r="H295" t="n">
        <v>0</v>
      </c>
      <c r="I295" t="n">
        <v>0</v>
      </c>
      <c r="J295" t="n">
        <v>0</v>
      </c>
      <c r="K295" t="n">
        <v>0</v>
      </c>
      <c r="L295" t="n">
        <v>0</v>
      </c>
      <c r="M295" t="n">
        <v>0</v>
      </c>
      <c r="N295" t="n">
        <v>0</v>
      </c>
      <c r="O295" t="n">
        <v>0</v>
      </c>
      <c r="P295" t="n">
        <v>0</v>
      </c>
      <c r="Q295" t="n">
        <v>0</v>
      </c>
      <c r="R295" s="2" t="inlineStr"/>
    </row>
    <row r="296" ht="15" customHeight="1">
      <c r="A296" t="inlineStr">
        <is>
          <t>A 8743-2023</t>
        </is>
      </c>
      <c r="B296" s="1" t="n">
        <v>44978</v>
      </c>
      <c r="C296" s="1" t="n">
        <v>45940</v>
      </c>
      <c r="D296" t="inlineStr">
        <is>
          <t>DALARNAS LÄN</t>
        </is>
      </c>
      <c r="E296" t="inlineStr">
        <is>
          <t>LEKSAND</t>
        </is>
      </c>
      <c r="G296" t="n">
        <v>3</v>
      </c>
      <c r="H296" t="n">
        <v>0</v>
      </c>
      <c r="I296" t="n">
        <v>0</v>
      </c>
      <c r="J296" t="n">
        <v>0</v>
      </c>
      <c r="K296" t="n">
        <v>0</v>
      </c>
      <c r="L296" t="n">
        <v>0</v>
      </c>
      <c r="M296" t="n">
        <v>0</v>
      </c>
      <c r="N296" t="n">
        <v>0</v>
      </c>
      <c r="O296" t="n">
        <v>0</v>
      </c>
      <c r="P296" t="n">
        <v>0</v>
      </c>
      <c r="Q296" t="n">
        <v>0</v>
      </c>
      <c r="R296" s="2" t="inlineStr"/>
    </row>
    <row r="297" ht="15" customHeight="1">
      <c r="A297" t="inlineStr">
        <is>
          <t>A 15020-2023</t>
        </is>
      </c>
      <c r="B297" s="1" t="n">
        <v>45015.6196412037</v>
      </c>
      <c r="C297" s="1" t="n">
        <v>45940</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24715-2025</t>
        </is>
      </c>
      <c r="B298" s="1" t="n">
        <v>45798.97899305556</v>
      </c>
      <c r="C298" s="1" t="n">
        <v>45940</v>
      </c>
      <c r="D298" t="inlineStr">
        <is>
          <t>DALARNAS LÄN</t>
        </is>
      </c>
      <c r="E298" t="inlineStr">
        <is>
          <t>LEKSAND</t>
        </is>
      </c>
      <c r="G298" t="n">
        <v>8.4</v>
      </c>
      <c r="H298" t="n">
        <v>0</v>
      </c>
      <c r="I298" t="n">
        <v>0</v>
      </c>
      <c r="J298" t="n">
        <v>0</v>
      </c>
      <c r="K298" t="n">
        <v>0</v>
      </c>
      <c r="L298" t="n">
        <v>0</v>
      </c>
      <c r="M298" t="n">
        <v>0</v>
      </c>
      <c r="N298" t="n">
        <v>0</v>
      </c>
      <c r="O298" t="n">
        <v>0</v>
      </c>
      <c r="P298" t="n">
        <v>0</v>
      </c>
      <c r="Q298" t="n">
        <v>0</v>
      </c>
      <c r="R298" s="2" t="inlineStr"/>
    </row>
    <row r="299" ht="15" customHeight="1">
      <c r="A299" t="inlineStr">
        <is>
          <t>A 30863-2024</t>
        </is>
      </c>
      <c r="B299" s="1" t="n">
        <v>45497.71074074074</v>
      </c>
      <c r="C299" s="1" t="n">
        <v>45940</v>
      </c>
      <c r="D299" t="inlineStr">
        <is>
          <t>DALARNAS LÄN</t>
        </is>
      </c>
      <c r="E299" t="inlineStr">
        <is>
          <t>LEKSAND</t>
        </is>
      </c>
      <c r="F299" t="inlineStr">
        <is>
          <t>Bergvik skog väst AB</t>
        </is>
      </c>
      <c r="G299" t="n">
        <v>0.6</v>
      </c>
      <c r="H299" t="n">
        <v>0</v>
      </c>
      <c r="I299" t="n">
        <v>0</v>
      </c>
      <c r="J299" t="n">
        <v>0</v>
      </c>
      <c r="K299" t="n">
        <v>0</v>
      </c>
      <c r="L299" t="n">
        <v>0</v>
      </c>
      <c r="M299" t="n">
        <v>0</v>
      </c>
      <c r="N299" t="n">
        <v>0</v>
      </c>
      <c r="O299" t="n">
        <v>0</v>
      </c>
      <c r="P299" t="n">
        <v>0</v>
      </c>
      <c r="Q299" t="n">
        <v>0</v>
      </c>
      <c r="R299" s="2" t="inlineStr"/>
    </row>
    <row r="300" ht="15" customHeight="1">
      <c r="A300" t="inlineStr">
        <is>
          <t>A 40868-2024</t>
        </is>
      </c>
      <c r="B300" s="1" t="n">
        <v>45558</v>
      </c>
      <c r="C300" s="1" t="n">
        <v>45940</v>
      </c>
      <c r="D300" t="inlineStr">
        <is>
          <t>DALARNAS LÄN</t>
        </is>
      </c>
      <c r="E300" t="inlineStr">
        <is>
          <t>LEKSAND</t>
        </is>
      </c>
      <c r="G300" t="n">
        <v>0.8</v>
      </c>
      <c r="H300" t="n">
        <v>0</v>
      </c>
      <c r="I300" t="n">
        <v>0</v>
      </c>
      <c r="J300" t="n">
        <v>0</v>
      </c>
      <c r="K300" t="n">
        <v>0</v>
      </c>
      <c r="L300" t="n">
        <v>0</v>
      </c>
      <c r="M300" t="n">
        <v>0</v>
      </c>
      <c r="N300" t="n">
        <v>0</v>
      </c>
      <c r="O300" t="n">
        <v>0</v>
      </c>
      <c r="P300" t="n">
        <v>0</v>
      </c>
      <c r="Q300" t="n">
        <v>0</v>
      </c>
      <c r="R300" s="2" t="inlineStr"/>
    </row>
    <row r="301" ht="15" customHeight="1">
      <c r="A301" t="inlineStr">
        <is>
          <t>A 24481-2024</t>
        </is>
      </c>
      <c r="B301" s="1" t="n">
        <v>45459.36460648148</v>
      </c>
      <c r="C301" s="1" t="n">
        <v>45940</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17078-2023</t>
        </is>
      </c>
      <c r="B302" s="1" t="n">
        <v>45034</v>
      </c>
      <c r="C302" s="1" t="n">
        <v>45940</v>
      </c>
      <c r="D302" t="inlineStr">
        <is>
          <t>DALARNAS LÄN</t>
        </is>
      </c>
      <c r="E302" t="inlineStr">
        <is>
          <t>LEKSAND</t>
        </is>
      </c>
      <c r="G302" t="n">
        <v>0.5</v>
      </c>
      <c r="H302" t="n">
        <v>0</v>
      </c>
      <c r="I302" t="n">
        <v>0</v>
      </c>
      <c r="J302" t="n">
        <v>0</v>
      </c>
      <c r="K302" t="n">
        <v>0</v>
      </c>
      <c r="L302" t="n">
        <v>0</v>
      </c>
      <c r="M302" t="n">
        <v>0</v>
      </c>
      <c r="N302" t="n">
        <v>0</v>
      </c>
      <c r="O302" t="n">
        <v>0</v>
      </c>
      <c r="P302" t="n">
        <v>0</v>
      </c>
      <c r="Q302" t="n">
        <v>0</v>
      </c>
      <c r="R302" s="2" t="inlineStr"/>
    </row>
    <row r="303" ht="15" customHeight="1">
      <c r="A303" t="inlineStr">
        <is>
          <t>A 11110-2023</t>
        </is>
      </c>
      <c r="B303" s="1" t="n">
        <v>44992</v>
      </c>
      <c r="C303" s="1" t="n">
        <v>45940</v>
      </c>
      <c r="D303" t="inlineStr">
        <is>
          <t>DALARNAS LÄN</t>
        </is>
      </c>
      <c r="E303" t="inlineStr">
        <is>
          <t>LEKSAND</t>
        </is>
      </c>
      <c r="G303" t="n">
        <v>11.2</v>
      </c>
      <c r="H303" t="n">
        <v>0</v>
      </c>
      <c r="I303" t="n">
        <v>0</v>
      </c>
      <c r="J303" t="n">
        <v>0</v>
      </c>
      <c r="K303" t="n">
        <v>0</v>
      </c>
      <c r="L303" t="n">
        <v>0</v>
      </c>
      <c r="M303" t="n">
        <v>0</v>
      </c>
      <c r="N303" t="n">
        <v>0</v>
      </c>
      <c r="O303" t="n">
        <v>0</v>
      </c>
      <c r="P303" t="n">
        <v>0</v>
      </c>
      <c r="Q303" t="n">
        <v>0</v>
      </c>
      <c r="R303" s="2" t="inlineStr"/>
    </row>
    <row r="304" ht="15" customHeight="1">
      <c r="A304" t="inlineStr">
        <is>
          <t>A 58495-2023</t>
        </is>
      </c>
      <c r="B304" s="1" t="n">
        <v>45251</v>
      </c>
      <c r="C304" s="1" t="n">
        <v>45940</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17759-2023</t>
        </is>
      </c>
      <c r="B305" s="1" t="n">
        <v>45037.48765046296</v>
      </c>
      <c r="C305" s="1" t="n">
        <v>45940</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24714-2025</t>
        </is>
      </c>
      <c r="B306" s="1" t="n">
        <v>45798.96927083333</v>
      </c>
      <c r="C306" s="1" t="n">
        <v>45940</v>
      </c>
      <c r="D306" t="inlineStr">
        <is>
          <t>DALARNAS LÄN</t>
        </is>
      </c>
      <c r="E306" t="inlineStr">
        <is>
          <t>LEKSAND</t>
        </is>
      </c>
      <c r="F306" t="inlineStr">
        <is>
          <t>Bergvik skog väst AB</t>
        </is>
      </c>
      <c r="G306" t="n">
        <v>6.2</v>
      </c>
      <c r="H306" t="n">
        <v>0</v>
      </c>
      <c r="I306" t="n">
        <v>0</v>
      </c>
      <c r="J306" t="n">
        <v>0</v>
      </c>
      <c r="K306" t="n">
        <v>0</v>
      </c>
      <c r="L306" t="n">
        <v>0</v>
      </c>
      <c r="M306" t="n">
        <v>0</v>
      </c>
      <c r="N306" t="n">
        <v>0</v>
      </c>
      <c r="O306" t="n">
        <v>0</v>
      </c>
      <c r="P306" t="n">
        <v>0</v>
      </c>
      <c r="Q306" t="n">
        <v>0</v>
      </c>
      <c r="R306" s="2" t="inlineStr"/>
    </row>
    <row r="307" ht="15" customHeight="1">
      <c r="A307" t="inlineStr">
        <is>
          <t>A 56059-2024</t>
        </is>
      </c>
      <c r="B307" s="1" t="n">
        <v>45624.36729166667</v>
      </c>
      <c r="C307" s="1" t="n">
        <v>45940</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44846.64418981481</v>
      </c>
      <c r="C308" s="1" t="n">
        <v>45940</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72575-2021</t>
        </is>
      </c>
      <c r="B309" s="1" t="n">
        <v>44546</v>
      </c>
      <c r="C309" s="1" t="n">
        <v>45940</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72581-2021</t>
        </is>
      </c>
      <c r="B310" s="1" t="n">
        <v>44546.46354166666</v>
      </c>
      <c r="C310" s="1" t="n">
        <v>45940</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33143-2024</t>
        </is>
      </c>
      <c r="B311" s="1" t="n">
        <v>45518</v>
      </c>
      <c r="C311" s="1" t="n">
        <v>45940</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1519-2024</t>
        </is>
      </c>
      <c r="B312" s="1" t="n">
        <v>45306</v>
      </c>
      <c r="C312" s="1" t="n">
        <v>45940</v>
      </c>
      <c r="D312" t="inlineStr">
        <is>
          <t>DALARNAS LÄN</t>
        </is>
      </c>
      <c r="E312" t="inlineStr">
        <is>
          <t>LEKSAND</t>
        </is>
      </c>
      <c r="G312" t="n">
        <v>3.3</v>
      </c>
      <c r="H312" t="n">
        <v>0</v>
      </c>
      <c r="I312" t="n">
        <v>0</v>
      </c>
      <c r="J312" t="n">
        <v>0</v>
      </c>
      <c r="K312" t="n">
        <v>0</v>
      </c>
      <c r="L312" t="n">
        <v>0</v>
      </c>
      <c r="M312" t="n">
        <v>0</v>
      </c>
      <c r="N312" t="n">
        <v>0</v>
      </c>
      <c r="O312" t="n">
        <v>0</v>
      </c>
      <c r="P312" t="n">
        <v>0</v>
      </c>
      <c r="Q312" t="n">
        <v>0</v>
      </c>
      <c r="R312" s="2" t="inlineStr"/>
    </row>
    <row r="313" ht="15" customHeight="1">
      <c r="A313" t="inlineStr">
        <is>
          <t>A 25610-2025</t>
        </is>
      </c>
      <c r="B313" s="1" t="n">
        <v>45803.56033564815</v>
      </c>
      <c r="C313" s="1" t="n">
        <v>45940</v>
      </c>
      <c r="D313" t="inlineStr">
        <is>
          <t>DALARNAS LÄN</t>
        </is>
      </c>
      <c r="E313" t="inlineStr">
        <is>
          <t>LEKSAND</t>
        </is>
      </c>
      <c r="G313" t="n">
        <v>5.2</v>
      </c>
      <c r="H313" t="n">
        <v>0</v>
      </c>
      <c r="I313" t="n">
        <v>0</v>
      </c>
      <c r="J313" t="n">
        <v>0</v>
      </c>
      <c r="K313" t="n">
        <v>0</v>
      </c>
      <c r="L313" t="n">
        <v>0</v>
      </c>
      <c r="M313" t="n">
        <v>0</v>
      </c>
      <c r="N313" t="n">
        <v>0</v>
      </c>
      <c r="O313" t="n">
        <v>0</v>
      </c>
      <c r="P313" t="n">
        <v>0</v>
      </c>
      <c r="Q313" t="n">
        <v>0</v>
      </c>
      <c r="R313" s="2" t="inlineStr"/>
    </row>
    <row r="314" ht="15" customHeight="1">
      <c r="A314" t="inlineStr">
        <is>
          <t>A 25105-2025</t>
        </is>
      </c>
      <c r="B314" s="1" t="n">
        <v>45800.34751157407</v>
      </c>
      <c r="C314" s="1" t="n">
        <v>45940</v>
      </c>
      <c r="D314" t="inlineStr">
        <is>
          <t>DALARNAS LÄN</t>
        </is>
      </c>
      <c r="E314" t="inlineStr">
        <is>
          <t>LEKSAND</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7928-2023</t>
        </is>
      </c>
      <c r="B315" s="1" t="n">
        <v>44973</v>
      </c>
      <c r="C315" s="1" t="n">
        <v>45940</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25096-2025</t>
        </is>
      </c>
      <c r="B316" s="1" t="n">
        <v>45800.33868055556</v>
      </c>
      <c r="C316" s="1" t="n">
        <v>45940</v>
      </c>
      <c r="D316" t="inlineStr">
        <is>
          <t>DALARNAS LÄN</t>
        </is>
      </c>
      <c r="E316" t="inlineStr">
        <is>
          <t>LEKSAND</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2694-2025</t>
        </is>
      </c>
      <c r="B317" s="1" t="n">
        <v>45677.38246527778</v>
      </c>
      <c r="C317" s="1" t="n">
        <v>45940</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45940</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31255-2023</t>
        </is>
      </c>
      <c r="B319" s="1" t="n">
        <v>45114.36729166667</v>
      </c>
      <c r="C319" s="1" t="n">
        <v>45940</v>
      </c>
      <c r="D319" t="inlineStr">
        <is>
          <t>DALARNAS LÄN</t>
        </is>
      </c>
      <c r="E319" t="inlineStr">
        <is>
          <t>LEKSAND</t>
        </is>
      </c>
      <c r="G319" t="n">
        <v>1.3</v>
      </c>
      <c r="H319" t="n">
        <v>0</v>
      </c>
      <c r="I319" t="n">
        <v>0</v>
      </c>
      <c r="J319" t="n">
        <v>0</v>
      </c>
      <c r="K319" t="n">
        <v>0</v>
      </c>
      <c r="L319" t="n">
        <v>0</v>
      </c>
      <c r="M319" t="n">
        <v>0</v>
      </c>
      <c r="N319" t="n">
        <v>0</v>
      </c>
      <c r="O319" t="n">
        <v>0</v>
      </c>
      <c r="P319" t="n">
        <v>0</v>
      </c>
      <c r="Q319" t="n">
        <v>0</v>
      </c>
      <c r="R319" s="2" t="inlineStr"/>
    </row>
    <row r="320" ht="15" customHeight="1">
      <c r="A320" t="inlineStr">
        <is>
          <t>A 60113-2022</t>
        </is>
      </c>
      <c r="B320" s="1" t="n">
        <v>44909</v>
      </c>
      <c r="C320" s="1" t="n">
        <v>45940</v>
      </c>
      <c r="D320" t="inlineStr">
        <is>
          <t>DALARNAS LÄN</t>
        </is>
      </c>
      <c r="E320" t="inlineStr">
        <is>
          <t>LEKSAND</t>
        </is>
      </c>
      <c r="G320" t="n">
        <v>3.7</v>
      </c>
      <c r="H320" t="n">
        <v>0</v>
      </c>
      <c r="I320" t="n">
        <v>0</v>
      </c>
      <c r="J320" t="n">
        <v>0</v>
      </c>
      <c r="K320" t="n">
        <v>0</v>
      </c>
      <c r="L320" t="n">
        <v>0</v>
      </c>
      <c r="M320" t="n">
        <v>0</v>
      </c>
      <c r="N320" t="n">
        <v>0</v>
      </c>
      <c r="O320" t="n">
        <v>0</v>
      </c>
      <c r="P320" t="n">
        <v>0</v>
      </c>
      <c r="Q320" t="n">
        <v>0</v>
      </c>
      <c r="R320" s="2" t="inlineStr"/>
    </row>
    <row r="321" ht="15" customHeight="1">
      <c r="A321" t="inlineStr">
        <is>
          <t>A 19550-2023</t>
        </is>
      </c>
      <c r="B321" s="1" t="n">
        <v>45049</v>
      </c>
      <c r="C321" s="1" t="n">
        <v>45940</v>
      </c>
      <c r="D321" t="inlineStr">
        <is>
          <t>DALARNAS LÄN</t>
        </is>
      </c>
      <c r="E321" t="inlineStr">
        <is>
          <t>LEKSAND</t>
        </is>
      </c>
      <c r="G321" t="n">
        <v>1.1</v>
      </c>
      <c r="H321" t="n">
        <v>0</v>
      </c>
      <c r="I321" t="n">
        <v>0</v>
      </c>
      <c r="J321" t="n">
        <v>0</v>
      </c>
      <c r="K321" t="n">
        <v>0</v>
      </c>
      <c r="L321" t="n">
        <v>0</v>
      </c>
      <c r="M321" t="n">
        <v>0</v>
      </c>
      <c r="N321" t="n">
        <v>0</v>
      </c>
      <c r="O321" t="n">
        <v>0</v>
      </c>
      <c r="P321" t="n">
        <v>0</v>
      </c>
      <c r="Q321" t="n">
        <v>0</v>
      </c>
      <c r="R321" s="2" t="inlineStr"/>
    </row>
    <row r="322" ht="15" customHeight="1">
      <c r="A322" t="inlineStr">
        <is>
          <t>A 31915-2024</t>
        </is>
      </c>
      <c r="B322" s="1" t="n">
        <v>45510.38956018518</v>
      </c>
      <c r="C322" s="1" t="n">
        <v>45940</v>
      </c>
      <c r="D322" t="inlineStr">
        <is>
          <t>DALARNAS LÄN</t>
        </is>
      </c>
      <c r="E322" t="inlineStr">
        <is>
          <t>LEKSAND</t>
        </is>
      </c>
      <c r="G322" t="n">
        <v>1.9</v>
      </c>
      <c r="H322" t="n">
        <v>0</v>
      </c>
      <c r="I322" t="n">
        <v>0</v>
      </c>
      <c r="J322" t="n">
        <v>0</v>
      </c>
      <c r="K322" t="n">
        <v>0</v>
      </c>
      <c r="L322" t="n">
        <v>0</v>
      </c>
      <c r="M322" t="n">
        <v>0</v>
      </c>
      <c r="N322" t="n">
        <v>0</v>
      </c>
      <c r="O322" t="n">
        <v>0</v>
      </c>
      <c r="P322" t="n">
        <v>0</v>
      </c>
      <c r="Q322" t="n">
        <v>0</v>
      </c>
      <c r="R322" s="2" t="inlineStr"/>
    </row>
    <row r="323" ht="15" customHeight="1">
      <c r="A323" t="inlineStr">
        <is>
          <t>A 51480-2022</t>
        </is>
      </c>
      <c r="B323" s="1" t="n">
        <v>44869.57961805556</v>
      </c>
      <c r="C323" s="1" t="n">
        <v>45940</v>
      </c>
      <c r="D323" t="inlineStr">
        <is>
          <t>DALARNAS LÄN</t>
        </is>
      </c>
      <c r="E323" t="inlineStr">
        <is>
          <t>LEKSAND</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47503-2024</t>
        </is>
      </c>
      <c r="B324" s="1" t="n">
        <v>45587.60262731482</v>
      </c>
      <c r="C324" s="1" t="n">
        <v>45940</v>
      </c>
      <c r="D324" t="inlineStr">
        <is>
          <t>DALARNAS LÄN</t>
        </is>
      </c>
      <c r="E324" t="inlineStr">
        <is>
          <t>LEKSAND</t>
        </is>
      </c>
      <c r="G324" t="n">
        <v>3.6</v>
      </c>
      <c r="H324" t="n">
        <v>0</v>
      </c>
      <c r="I324" t="n">
        <v>0</v>
      </c>
      <c r="J324" t="n">
        <v>0</v>
      </c>
      <c r="K324" t="n">
        <v>0</v>
      </c>
      <c r="L324" t="n">
        <v>0</v>
      </c>
      <c r="M324" t="n">
        <v>0</v>
      </c>
      <c r="N324" t="n">
        <v>0</v>
      </c>
      <c r="O324" t="n">
        <v>0</v>
      </c>
      <c r="P324" t="n">
        <v>0</v>
      </c>
      <c r="Q324" t="n">
        <v>0</v>
      </c>
      <c r="R324" s="2" t="inlineStr"/>
    </row>
    <row r="325" ht="15" customHeight="1">
      <c r="A325" t="inlineStr">
        <is>
          <t>A 402-2024</t>
        </is>
      </c>
      <c r="B325" s="1" t="n">
        <v>45296.45545138889</v>
      </c>
      <c r="C325" s="1" t="n">
        <v>45940</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33593-2024</t>
        </is>
      </c>
      <c r="B326" s="1" t="n">
        <v>45520.36055555556</v>
      </c>
      <c r="C326" s="1" t="n">
        <v>45940</v>
      </c>
      <c r="D326" t="inlineStr">
        <is>
          <t>DALARNAS LÄN</t>
        </is>
      </c>
      <c r="E326" t="inlineStr">
        <is>
          <t>LEKSAND</t>
        </is>
      </c>
      <c r="G326" t="n">
        <v>0.3</v>
      </c>
      <c r="H326" t="n">
        <v>0</v>
      </c>
      <c r="I326" t="n">
        <v>0</v>
      </c>
      <c r="J326" t="n">
        <v>0</v>
      </c>
      <c r="K326" t="n">
        <v>0</v>
      </c>
      <c r="L326" t="n">
        <v>0</v>
      </c>
      <c r="M326" t="n">
        <v>0</v>
      </c>
      <c r="N326" t="n">
        <v>0</v>
      </c>
      <c r="O326" t="n">
        <v>0</v>
      </c>
      <c r="P326" t="n">
        <v>0</v>
      </c>
      <c r="Q326" t="n">
        <v>0</v>
      </c>
      <c r="R326" s="2" t="inlineStr"/>
    </row>
    <row r="327" ht="15" customHeight="1">
      <c r="A327" t="inlineStr">
        <is>
          <t>A 7778-2025</t>
        </is>
      </c>
      <c r="B327" s="1" t="n">
        <v>45706</v>
      </c>
      <c r="C327" s="1" t="n">
        <v>45940</v>
      </c>
      <c r="D327" t="inlineStr">
        <is>
          <t>DALARNAS LÄN</t>
        </is>
      </c>
      <c r="E327" t="inlineStr">
        <is>
          <t>LEKSAND</t>
        </is>
      </c>
      <c r="G327" t="n">
        <v>2.2</v>
      </c>
      <c r="H327" t="n">
        <v>0</v>
      </c>
      <c r="I327" t="n">
        <v>0</v>
      </c>
      <c r="J327" t="n">
        <v>0</v>
      </c>
      <c r="K327" t="n">
        <v>0</v>
      </c>
      <c r="L327" t="n">
        <v>0</v>
      </c>
      <c r="M327" t="n">
        <v>0</v>
      </c>
      <c r="N327" t="n">
        <v>0</v>
      </c>
      <c r="O327" t="n">
        <v>0</v>
      </c>
      <c r="P327" t="n">
        <v>0</v>
      </c>
      <c r="Q327" t="n">
        <v>0</v>
      </c>
      <c r="R327" s="2" t="inlineStr"/>
    </row>
    <row r="328" ht="15" customHeight="1">
      <c r="A328" t="inlineStr">
        <is>
          <t>A 43220-2024</t>
        </is>
      </c>
      <c r="B328" s="1" t="n">
        <v>45567.86112268519</v>
      </c>
      <c r="C328" s="1" t="n">
        <v>45940</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2517-2024</t>
        </is>
      </c>
      <c r="B329" s="1" t="n">
        <v>45313</v>
      </c>
      <c r="C329" s="1" t="n">
        <v>45940</v>
      </c>
      <c r="D329" t="inlineStr">
        <is>
          <t>DALARNAS LÄN</t>
        </is>
      </c>
      <c r="E329" t="inlineStr">
        <is>
          <t>LEKSAND</t>
        </is>
      </c>
      <c r="F329" t="inlineStr">
        <is>
          <t>Bergvik skog väst AB</t>
        </is>
      </c>
      <c r="G329" t="n">
        <v>4</v>
      </c>
      <c r="H329" t="n">
        <v>0</v>
      </c>
      <c r="I329" t="n">
        <v>0</v>
      </c>
      <c r="J329" t="n">
        <v>0</v>
      </c>
      <c r="K329" t="n">
        <v>0</v>
      </c>
      <c r="L329" t="n">
        <v>0</v>
      </c>
      <c r="M329" t="n">
        <v>0</v>
      </c>
      <c r="N329" t="n">
        <v>0</v>
      </c>
      <c r="O329" t="n">
        <v>0</v>
      </c>
      <c r="P329" t="n">
        <v>0</v>
      </c>
      <c r="Q329" t="n">
        <v>0</v>
      </c>
      <c r="R329" s="2" t="inlineStr"/>
    </row>
    <row r="330" ht="15" customHeight="1">
      <c r="A330" t="inlineStr">
        <is>
          <t>A 12857-2023</t>
        </is>
      </c>
      <c r="B330" s="1" t="n">
        <v>45001.5000462963</v>
      </c>
      <c r="C330" s="1" t="n">
        <v>45940</v>
      </c>
      <c r="D330" t="inlineStr">
        <is>
          <t>DALARNAS LÄN</t>
        </is>
      </c>
      <c r="E330" t="inlineStr">
        <is>
          <t>LEKSAND</t>
        </is>
      </c>
      <c r="G330" t="n">
        <v>0.2</v>
      </c>
      <c r="H330" t="n">
        <v>0</v>
      </c>
      <c r="I330" t="n">
        <v>0</v>
      </c>
      <c r="J330" t="n">
        <v>0</v>
      </c>
      <c r="K330" t="n">
        <v>0</v>
      </c>
      <c r="L330" t="n">
        <v>0</v>
      </c>
      <c r="M330" t="n">
        <v>0</v>
      </c>
      <c r="N330" t="n">
        <v>0</v>
      </c>
      <c r="O330" t="n">
        <v>0</v>
      </c>
      <c r="P330" t="n">
        <v>0</v>
      </c>
      <c r="Q330" t="n">
        <v>0</v>
      </c>
      <c r="R330" s="2" t="inlineStr"/>
    </row>
    <row r="331" ht="15" customHeight="1">
      <c r="A331" t="inlineStr">
        <is>
          <t>A 32072-2024</t>
        </is>
      </c>
      <c r="B331" s="1" t="n">
        <v>45510.98405092592</v>
      </c>
      <c r="C331" s="1" t="n">
        <v>45940</v>
      </c>
      <c r="D331" t="inlineStr">
        <is>
          <t>DALARNAS LÄN</t>
        </is>
      </c>
      <c r="E331" t="inlineStr">
        <is>
          <t>LEKSAND</t>
        </is>
      </c>
      <c r="G331" t="n">
        <v>1.4</v>
      </c>
      <c r="H331" t="n">
        <v>0</v>
      </c>
      <c r="I331" t="n">
        <v>0</v>
      </c>
      <c r="J331" t="n">
        <v>0</v>
      </c>
      <c r="K331" t="n">
        <v>0</v>
      </c>
      <c r="L331" t="n">
        <v>0</v>
      </c>
      <c r="M331" t="n">
        <v>0</v>
      </c>
      <c r="N331" t="n">
        <v>0</v>
      </c>
      <c r="O331" t="n">
        <v>0</v>
      </c>
      <c r="P331" t="n">
        <v>0</v>
      </c>
      <c r="Q331" t="n">
        <v>0</v>
      </c>
      <c r="R331" s="2" t="inlineStr"/>
    </row>
    <row r="332" ht="15" customHeight="1">
      <c r="A332" t="inlineStr">
        <is>
          <t>A 49397-2024</t>
        </is>
      </c>
      <c r="B332" s="1" t="n">
        <v>45595</v>
      </c>
      <c r="C332" s="1" t="n">
        <v>45940</v>
      </c>
      <c r="D332" t="inlineStr">
        <is>
          <t>DALARNAS LÄN</t>
        </is>
      </c>
      <c r="E332" t="inlineStr">
        <is>
          <t>LEKSAND</t>
        </is>
      </c>
      <c r="G332" t="n">
        <v>4.3</v>
      </c>
      <c r="H332" t="n">
        <v>0</v>
      </c>
      <c r="I332" t="n">
        <v>0</v>
      </c>
      <c r="J332" t="n">
        <v>0</v>
      </c>
      <c r="K332" t="n">
        <v>0</v>
      </c>
      <c r="L332" t="n">
        <v>0</v>
      </c>
      <c r="M332" t="n">
        <v>0</v>
      </c>
      <c r="N332" t="n">
        <v>0</v>
      </c>
      <c r="O332" t="n">
        <v>0</v>
      </c>
      <c r="P332" t="n">
        <v>0</v>
      </c>
      <c r="Q332" t="n">
        <v>0</v>
      </c>
      <c r="R332" s="2" t="inlineStr"/>
    </row>
    <row r="333" ht="15" customHeight="1">
      <c r="A333" t="inlineStr">
        <is>
          <t>A 56299-2024</t>
        </is>
      </c>
      <c r="B333" s="1" t="n">
        <v>45624.68607638889</v>
      </c>
      <c r="C333" s="1" t="n">
        <v>45940</v>
      </c>
      <c r="D333" t="inlineStr">
        <is>
          <t>DALARNAS LÄN</t>
        </is>
      </c>
      <c r="E333" t="inlineStr">
        <is>
          <t>LEKSAND</t>
        </is>
      </c>
      <c r="G333" t="n">
        <v>1.6</v>
      </c>
      <c r="H333" t="n">
        <v>0</v>
      </c>
      <c r="I333" t="n">
        <v>0</v>
      </c>
      <c r="J333" t="n">
        <v>0</v>
      </c>
      <c r="K333" t="n">
        <v>0</v>
      </c>
      <c r="L333" t="n">
        <v>0</v>
      </c>
      <c r="M333" t="n">
        <v>0</v>
      </c>
      <c r="N333" t="n">
        <v>0</v>
      </c>
      <c r="O333" t="n">
        <v>0</v>
      </c>
      <c r="P333" t="n">
        <v>0</v>
      </c>
      <c r="Q333" t="n">
        <v>0</v>
      </c>
      <c r="R333" s="2" t="inlineStr"/>
    </row>
    <row r="334" ht="15" customHeight="1">
      <c r="A334" t="inlineStr">
        <is>
          <t>A 17483-2025</t>
        </is>
      </c>
      <c r="B334" s="1" t="n">
        <v>45757.49408564815</v>
      </c>
      <c r="C334" s="1" t="n">
        <v>45940</v>
      </c>
      <c r="D334" t="inlineStr">
        <is>
          <t>DALARNAS LÄN</t>
        </is>
      </c>
      <c r="E334" t="inlineStr">
        <is>
          <t>LEKSAND</t>
        </is>
      </c>
      <c r="G334" t="n">
        <v>4.1</v>
      </c>
      <c r="H334" t="n">
        <v>0</v>
      </c>
      <c r="I334" t="n">
        <v>0</v>
      </c>
      <c r="J334" t="n">
        <v>0</v>
      </c>
      <c r="K334" t="n">
        <v>0</v>
      </c>
      <c r="L334" t="n">
        <v>0</v>
      </c>
      <c r="M334" t="n">
        <v>0</v>
      </c>
      <c r="N334" t="n">
        <v>0</v>
      </c>
      <c r="O334" t="n">
        <v>0</v>
      </c>
      <c r="P334" t="n">
        <v>0</v>
      </c>
      <c r="Q334" t="n">
        <v>0</v>
      </c>
      <c r="R334" s="2" t="inlineStr"/>
    </row>
    <row r="335" ht="15" customHeight="1">
      <c r="A335" t="inlineStr">
        <is>
          <t>A 57907-2024</t>
        </is>
      </c>
      <c r="B335" s="1" t="n">
        <v>45630</v>
      </c>
      <c r="C335" s="1" t="n">
        <v>45940</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26423-2025</t>
        </is>
      </c>
      <c r="B336" s="1" t="n">
        <v>45807.37829861111</v>
      </c>
      <c r="C336" s="1" t="n">
        <v>45940</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18481-2024</t>
        </is>
      </c>
      <c r="B337" s="1" t="n">
        <v>45425.52193287037</v>
      </c>
      <c r="C337" s="1" t="n">
        <v>45940</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8046-2024</t>
        </is>
      </c>
      <c r="B338" s="1" t="n">
        <v>45351.31555555556</v>
      </c>
      <c r="C338" s="1" t="n">
        <v>45940</v>
      </c>
      <c r="D338" t="inlineStr">
        <is>
          <t>DALARNAS LÄN</t>
        </is>
      </c>
      <c r="E338" t="inlineStr">
        <is>
          <t>LEKSAND</t>
        </is>
      </c>
      <c r="G338" t="n">
        <v>2.9</v>
      </c>
      <c r="H338" t="n">
        <v>0</v>
      </c>
      <c r="I338" t="n">
        <v>0</v>
      </c>
      <c r="J338" t="n">
        <v>0</v>
      </c>
      <c r="K338" t="n">
        <v>0</v>
      </c>
      <c r="L338" t="n">
        <v>0</v>
      </c>
      <c r="M338" t="n">
        <v>0</v>
      </c>
      <c r="N338" t="n">
        <v>0</v>
      </c>
      <c r="O338" t="n">
        <v>0</v>
      </c>
      <c r="P338" t="n">
        <v>0</v>
      </c>
      <c r="Q338" t="n">
        <v>0</v>
      </c>
      <c r="R338" s="2" t="inlineStr"/>
    </row>
    <row r="339" ht="15" customHeight="1">
      <c r="A339" t="inlineStr">
        <is>
          <t>A 7827-2024</t>
        </is>
      </c>
      <c r="B339" s="1" t="n">
        <v>45349.7467824074</v>
      </c>
      <c r="C339" s="1" t="n">
        <v>45940</v>
      </c>
      <c r="D339" t="inlineStr">
        <is>
          <t>DALARNAS LÄN</t>
        </is>
      </c>
      <c r="E339" t="inlineStr">
        <is>
          <t>LEKSAND</t>
        </is>
      </c>
      <c r="G339" t="n">
        <v>2.2</v>
      </c>
      <c r="H339" t="n">
        <v>0</v>
      </c>
      <c r="I339" t="n">
        <v>0</v>
      </c>
      <c r="J339" t="n">
        <v>0</v>
      </c>
      <c r="K339" t="n">
        <v>0</v>
      </c>
      <c r="L339" t="n">
        <v>0</v>
      </c>
      <c r="M339" t="n">
        <v>0</v>
      </c>
      <c r="N339" t="n">
        <v>0</v>
      </c>
      <c r="O339" t="n">
        <v>0</v>
      </c>
      <c r="P339" t="n">
        <v>0</v>
      </c>
      <c r="Q339" t="n">
        <v>0</v>
      </c>
      <c r="R339" s="2" t="inlineStr"/>
    </row>
    <row r="340" ht="15" customHeight="1">
      <c r="A340" t="inlineStr">
        <is>
          <t>A 26386-2025</t>
        </is>
      </c>
      <c r="B340" s="1" t="n">
        <v>45806</v>
      </c>
      <c r="C340" s="1" t="n">
        <v>45940</v>
      </c>
      <c r="D340" t="inlineStr">
        <is>
          <t>DALARNAS LÄN</t>
        </is>
      </c>
      <c r="E340" t="inlineStr">
        <is>
          <t>LEKSAND</t>
        </is>
      </c>
      <c r="F340" t="inlineStr">
        <is>
          <t>Bergvik skog väst AB</t>
        </is>
      </c>
      <c r="G340" t="n">
        <v>26.3</v>
      </c>
      <c r="H340" t="n">
        <v>0</v>
      </c>
      <c r="I340" t="n">
        <v>0</v>
      </c>
      <c r="J340" t="n">
        <v>0</v>
      </c>
      <c r="K340" t="n">
        <v>0</v>
      </c>
      <c r="L340" t="n">
        <v>0</v>
      </c>
      <c r="M340" t="n">
        <v>0</v>
      </c>
      <c r="N340" t="n">
        <v>0</v>
      </c>
      <c r="O340" t="n">
        <v>0</v>
      </c>
      <c r="P340" t="n">
        <v>0</v>
      </c>
      <c r="Q340" t="n">
        <v>0</v>
      </c>
      <c r="R340" s="2" t="inlineStr"/>
    </row>
    <row r="341" ht="15" customHeight="1">
      <c r="A341" t="inlineStr">
        <is>
          <t>A 43735-2022</t>
        </is>
      </c>
      <c r="B341" s="1" t="n">
        <v>44837.70210648148</v>
      </c>
      <c r="C341" s="1" t="n">
        <v>45940</v>
      </c>
      <c r="D341" t="inlineStr">
        <is>
          <t>DALARNAS LÄN</t>
        </is>
      </c>
      <c r="E341" t="inlineStr">
        <is>
          <t>LEKSAND</t>
        </is>
      </c>
      <c r="G341" t="n">
        <v>2.9</v>
      </c>
      <c r="H341" t="n">
        <v>0</v>
      </c>
      <c r="I341" t="n">
        <v>0</v>
      </c>
      <c r="J341" t="n">
        <v>0</v>
      </c>
      <c r="K341" t="n">
        <v>0</v>
      </c>
      <c r="L341" t="n">
        <v>0</v>
      </c>
      <c r="M341" t="n">
        <v>0</v>
      </c>
      <c r="N341" t="n">
        <v>0</v>
      </c>
      <c r="O341" t="n">
        <v>0</v>
      </c>
      <c r="P341" t="n">
        <v>0</v>
      </c>
      <c r="Q341" t="n">
        <v>0</v>
      </c>
      <c r="R341" s="2" t="inlineStr"/>
    </row>
    <row r="342" ht="15" customHeight="1">
      <c r="A342" t="inlineStr">
        <is>
          <t>A 20936-2023</t>
        </is>
      </c>
      <c r="B342" s="1" t="n">
        <v>45061</v>
      </c>
      <c r="C342" s="1" t="n">
        <v>45940</v>
      </c>
      <c r="D342" t="inlineStr">
        <is>
          <t>DALARNAS LÄN</t>
        </is>
      </c>
      <c r="E342" t="inlineStr">
        <is>
          <t>LEKSAND</t>
        </is>
      </c>
      <c r="G342" t="n">
        <v>0.3</v>
      </c>
      <c r="H342" t="n">
        <v>0</v>
      </c>
      <c r="I342" t="n">
        <v>0</v>
      </c>
      <c r="J342" t="n">
        <v>0</v>
      </c>
      <c r="K342" t="n">
        <v>0</v>
      </c>
      <c r="L342" t="n">
        <v>0</v>
      </c>
      <c r="M342" t="n">
        <v>0</v>
      </c>
      <c r="N342" t="n">
        <v>0</v>
      </c>
      <c r="O342" t="n">
        <v>0</v>
      </c>
      <c r="P342" t="n">
        <v>0</v>
      </c>
      <c r="Q342" t="n">
        <v>0</v>
      </c>
      <c r="R342" s="2" t="inlineStr"/>
    </row>
    <row r="343" ht="15" customHeight="1">
      <c r="A343" t="inlineStr">
        <is>
          <t>A 44469-2024</t>
        </is>
      </c>
      <c r="B343" s="1" t="n">
        <v>45574</v>
      </c>
      <c r="C343" s="1" t="n">
        <v>45940</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53464-2024</t>
        </is>
      </c>
      <c r="B344" s="1" t="n">
        <v>45611</v>
      </c>
      <c r="C344" s="1" t="n">
        <v>45940</v>
      </c>
      <c r="D344" t="inlineStr">
        <is>
          <t>DALARNAS LÄN</t>
        </is>
      </c>
      <c r="E344" t="inlineStr">
        <is>
          <t>LEKSAND</t>
        </is>
      </c>
      <c r="G344" t="n">
        <v>1.7</v>
      </c>
      <c r="H344" t="n">
        <v>0</v>
      </c>
      <c r="I344" t="n">
        <v>0</v>
      </c>
      <c r="J344" t="n">
        <v>0</v>
      </c>
      <c r="K344" t="n">
        <v>0</v>
      </c>
      <c r="L344" t="n">
        <v>0</v>
      </c>
      <c r="M344" t="n">
        <v>0</v>
      </c>
      <c r="N344" t="n">
        <v>0</v>
      </c>
      <c r="O344" t="n">
        <v>0</v>
      </c>
      <c r="P344" t="n">
        <v>0</v>
      </c>
      <c r="Q344" t="n">
        <v>0</v>
      </c>
      <c r="R344" s="2" t="inlineStr"/>
    </row>
    <row r="345" ht="15" customHeight="1">
      <c r="A345" t="inlineStr">
        <is>
          <t>A 9105-2024</t>
        </is>
      </c>
      <c r="B345" s="1" t="n">
        <v>45357</v>
      </c>
      <c r="C345" s="1" t="n">
        <v>45940</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24005-2024</t>
        </is>
      </c>
      <c r="B346" s="1" t="n">
        <v>45456.39239583333</v>
      </c>
      <c r="C346" s="1" t="n">
        <v>45940</v>
      </c>
      <c r="D346" t="inlineStr">
        <is>
          <t>DALARNAS LÄN</t>
        </is>
      </c>
      <c r="E346" t="inlineStr">
        <is>
          <t>LEKSAND</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61225-2023</t>
        </is>
      </c>
      <c r="B347" s="1" t="n">
        <v>45264</v>
      </c>
      <c r="C347" s="1" t="n">
        <v>45940</v>
      </c>
      <c r="D347" t="inlineStr">
        <is>
          <t>DALARNAS LÄN</t>
        </is>
      </c>
      <c r="E347" t="inlineStr">
        <is>
          <t>LEKSAND</t>
        </is>
      </c>
      <c r="G347" t="n">
        <v>7</v>
      </c>
      <c r="H347" t="n">
        <v>0</v>
      </c>
      <c r="I347" t="n">
        <v>0</v>
      </c>
      <c r="J347" t="n">
        <v>0</v>
      </c>
      <c r="K347" t="n">
        <v>0</v>
      </c>
      <c r="L347" t="n">
        <v>0</v>
      </c>
      <c r="M347" t="n">
        <v>0</v>
      </c>
      <c r="N347" t="n">
        <v>0</v>
      </c>
      <c r="O347" t="n">
        <v>0</v>
      </c>
      <c r="P347" t="n">
        <v>0</v>
      </c>
      <c r="Q347" t="n">
        <v>0</v>
      </c>
      <c r="R347" s="2" t="inlineStr"/>
    </row>
    <row r="348" ht="15" customHeight="1">
      <c r="A348" t="inlineStr">
        <is>
          <t>A 46628-2024</t>
        </is>
      </c>
      <c r="B348" s="1" t="n">
        <v>45583.33195601852</v>
      </c>
      <c r="C348" s="1" t="n">
        <v>45940</v>
      </c>
      <c r="D348" t="inlineStr">
        <is>
          <t>DALARNAS LÄN</t>
        </is>
      </c>
      <c r="E348" t="inlineStr">
        <is>
          <t>LEKSAND</t>
        </is>
      </c>
      <c r="G348" t="n">
        <v>0.2</v>
      </c>
      <c r="H348" t="n">
        <v>0</v>
      </c>
      <c r="I348" t="n">
        <v>0</v>
      </c>
      <c r="J348" t="n">
        <v>0</v>
      </c>
      <c r="K348" t="n">
        <v>0</v>
      </c>
      <c r="L348" t="n">
        <v>0</v>
      </c>
      <c r="M348" t="n">
        <v>0</v>
      </c>
      <c r="N348" t="n">
        <v>0</v>
      </c>
      <c r="O348" t="n">
        <v>0</v>
      </c>
      <c r="P348" t="n">
        <v>0</v>
      </c>
      <c r="Q348" t="n">
        <v>0</v>
      </c>
      <c r="R348" s="2" t="inlineStr"/>
    </row>
    <row r="349" ht="15" customHeight="1">
      <c r="A349" t="inlineStr">
        <is>
          <t>A 25329-2022</t>
        </is>
      </c>
      <c r="B349" s="1" t="n">
        <v>44731.8799537037</v>
      </c>
      <c r="C349" s="1" t="n">
        <v>45940</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15968-2025</t>
        </is>
      </c>
      <c r="B350" s="1" t="n">
        <v>45749.54818287037</v>
      </c>
      <c r="C350" s="1" t="n">
        <v>45940</v>
      </c>
      <c r="D350" t="inlineStr">
        <is>
          <t>DALARNAS LÄN</t>
        </is>
      </c>
      <c r="E350" t="inlineStr">
        <is>
          <t>LEKSAND</t>
        </is>
      </c>
      <c r="G350" t="n">
        <v>3.2</v>
      </c>
      <c r="H350" t="n">
        <v>0</v>
      </c>
      <c r="I350" t="n">
        <v>0</v>
      </c>
      <c r="J350" t="n">
        <v>0</v>
      </c>
      <c r="K350" t="n">
        <v>0</v>
      </c>
      <c r="L350" t="n">
        <v>0</v>
      </c>
      <c r="M350" t="n">
        <v>0</v>
      </c>
      <c r="N350" t="n">
        <v>0</v>
      </c>
      <c r="O350" t="n">
        <v>0</v>
      </c>
      <c r="P350" t="n">
        <v>0</v>
      </c>
      <c r="Q350" t="n">
        <v>0</v>
      </c>
      <c r="R350" s="2" t="inlineStr"/>
    </row>
    <row r="351" ht="15" customHeight="1">
      <c r="A351" t="inlineStr">
        <is>
          <t>A 43222-2024</t>
        </is>
      </c>
      <c r="B351" s="1" t="n">
        <v>45567.87177083334</v>
      </c>
      <c r="C351" s="1" t="n">
        <v>45940</v>
      </c>
      <c r="D351" t="inlineStr">
        <is>
          <t>DALARNAS LÄN</t>
        </is>
      </c>
      <c r="E351" t="inlineStr">
        <is>
          <t>LEKSAND</t>
        </is>
      </c>
      <c r="F351" t="inlineStr">
        <is>
          <t>Bergvik skog väst AB</t>
        </is>
      </c>
      <c r="G351" t="n">
        <v>8.6</v>
      </c>
      <c r="H351" t="n">
        <v>0</v>
      </c>
      <c r="I351" t="n">
        <v>0</v>
      </c>
      <c r="J351" t="n">
        <v>0</v>
      </c>
      <c r="K351" t="n">
        <v>0</v>
      </c>
      <c r="L351" t="n">
        <v>0</v>
      </c>
      <c r="M351" t="n">
        <v>0</v>
      </c>
      <c r="N351" t="n">
        <v>0</v>
      </c>
      <c r="O351" t="n">
        <v>0</v>
      </c>
      <c r="P351" t="n">
        <v>0</v>
      </c>
      <c r="Q351" t="n">
        <v>0</v>
      </c>
      <c r="R351" s="2" t="inlineStr"/>
    </row>
    <row r="352" ht="15" customHeight="1">
      <c r="A352" t="inlineStr">
        <is>
          <t>A 43231-2024</t>
        </is>
      </c>
      <c r="B352" s="1" t="n">
        <v>45567.89709490741</v>
      </c>
      <c r="C352" s="1" t="n">
        <v>45940</v>
      </c>
      <c r="D352" t="inlineStr">
        <is>
          <t>DALARNAS LÄN</t>
        </is>
      </c>
      <c r="E352" t="inlineStr">
        <is>
          <t>LEKSAND</t>
        </is>
      </c>
      <c r="G352" t="n">
        <v>1.9</v>
      </c>
      <c r="H352" t="n">
        <v>0</v>
      </c>
      <c r="I352" t="n">
        <v>0</v>
      </c>
      <c r="J352" t="n">
        <v>0</v>
      </c>
      <c r="K352" t="n">
        <v>0</v>
      </c>
      <c r="L352" t="n">
        <v>0</v>
      </c>
      <c r="M352" t="n">
        <v>0</v>
      </c>
      <c r="N352" t="n">
        <v>0</v>
      </c>
      <c r="O352" t="n">
        <v>0</v>
      </c>
      <c r="P352" t="n">
        <v>0</v>
      </c>
      <c r="Q352" t="n">
        <v>0</v>
      </c>
      <c r="R352" s="2" t="inlineStr"/>
    </row>
    <row r="353" ht="15" customHeight="1">
      <c r="A353" t="inlineStr">
        <is>
          <t>A 17533-2023</t>
        </is>
      </c>
      <c r="B353" s="1" t="n">
        <v>45036</v>
      </c>
      <c r="C353" s="1" t="n">
        <v>45940</v>
      </c>
      <c r="D353" t="inlineStr">
        <is>
          <t>DALARNAS LÄN</t>
        </is>
      </c>
      <c r="E353" t="inlineStr">
        <is>
          <t>LEKSAND</t>
        </is>
      </c>
      <c r="G353" t="n">
        <v>3</v>
      </c>
      <c r="H353" t="n">
        <v>0</v>
      </c>
      <c r="I353" t="n">
        <v>0</v>
      </c>
      <c r="J353" t="n">
        <v>0</v>
      </c>
      <c r="K353" t="n">
        <v>0</v>
      </c>
      <c r="L353" t="n">
        <v>0</v>
      </c>
      <c r="M353" t="n">
        <v>0</v>
      </c>
      <c r="N353" t="n">
        <v>0</v>
      </c>
      <c r="O353" t="n">
        <v>0</v>
      </c>
      <c r="P353" t="n">
        <v>0</v>
      </c>
      <c r="Q353" t="n">
        <v>0</v>
      </c>
      <c r="R353" s="2" t="inlineStr"/>
    </row>
    <row r="354" ht="15" customHeight="1">
      <c r="A354" t="inlineStr">
        <is>
          <t>A 30196-2023</t>
        </is>
      </c>
      <c r="B354" s="1" t="n">
        <v>45110</v>
      </c>
      <c r="C354" s="1" t="n">
        <v>45940</v>
      </c>
      <c r="D354" t="inlineStr">
        <is>
          <t>DALARNAS LÄN</t>
        </is>
      </c>
      <c r="E354" t="inlineStr">
        <is>
          <t>LEKSAND</t>
        </is>
      </c>
      <c r="G354" t="n">
        <v>1.2</v>
      </c>
      <c r="H354" t="n">
        <v>0</v>
      </c>
      <c r="I354" t="n">
        <v>0</v>
      </c>
      <c r="J354" t="n">
        <v>0</v>
      </c>
      <c r="K354" t="n">
        <v>0</v>
      </c>
      <c r="L354" t="n">
        <v>0</v>
      </c>
      <c r="M354" t="n">
        <v>0</v>
      </c>
      <c r="N354" t="n">
        <v>0</v>
      </c>
      <c r="O354" t="n">
        <v>0</v>
      </c>
      <c r="P354" t="n">
        <v>0</v>
      </c>
      <c r="Q354" t="n">
        <v>0</v>
      </c>
      <c r="R354" s="2" t="inlineStr"/>
    </row>
    <row r="355" ht="15" customHeight="1">
      <c r="A355" t="inlineStr">
        <is>
          <t>A 54914-2024</t>
        </is>
      </c>
      <c r="B355" s="1" t="n">
        <v>45618.69380787037</v>
      </c>
      <c r="C355" s="1" t="n">
        <v>45940</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10833-2023</t>
        </is>
      </c>
      <c r="B356" s="1" t="n">
        <v>44990</v>
      </c>
      <c r="C356" s="1" t="n">
        <v>45940</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27323-2025</t>
        </is>
      </c>
      <c r="B357" s="1" t="n">
        <v>45812.60392361111</v>
      </c>
      <c r="C357" s="1" t="n">
        <v>45940</v>
      </c>
      <c r="D357" t="inlineStr">
        <is>
          <t>DALARNAS LÄN</t>
        </is>
      </c>
      <c r="E357" t="inlineStr">
        <is>
          <t>LEKSAND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27262-2025</t>
        </is>
      </c>
      <c r="B358" s="1" t="n">
        <v>45812</v>
      </c>
      <c r="C358" s="1" t="n">
        <v>45940</v>
      </c>
      <c r="D358" t="inlineStr">
        <is>
          <t>DALARNAS LÄN</t>
        </is>
      </c>
      <c r="E358" t="inlineStr">
        <is>
          <t>LEKSAND</t>
        </is>
      </c>
      <c r="F358" t="inlineStr">
        <is>
          <t>Bergvik skog väst AB</t>
        </is>
      </c>
      <c r="G358" t="n">
        <v>7.7</v>
      </c>
      <c r="H358" t="n">
        <v>0</v>
      </c>
      <c r="I358" t="n">
        <v>0</v>
      </c>
      <c r="J358" t="n">
        <v>0</v>
      </c>
      <c r="K358" t="n">
        <v>0</v>
      </c>
      <c r="L358" t="n">
        <v>0</v>
      </c>
      <c r="M358" t="n">
        <v>0</v>
      </c>
      <c r="N358" t="n">
        <v>0</v>
      </c>
      <c r="O358" t="n">
        <v>0</v>
      </c>
      <c r="P358" t="n">
        <v>0</v>
      </c>
      <c r="Q358" t="n">
        <v>0</v>
      </c>
      <c r="R358" s="2" t="inlineStr"/>
    </row>
    <row r="359" ht="15" customHeight="1">
      <c r="A359" t="inlineStr">
        <is>
          <t>A 47121-2021</t>
        </is>
      </c>
      <c r="B359" s="1" t="n">
        <v>44446</v>
      </c>
      <c r="C359" s="1" t="n">
        <v>45940</v>
      </c>
      <c r="D359" t="inlineStr">
        <is>
          <t>DALARNAS LÄN</t>
        </is>
      </c>
      <c r="E359" t="inlineStr">
        <is>
          <t>LEKSAND</t>
        </is>
      </c>
      <c r="G359" t="n">
        <v>3.5</v>
      </c>
      <c r="H359" t="n">
        <v>0</v>
      </c>
      <c r="I359" t="n">
        <v>0</v>
      </c>
      <c r="J359" t="n">
        <v>0</v>
      </c>
      <c r="K359" t="n">
        <v>0</v>
      </c>
      <c r="L359" t="n">
        <v>0</v>
      </c>
      <c r="M359" t="n">
        <v>0</v>
      </c>
      <c r="N359" t="n">
        <v>0</v>
      </c>
      <c r="O359" t="n">
        <v>0</v>
      </c>
      <c r="P359" t="n">
        <v>0</v>
      </c>
      <c r="Q359" t="n">
        <v>0</v>
      </c>
      <c r="R359" s="2" t="inlineStr"/>
    </row>
    <row r="360" ht="15" customHeight="1">
      <c r="A360" t="inlineStr">
        <is>
          <t>A 36444-2023</t>
        </is>
      </c>
      <c r="B360" s="1" t="n">
        <v>45152.63138888889</v>
      </c>
      <c r="C360" s="1" t="n">
        <v>45940</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39921-2024</t>
        </is>
      </c>
      <c r="B361" s="1" t="n">
        <v>45553</v>
      </c>
      <c r="C361" s="1" t="n">
        <v>45940</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47068-2025</t>
        </is>
      </c>
      <c r="B362" s="1" t="n">
        <v>45929.63511574074</v>
      </c>
      <c r="C362" s="1" t="n">
        <v>45940</v>
      </c>
      <c r="D362" t="inlineStr">
        <is>
          <t>DALARNAS LÄN</t>
        </is>
      </c>
      <c r="E362" t="inlineStr">
        <is>
          <t>LEKSAND</t>
        </is>
      </c>
      <c r="G362" t="n">
        <v>3.4</v>
      </c>
      <c r="H362" t="n">
        <v>0</v>
      </c>
      <c r="I362" t="n">
        <v>0</v>
      </c>
      <c r="J362" t="n">
        <v>0</v>
      </c>
      <c r="K362" t="n">
        <v>0</v>
      </c>
      <c r="L362" t="n">
        <v>0</v>
      </c>
      <c r="M362" t="n">
        <v>0</v>
      </c>
      <c r="N362" t="n">
        <v>0</v>
      </c>
      <c r="O362" t="n">
        <v>0</v>
      </c>
      <c r="P362" t="n">
        <v>0</v>
      </c>
      <c r="Q362" t="n">
        <v>0</v>
      </c>
      <c r="R362" s="2" t="inlineStr"/>
    </row>
    <row r="363" ht="15" customHeight="1">
      <c r="A363" t="inlineStr">
        <is>
          <t>A 58244-2024</t>
        </is>
      </c>
      <c r="B363" s="1" t="n">
        <v>45631</v>
      </c>
      <c r="C363" s="1" t="n">
        <v>45940</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21402-2023</t>
        </is>
      </c>
      <c r="B364" s="1" t="n">
        <v>45061</v>
      </c>
      <c r="C364" s="1" t="n">
        <v>45940</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27332-2025</t>
        </is>
      </c>
      <c r="B365" s="1" t="n">
        <v>45812.61265046296</v>
      </c>
      <c r="C365" s="1" t="n">
        <v>45940</v>
      </c>
      <c r="D365" t="inlineStr">
        <is>
          <t>DALARNAS LÄN</t>
        </is>
      </c>
      <c r="E365" t="inlineStr">
        <is>
          <t>LEKSAND</t>
        </is>
      </c>
      <c r="F365" t="inlineStr">
        <is>
          <t>Bergvik skog väst AB</t>
        </is>
      </c>
      <c r="G365" t="n">
        <v>2.9</v>
      </c>
      <c r="H365" t="n">
        <v>0</v>
      </c>
      <c r="I365" t="n">
        <v>0</v>
      </c>
      <c r="J365" t="n">
        <v>0</v>
      </c>
      <c r="K365" t="n">
        <v>0</v>
      </c>
      <c r="L365" t="n">
        <v>0</v>
      </c>
      <c r="M365" t="n">
        <v>0</v>
      </c>
      <c r="N365" t="n">
        <v>0</v>
      </c>
      <c r="O365" t="n">
        <v>0</v>
      </c>
      <c r="P365" t="n">
        <v>0</v>
      </c>
      <c r="Q365" t="n">
        <v>0</v>
      </c>
      <c r="R365" s="2" t="inlineStr"/>
    </row>
    <row r="366" ht="15" customHeight="1">
      <c r="A366" t="inlineStr">
        <is>
          <t>A 31391-2024</t>
        </is>
      </c>
      <c r="B366" s="1" t="n">
        <v>45505.46616898148</v>
      </c>
      <c r="C366" s="1" t="n">
        <v>45940</v>
      </c>
      <c r="D366" t="inlineStr">
        <is>
          <t>DALARNAS LÄN</t>
        </is>
      </c>
      <c r="E366" t="inlineStr">
        <is>
          <t>LEKSAND</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167-2023</t>
        </is>
      </c>
      <c r="B367" s="1" t="n">
        <v>44918</v>
      </c>
      <c r="C367" s="1" t="n">
        <v>45940</v>
      </c>
      <c r="D367" t="inlineStr">
        <is>
          <t>DALARNAS LÄN</t>
        </is>
      </c>
      <c r="E367" t="inlineStr">
        <is>
          <t>LEKSAND</t>
        </is>
      </c>
      <c r="G367" t="n">
        <v>0.5</v>
      </c>
      <c r="H367" t="n">
        <v>0</v>
      </c>
      <c r="I367" t="n">
        <v>0</v>
      </c>
      <c r="J367" t="n">
        <v>0</v>
      </c>
      <c r="K367" t="n">
        <v>0</v>
      </c>
      <c r="L367" t="n">
        <v>0</v>
      </c>
      <c r="M367" t="n">
        <v>0</v>
      </c>
      <c r="N367" t="n">
        <v>0</v>
      </c>
      <c r="O367" t="n">
        <v>0</v>
      </c>
      <c r="P367" t="n">
        <v>0</v>
      </c>
      <c r="Q367" t="n">
        <v>0</v>
      </c>
      <c r="R367" s="2" t="inlineStr"/>
    </row>
    <row r="368" ht="15" customHeight="1">
      <c r="A368" t="inlineStr">
        <is>
          <t>A 27183-2025</t>
        </is>
      </c>
      <c r="B368" s="1" t="n">
        <v>45812.36097222222</v>
      </c>
      <c r="C368" s="1" t="n">
        <v>45940</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27680-2025</t>
        </is>
      </c>
      <c r="B369" s="1" t="n">
        <v>45813.64618055556</v>
      </c>
      <c r="C369" s="1" t="n">
        <v>45940</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27682-2025</t>
        </is>
      </c>
      <c r="B370" s="1" t="n">
        <v>45813.64782407408</v>
      </c>
      <c r="C370" s="1" t="n">
        <v>45940</v>
      </c>
      <c r="D370" t="inlineStr">
        <is>
          <t>DALARNAS LÄN</t>
        </is>
      </c>
      <c r="E370" t="inlineStr">
        <is>
          <t>LEKSAND</t>
        </is>
      </c>
      <c r="G370" t="n">
        <v>1.2</v>
      </c>
      <c r="H370" t="n">
        <v>0</v>
      </c>
      <c r="I370" t="n">
        <v>0</v>
      </c>
      <c r="J370" t="n">
        <v>0</v>
      </c>
      <c r="K370" t="n">
        <v>0</v>
      </c>
      <c r="L370" t="n">
        <v>0</v>
      </c>
      <c r="M370" t="n">
        <v>0</v>
      </c>
      <c r="N370" t="n">
        <v>0</v>
      </c>
      <c r="O370" t="n">
        <v>0</v>
      </c>
      <c r="P370" t="n">
        <v>0</v>
      </c>
      <c r="Q370" t="n">
        <v>0</v>
      </c>
      <c r="R370" s="2" t="inlineStr"/>
    </row>
    <row r="371" ht="15" customHeight="1">
      <c r="A371" t="inlineStr">
        <is>
          <t>A 27705-2025</t>
        </is>
      </c>
      <c r="B371" s="1" t="n">
        <v>45813</v>
      </c>
      <c r="C371" s="1" t="n">
        <v>45940</v>
      </c>
      <c r="D371" t="inlineStr">
        <is>
          <t>DALARNAS LÄN</t>
        </is>
      </c>
      <c r="E371" t="inlineStr">
        <is>
          <t>LEKSAND</t>
        </is>
      </c>
      <c r="G371" t="n">
        <v>0.8</v>
      </c>
      <c r="H371" t="n">
        <v>0</v>
      </c>
      <c r="I371" t="n">
        <v>0</v>
      </c>
      <c r="J371" t="n">
        <v>0</v>
      </c>
      <c r="K371" t="n">
        <v>0</v>
      </c>
      <c r="L371" t="n">
        <v>0</v>
      </c>
      <c r="M371" t="n">
        <v>0</v>
      </c>
      <c r="N371" t="n">
        <v>0</v>
      </c>
      <c r="O371" t="n">
        <v>0</v>
      </c>
      <c r="P371" t="n">
        <v>0</v>
      </c>
      <c r="Q371" t="n">
        <v>0</v>
      </c>
      <c r="R371" s="2" t="inlineStr"/>
    </row>
    <row r="372" ht="15" customHeight="1">
      <c r="A372" t="inlineStr">
        <is>
          <t>A 61546-2021</t>
        </is>
      </c>
      <c r="B372" s="1" t="n">
        <v>44501</v>
      </c>
      <c r="C372" s="1" t="n">
        <v>45940</v>
      </c>
      <c r="D372" t="inlineStr">
        <is>
          <t>DALARNAS LÄN</t>
        </is>
      </c>
      <c r="E372" t="inlineStr">
        <is>
          <t>LEKSAND</t>
        </is>
      </c>
      <c r="G372" t="n">
        <v>3</v>
      </c>
      <c r="H372" t="n">
        <v>0</v>
      </c>
      <c r="I372" t="n">
        <v>0</v>
      </c>
      <c r="J372" t="n">
        <v>0</v>
      </c>
      <c r="K372" t="n">
        <v>0</v>
      </c>
      <c r="L372" t="n">
        <v>0</v>
      </c>
      <c r="M372" t="n">
        <v>0</v>
      </c>
      <c r="N372" t="n">
        <v>0</v>
      </c>
      <c r="O372" t="n">
        <v>0</v>
      </c>
      <c r="P372" t="n">
        <v>0</v>
      </c>
      <c r="Q372" t="n">
        <v>0</v>
      </c>
      <c r="R372" s="2" t="inlineStr"/>
    </row>
    <row r="373" ht="15" customHeight="1">
      <c r="A373" t="inlineStr">
        <is>
          <t>A 41046-2024</t>
        </is>
      </c>
      <c r="B373" s="1" t="n">
        <v>45559.36677083333</v>
      </c>
      <c r="C373" s="1" t="n">
        <v>45940</v>
      </c>
      <c r="D373" t="inlineStr">
        <is>
          <t>DALARNAS LÄN</t>
        </is>
      </c>
      <c r="E373" t="inlineStr">
        <is>
          <t>LEKSAND</t>
        </is>
      </c>
      <c r="G373" t="n">
        <v>1.9</v>
      </c>
      <c r="H373" t="n">
        <v>0</v>
      </c>
      <c r="I373" t="n">
        <v>0</v>
      </c>
      <c r="J373" t="n">
        <v>0</v>
      </c>
      <c r="K373" t="n">
        <v>0</v>
      </c>
      <c r="L373" t="n">
        <v>0</v>
      </c>
      <c r="M373" t="n">
        <v>0</v>
      </c>
      <c r="N373" t="n">
        <v>0</v>
      </c>
      <c r="O373" t="n">
        <v>0</v>
      </c>
      <c r="P373" t="n">
        <v>0</v>
      </c>
      <c r="Q373" t="n">
        <v>0</v>
      </c>
      <c r="R373" s="2" t="inlineStr"/>
    </row>
    <row r="374" ht="15" customHeight="1">
      <c r="A374" t="inlineStr">
        <is>
          <t>A 27329-2025</t>
        </is>
      </c>
      <c r="B374" s="1" t="n">
        <v>45812.60864583333</v>
      </c>
      <c r="C374" s="1" t="n">
        <v>45940</v>
      </c>
      <c r="D374" t="inlineStr">
        <is>
          <t>DALARNAS LÄN</t>
        </is>
      </c>
      <c r="E374" t="inlineStr">
        <is>
          <t>LEKSAND</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27317-2021</t>
        </is>
      </c>
      <c r="B375" s="1" t="n">
        <v>44351</v>
      </c>
      <c r="C375" s="1" t="n">
        <v>45940</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31850-2024</t>
        </is>
      </c>
      <c r="B376" s="1" t="n">
        <v>45509.67334490741</v>
      </c>
      <c r="C376" s="1" t="n">
        <v>45940</v>
      </c>
      <c r="D376" t="inlineStr">
        <is>
          <t>DALARNAS LÄN</t>
        </is>
      </c>
      <c r="E376" t="inlineStr">
        <is>
          <t>LEKSAND</t>
        </is>
      </c>
      <c r="G376" t="n">
        <v>0.5</v>
      </c>
      <c r="H376" t="n">
        <v>0</v>
      </c>
      <c r="I376" t="n">
        <v>0</v>
      </c>
      <c r="J376" t="n">
        <v>0</v>
      </c>
      <c r="K376" t="n">
        <v>0</v>
      </c>
      <c r="L376" t="n">
        <v>0</v>
      </c>
      <c r="M376" t="n">
        <v>0</v>
      </c>
      <c r="N376" t="n">
        <v>0</v>
      </c>
      <c r="O376" t="n">
        <v>0</v>
      </c>
      <c r="P376" t="n">
        <v>0</v>
      </c>
      <c r="Q376" t="n">
        <v>0</v>
      </c>
      <c r="R376" s="2" t="inlineStr"/>
    </row>
    <row r="377" ht="15" customHeight="1">
      <c r="A377" t="inlineStr">
        <is>
          <t>A 16005-2025</t>
        </is>
      </c>
      <c r="B377" s="1" t="n">
        <v>45749.59765046297</v>
      </c>
      <c r="C377" s="1" t="n">
        <v>45940</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12923-2025</t>
        </is>
      </c>
      <c r="B378" s="1" t="n">
        <v>45734.29193287037</v>
      </c>
      <c r="C378" s="1" t="n">
        <v>45940</v>
      </c>
      <c r="D378" t="inlineStr">
        <is>
          <t>DALARNAS LÄN</t>
        </is>
      </c>
      <c r="E378" t="inlineStr">
        <is>
          <t>LEKSAND</t>
        </is>
      </c>
      <c r="G378" t="n">
        <v>7.2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45940</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38498-2025</t>
        </is>
      </c>
      <c r="B380" s="1" t="n">
        <v>45884.3706712963</v>
      </c>
      <c r="C380" s="1" t="n">
        <v>45940</v>
      </c>
      <c r="D380" t="inlineStr">
        <is>
          <t>DALARNAS LÄN</t>
        </is>
      </c>
      <c r="E380" t="inlineStr">
        <is>
          <t>LEKSAND</t>
        </is>
      </c>
      <c r="G380" t="n">
        <v>2.1</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45940</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11128-2023</t>
        </is>
      </c>
      <c r="B382" s="1" t="n">
        <v>44992</v>
      </c>
      <c r="C382" s="1" t="n">
        <v>45940</v>
      </c>
      <c r="D382" t="inlineStr">
        <is>
          <t>DALARNAS LÄN</t>
        </is>
      </c>
      <c r="E382" t="inlineStr">
        <is>
          <t>LEKSAND</t>
        </is>
      </c>
      <c r="G382" t="n">
        <v>1.5</v>
      </c>
      <c r="H382" t="n">
        <v>0</v>
      </c>
      <c r="I382" t="n">
        <v>0</v>
      </c>
      <c r="J382" t="n">
        <v>0</v>
      </c>
      <c r="K382" t="n">
        <v>0</v>
      </c>
      <c r="L382" t="n">
        <v>0</v>
      </c>
      <c r="M382" t="n">
        <v>0</v>
      </c>
      <c r="N382" t="n">
        <v>0</v>
      </c>
      <c r="O382" t="n">
        <v>0</v>
      </c>
      <c r="P382" t="n">
        <v>0</v>
      </c>
      <c r="Q382" t="n">
        <v>0</v>
      </c>
      <c r="R382" s="2" t="inlineStr"/>
    </row>
    <row r="383" ht="15" customHeight="1">
      <c r="A383" t="inlineStr">
        <is>
          <t>A 27984-2025</t>
        </is>
      </c>
      <c r="B383" s="1" t="n">
        <v>45817.57710648148</v>
      </c>
      <c r="C383" s="1" t="n">
        <v>45940</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27244-2023</t>
        </is>
      </c>
      <c r="B384" s="1" t="n">
        <v>45096</v>
      </c>
      <c r="C384" s="1" t="n">
        <v>45940</v>
      </c>
      <c r="D384" t="inlineStr">
        <is>
          <t>DALARNAS LÄN</t>
        </is>
      </c>
      <c r="E384" t="inlineStr">
        <is>
          <t>LEKSAND</t>
        </is>
      </c>
      <c r="G384" t="n">
        <v>5</v>
      </c>
      <c r="H384" t="n">
        <v>0</v>
      </c>
      <c r="I384" t="n">
        <v>0</v>
      </c>
      <c r="J384" t="n">
        <v>0</v>
      </c>
      <c r="K384" t="n">
        <v>0</v>
      </c>
      <c r="L384" t="n">
        <v>0</v>
      </c>
      <c r="M384" t="n">
        <v>0</v>
      </c>
      <c r="N384" t="n">
        <v>0</v>
      </c>
      <c r="O384" t="n">
        <v>0</v>
      </c>
      <c r="P384" t="n">
        <v>0</v>
      </c>
      <c r="Q384" t="n">
        <v>0</v>
      </c>
      <c r="R384" s="2" t="inlineStr"/>
    </row>
    <row r="385" ht="15" customHeight="1">
      <c r="A385" t="inlineStr">
        <is>
          <t>A 1458-2024</t>
        </is>
      </c>
      <c r="B385" s="1" t="n">
        <v>45303</v>
      </c>
      <c r="C385" s="1" t="n">
        <v>45940</v>
      </c>
      <c r="D385" t="inlineStr">
        <is>
          <t>DALARNAS LÄN</t>
        </is>
      </c>
      <c r="E385" t="inlineStr">
        <is>
          <t>LEKSAND</t>
        </is>
      </c>
      <c r="G385" t="n">
        <v>2</v>
      </c>
      <c r="H385" t="n">
        <v>0</v>
      </c>
      <c r="I385" t="n">
        <v>0</v>
      </c>
      <c r="J385" t="n">
        <v>0</v>
      </c>
      <c r="K385" t="n">
        <v>0</v>
      </c>
      <c r="L385" t="n">
        <v>0</v>
      </c>
      <c r="M385" t="n">
        <v>0</v>
      </c>
      <c r="N385" t="n">
        <v>0</v>
      </c>
      <c r="O385" t="n">
        <v>0</v>
      </c>
      <c r="P385" t="n">
        <v>0</v>
      </c>
      <c r="Q385" t="n">
        <v>0</v>
      </c>
      <c r="R385" s="2" t="inlineStr"/>
    </row>
    <row r="386" ht="15" customHeight="1">
      <c r="A386" t="inlineStr">
        <is>
          <t>A 1461-2024</t>
        </is>
      </c>
      <c r="B386" s="1" t="n">
        <v>45303</v>
      </c>
      <c r="C386" s="1" t="n">
        <v>45940</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3183-2025</t>
        </is>
      </c>
      <c r="B387" s="1" t="n">
        <v>45679.40298611111</v>
      </c>
      <c r="C387" s="1" t="n">
        <v>45940</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16592-2023</t>
        </is>
      </c>
      <c r="B388" s="1" t="n">
        <v>45030</v>
      </c>
      <c r="C388" s="1" t="n">
        <v>45940</v>
      </c>
      <c r="D388" t="inlineStr">
        <is>
          <t>DALARNAS LÄN</t>
        </is>
      </c>
      <c r="E388" t="inlineStr">
        <is>
          <t>LEKSAND</t>
        </is>
      </c>
      <c r="G388" t="n">
        <v>11.5</v>
      </c>
      <c r="H388" t="n">
        <v>0</v>
      </c>
      <c r="I388" t="n">
        <v>0</v>
      </c>
      <c r="J388" t="n">
        <v>0</v>
      </c>
      <c r="K388" t="n">
        <v>0</v>
      </c>
      <c r="L388" t="n">
        <v>0</v>
      </c>
      <c r="M388" t="n">
        <v>0</v>
      </c>
      <c r="N388" t="n">
        <v>0</v>
      </c>
      <c r="O388" t="n">
        <v>0</v>
      </c>
      <c r="P388" t="n">
        <v>0</v>
      </c>
      <c r="Q388" t="n">
        <v>0</v>
      </c>
      <c r="R388" s="2" t="inlineStr"/>
    </row>
    <row r="389" ht="15" customHeight="1">
      <c r="A389" t="inlineStr">
        <is>
          <t>A 12290-2024</t>
        </is>
      </c>
      <c r="B389" s="1" t="n">
        <v>45378.57877314815</v>
      </c>
      <c r="C389" s="1" t="n">
        <v>45940</v>
      </c>
      <c r="D389" t="inlineStr">
        <is>
          <t>DALARNAS LÄN</t>
        </is>
      </c>
      <c r="E389" t="inlineStr">
        <is>
          <t>LEKSAND</t>
        </is>
      </c>
      <c r="G389" t="n">
        <v>2.5</v>
      </c>
      <c r="H389" t="n">
        <v>0</v>
      </c>
      <c r="I389" t="n">
        <v>0</v>
      </c>
      <c r="J389" t="n">
        <v>0</v>
      </c>
      <c r="K389" t="n">
        <v>0</v>
      </c>
      <c r="L389" t="n">
        <v>0</v>
      </c>
      <c r="M389" t="n">
        <v>0</v>
      </c>
      <c r="N389" t="n">
        <v>0</v>
      </c>
      <c r="O389" t="n">
        <v>0</v>
      </c>
      <c r="P389" t="n">
        <v>0</v>
      </c>
      <c r="Q389" t="n">
        <v>0</v>
      </c>
      <c r="R389" s="2" t="inlineStr"/>
    </row>
    <row r="390" ht="15" customHeight="1">
      <c r="A390" t="inlineStr">
        <is>
          <t>A 38001-2023</t>
        </is>
      </c>
      <c r="B390" s="1" t="n">
        <v>45160</v>
      </c>
      <c r="C390" s="1" t="n">
        <v>45940</v>
      </c>
      <c r="D390" t="inlineStr">
        <is>
          <t>DALARNAS LÄN</t>
        </is>
      </c>
      <c r="E390" t="inlineStr">
        <is>
          <t>LEKSAND</t>
        </is>
      </c>
      <c r="G390" t="n">
        <v>3.6</v>
      </c>
      <c r="H390" t="n">
        <v>0</v>
      </c>
      <c r="I390" t="n">
        <v>0</v>
      </c>
      <c r="J390" t="n">
        <v>0</v>
      </c>
      <c r="K390" t="n">
        <v>0</v>
      </c>
      <c r="L390" t="n">
        <v>0</v>
      </c>
      <c r="M390" t="n">
        <v>0</v>
      </c>
      <c r="N390" t="n">
        <v>0</v>
      </c>
      <c r="O390" t="n">
        <v>0</v>
      </c>
      <c r="P390" t="n">
        <v>0</v>
      </c>
      <c r="Q390" t="n">
        <v>0</v>
      </c>
      <c r="R390" s="2" t="inlineStr"/>
    </row>
    <row r="391" ht="15" customHeight="1">
      <c r="A391" t="inlineStr">
        <is>
          <t>A 17606-2024</t>
        </is>
      </c>
      <c r="B391" s="1" t="n">
        <v>45415</v>
      </c>
      <c r="C391" s="1" t="n">
        <v>45940</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39819-2024</t>
        </is>
      </c>
      <c r="B392" s="1" t="n">
        <v>45553.38774305556</v>
      </c>
      <c r="C392" s="1" t="n">
        <v>45940</v>
      </c>
      <c r="D392" t="inlineStr">
        <is>
          <t>DALARNAS LÄN</t>
        </is>
      </c>
      <c r="E392" t="inlineStr">
        <is>
          <t>LEKSAND</t>
        </is>
      </c>
      <c r="F392" t="inlineStr">
        <is>
          <t>Bergvik skog väst AB</t>
        </is>
      </c>
      <c r="G392" t="n">
        <v>3.7</v>
      </c>
      <c r="H392" t="n">
        <v>0</v>
      </c>
      <c r="I392" t="n">
        <v>0</v>
      </c>
      <c r="J392" t="n">
        <v>0</v>
      </c>
      <c r="K392" t="n">
        <v>0</v>
      </c>
      <c r="L392" t="n">
        <v>0</v>
      </c>
      <c r="M392" t="n">
        <v>0</v>
      </c>
      <c r="N392" t="n">
        <v>0</v>
      </c>
      <c r="O392" t="n">
        <v>0</v>
      </c>
      <c r="P392" t="n">
        <v>0</v>
      </c>
      <c r="Q392" t="n">
        <v>0</v>
      </c>
      <c r="R392" s="2" t="inlineStr"/>
    </row>
    <row r="393" ht="15" customHeight="1">
      <c r="A393" t="inlineStr">
        <is>
          <t>A 36450-2023</t>
        </is>
      </c>
      <c r="B393" s="1" t="n">
        <v>45152.64842592592</v>
      </c>
      <c r="C393" s="1" t="n">
        <v>45940</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47673-2023</t>
        </is>
      </c>
      <c r="B394" s="1" t="n">
        <v>45203</v>
      </c>
      <c r="C394" s="1" t="n">
        <v>45940</v>
      </c>
      <c r="D394" t="inlineStr">
        <is>
          <t>DALARNAS LÄN</t>
        </is>
      </c>
      <c r="E394" t="inlineStr">
        <is>
          <t>LEKSAND</t>
        </is>
      </c>
      <c r="G394" t="n">
        <v>2</v>
      </c>
      <c r="H394" t="n">
        <v>0</v>
      </c>
      <c r="I394" t="n">
        <v>0</v>
      </c>
      <c r="J394" t="n">
        <v>0</v>
      </c>
      <c r="K394" t="n">
        <v>0</v>
      </c>
      <c r="L394" t="n">
        <v>0</v>
      </c>
      <c r="M394" t="n">
        <v>0</v>
      </c>
      <c r="N394" t="n">
        <v>0</v>
      </c>
      <c r="O394" t="n">
        <v>0</v>
      </c>
      <c r="P394" t="n">
        <v>0</v>
      </c>
      <c r="Q394" t="n">
        <v>0</v>
      </c>
      <c r="R394" s="2" t="inlineStr"/>
    </row>
    <row r="395" ht="15" customHeight="1">
      <c r="A395" t="inlineStr">
        <is>
          <t>A 28499-2025</t>
        </is>
      </c>
      <c r="B395" s="1" t="n">
        <v>45818</v>
      </c>
      <c r="C395" s="1" t="n">
        <v>45940</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19559-2023</t>
        </is>
      </c>
      <c r="B396" s="1" t="n">
        <v>45050</v>
      </c>
      <c r="C396" s="1" t="n">
        <v>45940</v>
      </c>
      <c r="D396" t="inlineStr">
        <is>
          <t>DALARNAS LÄN</t>
        </is>
      </c>
      <c r="E396" t="inlineStr">
        <is>
          <t>LEKSAND</t>
        </is>
      </c>
      <c r="G396" t="n">
        <v>0.1</v>
      </c>
      <c r="H396" t="n">
        <v>0</v>
      </c>
      <c r="I396" t="n">
        <v>0</v>
      </c>
      <c r="J396" t="n">
        <v>0</v>
      </c>
      <c r="K396" t="n">
        <v>0</v>
      </c>
      <c r="L396" t="n">
        <v>0</v>
      </c>
      <c r="M396" t="n">
        <v>0</v>
      </c>
      <c r="N396" t="n">
        <v>0</v>
      </c>
      <c r="O396" t="n">
        <v>0</v>
      </c>
      <c r="P396" t="n">
        <v>0</v>
      </c>
      <c r="Q396" t="n">
        <v>0</v>
      </c>
      <c r="R396" s="2" t="inlineStr"/>
    </row>
    <row r="397" ht="15" customHeight="1">
      <c r="A397" t="inlineStr">
        <is>
          <t>A 48721-2023</t>
        </is>
      </c>
      <c r="B397" s="1" t="n">
        <v>45203</v>
      </c>
      <c r="C397" s="1" t="n">
        <v>45940</v>
      </c>
      <c r="D397" t="inlineStr">
        <is>
          <t>DALARNAS LÄN</t>
        </is>
      </c>
      <c r="E397" t="inlineStr">
        <is>
          <t>LEKSAND</t>
        </is>
      </c>
      <c r="G397" t="n">
        <v>2.9</v>
      </c>
      <c r="H397" t="n">
        <v>0</v>
      </c>
      <c r="I397" t="n">
        <v>0</v>
      </c>
      <c r="J397" t="n">
        <v>0</v>
      </c>
      <c r="K397" t="n">
        <v>0</v>
      </c>
      <c r="L397" t="n">
        <v>0</v>
      </c>
      <c r="M397" t="n">
        <v>0</v>
      </c>
      <c r="N397" t="n">
        <v>0</v>
      </c>
      <c r="O397" t="n">
        <v>0</v>
      </c>
      <c r="P397" t="n">
        <v>0</v>
      </c>
      <c r="Q397" t="n">
        <v>0</v>
      </c>
      <c r="R397" s="2" t="inlineStr"/>
    </row>
    <row r="398" ht="15" customHeight="1">
      <c r="A398" t="inlineStr">
        <is>
          <t>A 43142-2024</t>
        </is>
      </c>
      <c r="B398" s="1" t="n">
        <v>45567.62144675926</v>
      </c>
      <c r="C398" s="1" t="n">
        <v>45940</v>
      </c>
      <c r="D398" t="inlineStr">
        <is>
          <t>DALARNAS LÄN</t>
        </is>
      </c>
      <c r="E398" t="inlineStr">
        <is>
          <t>LEKSAND</t>
        </is>
      </c>
      <c r="F398" t="inlineStr">
        <is>
          <t>Bergvik skog väst AB</t>
        </is>
      </c>
      <c r="G398" t="n">
        <v>2.9</v>
      </c>
      <c r="H398" t="n">
        <v>0</v>
      </c>
      <c r="I398" t="n">
        <v>0</v>
      </c>
      <c r="J398" t="n">
        <v>0</v>
      </c>
      <c r="K398" t="n">
        <v>0</v>
      </c>
      <c r="L398" t="n">
        <v>0</v>
      </c>
      <c r="M398" t="n">
        <v>0</v>
      </c>
      <c r="N398" t="n">
        <v>0</v>
      </c>
      <c r="O398" t="n">
        <v>0</v>
      </c>
      <c r="P398" t="n">
        <v>0</v>
      </c>
      <c r="Q398" t="n">
        <v>0</v>
      </c>
      <c r="R398" s="2" t="inlineStr"/>
    </row>
    <row r="399" ht="15" customHeight="1">
      <c r="A399" t="inlineStr">
        <is>
          <t>A 1984-2025</t>
        </is>
      </c>
      <c r="B399" s="1" t="n">
        <v>45670</v>
      </c>
      <c r="C399" s="1" t="n">
        <v>45940</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1443-2024</t>
        </is>
      </c>
      <c r="B400" s="1" t="n">
        <v>45303</v>
      </c>
      <c r="C400" s="1" t="n">
        <v>45940</v>
      </c>
      <c r="D400" t="inlineStr">
        <is>
          <t>DALARNAS LÄN</t>
        </is>
      </c>
      <c r="E400" t="inlineStr">
        <is>
          <t>LEKSAND</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19820-2024</t>
        </is>
      </c>
      <c r="B401" s="1" t="n">
        <v>45433.33907407407</v>
      </c>
      <c r="C401" s="1" t="n">
        <v>45940</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19823-2024</t>
        </is>
      </c>
      <c r="B402" s="1" t="n">
        <v>45433.34469907408</v>
      </c>
      <c r="C402" s="1" t="n">
        <v>45940</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7653-2025</t>
        </is>
      </c>
      <c r="B403" s="1" t="n">
        <v>45705.95238425926</v>
      </c>
      <c r="C403" s="1" t="n">
        <v>45940</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6039-2023</t>
        </is>
      </c>
      <c r="B404" s="1" t="n">
        <v>44959</v>
      </c>
      <c r="C404" s="1" t="n">
        <v>45940</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6758-2024</t>
        </is>
      </c>
      <c r="B405" s="1" t="n">
        <v>45342.46857638889</v>
      </c>
      <c r="C405" s="1" t="n">
        <v>45940</v>
      </c>
      <c r="D405" t="inlineStr">
        <is>
          <t>DALARNAS LÄN</t>
        </is>
      </c>
      <c r="E405" t="inlineStr">
        <is>
          <t>LEKSAND</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4257-2022</t>
        </is>
      </c>
      <c r="B406" s="1" t="n">
        <v>44588</v>
      </c>
      <c r="C406" s="1" t="n">
        <v>45940</v>
      </c>
      <c r="D406" t="inlineStr">
        <is>
          <t>DALARNAS LÄN</t>
        </is>
      </c>
      <c r="E406" t="inlineStr">
        <is>
          <t>LEKSAND</t>
        </is>
      </c>
      <c r="G406" t="n">
        <v>6.8</v>
      </c>
      <c r="H406" t="n">
        <v>0</v>
      </c>
      <c r="I406" t="n">
        <v>0</v>
      </c>
      <c r="J406" t="n">
        <v>0</v>
      </c>
      <c r="K406" t="n">
        <v>0</v>
      </c>
      <c r="L406" t="n">
        <v>0</v>
      </c>
      <c r="M406" t="n">
        <v>0</v>
      </c>
      <c r="N406" t="n">
        <v>0</v>
      </c>
      <c r="O406" t="n">
        <v>0</v>
      </c>
      <c r="P406" t="n">
        <v>0</v>
      </c>
      <c r="Q406" t="n">
        <v>0</v>
      </c>
      <c r="R406" s="2" t="inlineStr"/>
    </row>
    <row r="407" ht="15" customHeight="1">
      <c r="A407" t="inlineStr">
        <is>
          <t>A 27446-2024</t>
        </is>
      </c>
      <c r="B407" s="1" t="n">
        <v>45474.42671296297</v>
      </c>
      <c r="C407" s="1" t="n">
        <v>45940</v>
      </c>
      <c r="D407" t="inlineStr">
        <is>
          <t>DALARNAS LÄN</t>
        </is>
      </c>
      <c r="E407" t="inlineStr">
        <is>
          <t>LEKSAND</t>
        </is>
      </c>
      <c r="G407" t="n">
        <v>2.9</v>
      </c>
      <c r="H407" t="n">
        <v>0</v>
      </c>
      <c r="I407" t="n">
        <v>0</v>
      </c>
      <c r="J407" t="n">
        <v>0</v>
      </c>
      <c r="K407" t="n">
        <v>0</v>
      </c>
      <c r="L407" t="n">
        <v>0</v>
      </c>
      <c r="M407" t="n">
        <v>0</v>
      </c>
      <c r="N407" t="n">
        <v>0</v>
      </c>
      <c r="O407" t="n">
        <v>0</v>
      </c>
      <c r="P407" t="n">
        <v>0</v>
      </c>
      <c r="Q407" t="n">
        <v>0</v>
      </c>
      <c r="R407" s="2" t="inlineStr"/>
    </row>
    <row r="408" ht="15" customHeight="1">
      <c r="A408" t="inlineStr">
        <is>
          <t>A 53817-2023</t>
        </is>
      </c>
      <c r="B408" s="1" t="n">
        <v>45231.40488425926</v>
      </c>
      <c r="C408" s="1" t="n">
        <v>45940</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28483-2025</t>
        </is>
      </c>
      <c r="B409" s="1" t="n">
        <v>45818</v>
      </c>
      <c r="C409" s="1" t="n">
        <v>45940</v>
      </c>
      <c r="D409" t="inlineStr">
        <is>
          <t>DALARNAS LÄN</t>
        </is>
      </c>
      <c r="E409" t="inlineStr">
        <is>
          <t>LEKSAND</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28458-2025</t>
        </is>
      </c>
      <c r="B410" s="1" t="n">
        <v>45819.413125</v>
      </c>
      <c r="C410" s="1" t="n">
        <v>45940</v>
      </c>
      <c r="D410" t="inlineStr">
        <is>
          <t>DALARNAS LÄN</t>
        </is>
      </c>
      <c r="E410" t="inlineStr">
        <is>
          <t>LEKSAND</t>
        </is>
      </c>
      <c r="G410" t="n">
        <v>3</v>
      </c>
      <c r="H410" t="n">
        <v>0</v>
      </c>
      <c r="I410" t="n">
        <v>0</v>
      </c>
      <c r="J410" t="n">
        <v>0</v>
      </c>
      <c r="K410" t="n">
        <v>0</v>
      </c>
      <c r="L410" t="n">
        <v>0</v>
      </c>
      <c r="M410" t="n">
        <v>0</v>
      </c>
      <c r="N410" t="n">
        <v>0</v>
      </c>
      <c r="O410" t="n">
        <v>0</v>
      </c>
      <c r="P410" t="n">
        <v>0</v>
      </c>
      <c r="Q410" t="n">
        <v>0</v>
      </c>
      <c r="R410" s="2" t="inlineStr"/>
    </row>
    <row r="411" ht="15" customHeight="1">
      <c r="A411" t="inlineStr">
        <is>
          <t>A 62993-2023</t>
        </is>
      </c>
      <c r="B411" s="1" t="n">
        <v>45272</v>
      </c>
      <c r="C411" s="1" t="n">
        <v>45940</v>
      </c>
      <c r="D411" t="inlineStr">
        <is>
          <t>DALARNAS LÄN</t>
        </is>
      </c>
      <c r="E411" t="inlineStr">
        <is>
          <t>LEKSAND</t>
        </is>
      </c>
      <c r="G411" t="n">
        <v>0.6</v>
      </c>
      <c r="H411" t="n">
        <v>0</v>
      </c>
      <c r="I411" t="n">
        <v>0</v>
      </c>
      <c r="J411" t="n">
        <v>0</v>
      </c>
      <c r="K411" t="n">
        <v>0</v>
      </c>
      <c r="L411" t="n">
        <v>0</v>
      </c>
      <c r="M411" t="n">
        <v>0</v>
      </c>
      <c r="N411" t="n">
        <v>0</v>
      </c>
      <c r="O411" t="n">
        <v>0</v>
      </c>
      <c r="P411" t="n">
        <v>0</v>
      </c>
      <c r="Q411" t="n">
        <v>0</v>
      </c>
      <c r="R411" s="2" t="inlineStr"/>
    </row>
    <row r="412" ht="15" customHeight="1">
      <c r="A412" t="inlineStr">
        <is>
          <t>A 28921-2023</t>
        </is>
      </c>
      <c r="B412" s="1" t="n">
        <v>45104</v>
      </c>
      <c r="C412" s="1" t="n">
        <v>45940</v>
      </c>
      <c r="D412" t="inlineStr">
        <is>
          <t>DALARNAS LÄN</t>
        </is>
      </c>
      <c r="E412" t="inlineStr">
        <is>
          <t>LEKSAND</t>
        </is>
      </c>
      <c r="G412" t="n">
        <v>4.4</v>
      </c>
      <c r="H412" t="n">
        <v>0</v>
      </c>
      <c r="I412" t="n">
        <v>0</v>
      </c>
      <c r="J412" t="n">
        <v>0</v>
      </c>
      <c r="K412" t="n">
        <v>0</v>
      </c>
      <c r="L412" t="n">
        <v>0</v>
      </c>
      <c r="M412" t="n">
        <v>0</v>
      </c>
      <c r="N412" t="n">
        <v>0</v>
      </c>
      <c r="O412" t="n">
        <v>0</v>
      </c>
      <c r="P412" t="n">
        <v>0</v>
      </c>
      <c r="Q412" t="n">
        <v>0</v>
      </c>
      <c r="R412" s="2" t="inlineStr"/>
    </row>
    <row r="413" ht="15" customHeight="1">
      <c r="A413" t="inlineStr">
        <is>
          <t>A 28505-2025</t>
        </is>
      </c>
      <c r="B413" s="1" t="n">
        <v>45818</v>
      </c>
      <c r="C413" s="1" t="n">
        <v>45940</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28488-2025</t>
        </is>
      </c>
      <c r="B414" s="1" t="n">
        <v>45818</v>
      </c>
      <c r="C414" s="1" t="n">
        <v>45940</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30998-2023</t>
        </is>
      </c>
      <c r="B415" s="1" t="n">
        <v>45113.54193287037</v>
      </c>
      <c r="C415" s="1" t="n">
        <v>45940</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28770-2025</t>
        </is>
      </c>
      <c r="B416" s="1" t="n">
        <v>45820</v>
      </c>
      <c r="C416" s="1" t="n">
        <v>45940</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17455-2022</t>
        </is>
      </c>
      <c r="B417" s="1" t="n">
        <v>44679.3775</v>
      </c>
      <c r="C417" s="1" t="n">
        <v>45940</v>
      </c>
      <c r="D417" t="inlineStr">
        <is>
          <t>DALARNAS LÄN</t>
        </is>
      </c>
      <c r="E417" t="inlineStr">
        <is>
          <t>LEKSAND</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31254-2023</t>
        </is>
      </c>
      <c r="B418" s="1" t="n">
        <v>45114</v>
      </c>
      <c r="C418" s="1" t="n">
        <v>45940</v>
      </c>
      <c r="D418" t="inlineStr">
        <is>
          <t>DALARNAS LÄN</t>
        </is>
      </c>
      <c r="E418" t="inlineStr">
        <is>
          <t>LEKSAND</t>
        </is>
      </c>
      <c r="G418" t="n">
        <v>1.4</v>
      </c>
      <c r="H418" t="n">
        <v>0</v>
      </c>
      <c r="I418" t="n">
        <v>0</v>
      </c>
      <c r="J418" t="n">
        <v>0</v>
      </c>
      <c r="K418" t="n">
        <v>0</v>
      </c>
      <c r="L418" t="n">
        <v>0</v>
      </c>
      <c r="M418" t="n">
        <v>0</v>
      </c>
      <c r="N418" t="n">
        <v>0</v>
      </c>
      <c r="O418" t="n">
        <v>0</v>
      </c>
      <c r="P418" t="n">
        <v>0</v>
      </c>
      <c r="Q418" t="n">
        <v>0</v>
      </c>
      <c r="R418" s="2" t="inlineStr"/>
    </row>
    <row r="419" ht="15" customHeight="1">
      <c r="A419" t="inlineStr">
        <is>
          <t>A 28985-2025</t>
        </is>
      </c>
      <c r="B419" s="1" t="n">
        <v>45821.36862268519</v>
      </c>
      <c r="C419" s="1" t="n">
        <v>45940</v>
      </c>
      <c r="D419" t="inlineStr">
        <is>
          <t>DALARNAS LÄN</t>
        </is>
      </c>
      <c r="E419" t="inlineStr">
        <is>
          <t>LEKSAND</t>
        </is>
      </c>
      <c r="G419" t="n">
        <v>0.7</v>
      </c>
      <c r="H419" t="n">
        <v>0</v>
      </c>
      <c r="I419" t="n">
        <v>0</v>
      </c>
      <c r="J419" t="n">
        <v>0</v>
      </c>
      <c r="K419" t="n">
        <v>0</v>
      </c>
      <c r="L419" t="n">
        <v>0</v>
      </c>
      <c r="M419" t="n">
        <v>0</v>
      </c>
      <c r="N419" t="n">
        <v>0</v>
      </c>
      <c r="O419" t="n">
        <v>0</v>
      </c>
      <c r="P419" t="n">
        <v>0</v>
      </c>
      <c r="Q419" t="n">
        <v>0</v>
      </c>
      <c r="R419" s="2" t="inlineStr"/>
    </row>
    <row r="420" ht="15" customHeight="1">
      <c r="A420" t="inlineStr">
        <is>
          <t>A 23283-2024</t>
        </is>
      </c>
      <c r="B420" s="1" t="n">
        <v>45453</v>
      </c>
      <c r="C420" s="1" t="n">
        <v>45940</v>
      </c>
      <c r="D420" t="inlineStr">
        <is>
          <t>DALARNAS LÄN</t>
        </is>
      </c>
      <c r="E420" t="inlineStr">
        <is>
          <t>LEKSAND</t>
        </is>
      </c>
      <c r="G420" t="n">
        <v>0.9</v>
      </c>
      <c r="H420" t="n">
        <v>0</v>
      </c>
      <c r="I420" t="n">
        <v>0</v>
      </c>
      <c r="J420" t="n">
        <v>0</v>
      </c>
      <c r="K420" t="n">
        <v>0</v>
      </c>
      <c r="L420" t="n">
        <v>0</v>
      </c>
      <c r="M420" t="n">
        <v>0</v>
      </c>
      <c r="N420" t="n">
        <v>0</v>
      </c>
      <c r="O420" t="n">
        <v>0</v>
      </c>
      <c r="P420" t="n">
        <v>0</v>
      </c>
      <c r="Q420" t="n">
        <v>0</v>
      </c>
      <c r="R420" s="2" t="inlineStr"/>
    </row>
    <row r="421" ht="15" customHeight="1">
      <c r="A421" t="inlineStr">
        <is>
          <t>A 29553-2025</t>
        </is>
      </c>
      <c r="B421" s="1" t="n">
        <v>45825.35315972222</v>
      </c>
      <c r="C421" s="1" t="n">
        <v>45940</v>
      </c>
      <c r="D421" t="inlineStr">
        <is>
          <t>DALARNAS LÄN</t>
        </is>
      </c>
      <c r="E421" t="inlineStr">
        <is>
          <t>LEKSAND</t>
        </is>
      </c>
      <c r="G421" t="n">
        <v>1.8</v>
      </c>
      <c r="H421" t="n">
        <v>0</v>
      </c>
      <c r="I421" t="n">
        <v>0</v>
      </c>
      <c r="J421" t="n">
        <v>0</v>
      </c>
      <c r="K421" t="n">
        <v>0</v>
      </c>
      <c r="L421" t="n">
        <v>0</v>
      </c>
      <c r="M421" t="n">
        <v>0</v>
      </c>
      <c r="N421" t="n">
        <v>0</v>
      </c>
      <c r="O421" t="n">
        <v>0</v>
      </c>
      <c r="P421" t="n">
        <v>0</v>
      </c>
      <c r="Q421" t="n">
        <v>0</v>
      </c>
      <c r="R421" s="2" t="inlineStr"/>
    </row>
    <row r="422" ht="15" customHeight="1">
      <c r="A422" t="inlineStr">
        <is>
          <t>A 39807-2024</t>
        </is>
      </c>
      <c r="B422" s="1" t="n">
        <v>45553.35763888889</v>
      </c>
      <c r="C422" s="1" t="n">
        <v>45940</v>
      </c>
      <c r="D422" t="inlineStr">
        <is>
          <t>DALARNAS LÄN</t>
        </is>
      </c>
      <c r="E422" t="inlineStr">
        <is>
          <t>LEKSAND</t>
        </is>
      </c>
      <c r="F422" t="inlineStr">
        <is>
          <t>Bergvik skog väst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1463-2024</t>
        </is>
      </c>
      <c r="B423" s="1" t="n">
        <v>45303</v>
      </c>
      <c r="C423" s="1" t="n">
        <v>45940</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16611-2024</t>
        </is>
      </c>
      <c r="B424" s="1" t="n">
        <v>45408.55504629629</v>
      </c>
      <c r="C424" s="1" t="n">
        <v>45940</v>
      </c>
      <c r="D424" t="inlineStr">
        <is>
          <t>DALARNAS LÄN</t>
        </is>
      </c>
      <c r="E424" t="inlineStr">
        <is>
          <t>LEKSAND</t>
        </is>
      </c>
      <c r="G424" t="n">
        <v>5.9</v>
      </c>
      <c r="H424" t="n">
        <v>0</v>
      </c>
      <c r="I424" t="n">
        <v>0</v>
      </c>
      <c r="J424" t="n">
        <v>0</v>
      </c>
      <c r="K424" t="n">
        <v>0</v>
      </c>
      <c r="L424" t="n">
        <v>0</v>
      </c>
      <c r="M424" t="n">
        <v>0</v>
      </c>
      <c r="N424" t="n">
        <v>0</v>
      </c>
      <c r="O424" t="n">
        <v>0</v>
      </c>
      <c r="P424" t="n">
        <v>0</v>
      </c>
      <c r="Q424" t="n">
        <v>0</v>
      </c>
      <c r="R424" s="2" t="inlineStr"/>
    </row>
    <row r="425" ht="15" customHeight="1">
      <c r="A425" t="inlineStr">
        <is>
          <t>A 29005-2025</t>
        </is>
      </c>
      <c r="B425" s="1" t="n">
        <v>45821.39326388889</v>
      </c>
      <c r="C425" s="1" t="n">
        <v>45940</v>
      </c>
      <c r="D425" t="inlineStr">
        <is>
          <t>DALARNAS LÄN</t>
        </is>
      </c>
      <c r="E425" t="inlineStr">
        <is>
          <t>LEKSAND</t>
        </is>
      </c>
      <c r="G425" t="n">
        <v>2.1</v>
      </c>
      <c r="H425" t="n">
        <v>0</v>
      </c>
      <c r="I425" t="n">
        <v>0</v>
      </c>
      <c r="J425" t="n">
        <v>0</v>
      </c>
      <c r="K425" t="n">
        <v>0</v>
      </c>
      <c r="L425" t="n">
        <v>0</v>
      </c>
      <c r="M425" t="n">
        <v>0</v>
      </c>
      <c r="N425" t="n">
        <v>0</v>
      </c>
      <c r="O425" t="n">
        <v>0</v>
      </c>
      <c r="P425" t="n">
        <v>0</v>
      </c>
      <c r="Q425" t="n">
        <v>0</v>
      </c>
      <c r="R425" s="2" t="inlineStr"/>
    </row>
    <row r="426" ht="15" customHeight="1">
      <c r="A426" t="inlineStr">
        <is>
          <t>A 45768-2023</t>
        </is>
      </c>
      <c r="B426" s="1" t="n">
        <v>45195</v>
      </c>
      <c r="C426" s="1" t="n">
        <v>45940</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29729-2025</t>
        </is>
      </c>
      <c r="B427" s="1" t="n">
        <v>45825.58077546296</v>
      </c>
      <c r="C427" s="1" t="n">
        <v>45940</v>
      </c>
      <c r="D427" t="inlineStr">
        <is>
          <t>DALARNAS LÄN</t>
        </is>
      </c>
      <c r="E427" t="inlineStr">
        <is>
          <t>LEKSAND</t>
        </is>
      </c>
      <c r="F427" t="inlineStr">
        <is>
          <t>Bergvik skog väst AB</t>
        </is>
      </c>
      <c r="G427" t="n">
        <v>4.3</v>
      </c>
      <c r="H427" t="n">
        <v>0</v>
      </c>
      <c r="I427" t="n">
        <v>0</v>
      </c>
      <c r="J427" t="n">
        <v>0</v>
      </c>
      <c r="K427" t="n">
        <v>0</v>
      </c>
      <c r="L427" t="n">
        <v>0</v>
      </c>
      <c r="M427" t="n">
        <v>0</v>
      </c>
      <c r="N427" t="n">
        <v>0</v>
      </c>
      <c r="O427" t="n">
        <v>0</v>
      </c>
      <c r="P427" t="n">
        <v>0</v>
      </c>
      <c r="Q427" t="n">
        <v>0</v>
      </c>
      <c r="R427" s="2" t="inlineStr"/>
    </row>
    <row r="428" ht="15" customHeight="1">
      <c r="A428" t="inlineStr">
        <is>
          <t>A 25025-2023</t>
        </is>
      </c>
      <c r="B428" s="1" t="n">
        <v>45085.92146990741</v>
      </c>
      <c r="C428" s="1" t="n">
        <v>45940</v>
      </c>
      <c r="D428" t="inlineStr">
        <is>
          <t>DALARNAS LÄN</t>
        </is>
      </c>
      <c r="E428" t="inlineStr">
        <is>
          <t>LEKSAND</t>
        </is>
      </c>
      <c r="G428" t="n">
        <v>3</v>
      </c>
      <c r="H428" t="n">
        <v>0</v>
      </c>
      <c r="I428" t="n">
        <v>0</v>
      </c>
      <c r="J428" t="n">
        <v>0</v>
      </c>
      <c r="K428" t="n">
        <v>0</v>
      </c>
      <c r="L428" t="n">
        <v>0</v>
      </c>
      <c r="M428" t="n">
        <v>0</v>
      </c>
      <c r="N428" t="n">
        <v>0</v>
      </c>
      <c r="O428" t="n">
        <v>0</v>
      </c>
      <c r="P428" t="n">
        <v>0</v>
      </c>
      <c r="Q428" t="n">
        <v>0</v>
      </c>
      <c r="R428" s="2" t="inlineStr"/>
    </row>
    <row r="429" ht="15" customHeight="1">
      <c r="A429" t="inlineStr">
        <is>
          <t>A 25038-2023</t>
        </is>
      </c>
      <c r="B429" s="1" t="n">
        <v>45085</v>
      </c>
      <c r="C429" s="1" t="n">
        <v>45940</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30254-2025</t>
        </is>
      </c>
      <c r="B430" s="1" t="n">
        <v>45827.42336805556</v>
      </c>
      <c r="C430" s="1" t="n">
        <v>45940</v>
      </c>
      <c r="D430" t="inlineStr">
        <is>
          <t>DALARNAS LÄN</t>
        </is>
      </c>
      <c r="E430" t="inlineStr">
        <is>
          <t>LEKSAND</t>
        </is>
      </c>
      <c r="G430" t="n">
        <v>3.5</v>
      </c>
      <c r="H430" t="n">
        <v>0</v>
      </c>
      <c r="I430" t="n">
        <v>0</v>
      </c>
      <c r="J430" t="n">
        <v>0</v>
      </c>
      <c r="K430" t="n">
        <v>0</v>
      </c>
      <c r="L430" t="n">
        <v>0</v>
      </c>
      <c r="M430" t="n">
        <v>0</v>
      </c>
      <c r="N430" t="n">
        <v>0</v>
      </c>
      <c r="O430" t="n">
        <v>0</v>
      </c>
      <c r="P430" t="n">
        <v>0</v>
      </c>
      <c r="Q430" t="n">
        <v>0</v>
      </c>
      <c r="R430" s="2" t="inlineStr"/>
    </row>
    <row r="431" ht="15" customHeight="1">
      <c r="A431" t="inlineStr">
        <is>
          <t>A 7417-2024</t>
        </is>
      </c>
      <c r="B431" s="1" t="n">
        <v>45345.62378472222</v>
      </c>
      <c r="C431" s="1" t="n">
        <v>45940</v>
      </c>
      <c r="D431" t="inlineStr">
        <is>
          <t>DALARNAS LÄN</t>
        </is>
      </c>
      <c r="E431" t="inlineStr">
        <is>
          <t>LEKSAND</t>
        </is>
      </c>
      <c r="G431" t="n">
        <v>2.8</v>
      </c>
      <c r="H431" t="n">
        <v>0</v>
      </c>
      <c r="I431" t="n">
        <v>0</v>
      </c>
      <c r="J431" t="n">
        <v>0</v>
      </c>
      <c r="K431" t="n">
        <v>0</v>
      </c>
      <c r="L431" t="n">
        <v>0</v>
      </c>
      <c r="M431" t="n">
        <v>0</v>
      </c>
      <c r="N431" t="n">
        <v>0</v>
      </c>
      <c r="O431" t="n">
        <v>0</v>
      </c>
      <c r="P431" t="n">
        <v>0</v>
      </c>
      <c r="Q431" t="n">
        <v>0</v>
      </c>
      <c r="R431" s="2" t="inlineStr"/>
    </row>
    <row r="432" ht="15" customHeight="1">
      <c r="A432" t="inlineStr">
        <is>
          <t>A 11277-2025</t>
        </is>
      </c>
      <c r="B432" s="1" t="n">
        <v>45726.41565972222</v>
      </c>
      <c r="C432" s="1" t="n">
        <v>45940</v>
      </c>
      <c r="D432" t="inlineStr">
        <is>
          <t>DALARNAS LÄN</t>
        </is>
      </c>
      <c r="E432" t="inlineStr">
        <is>
          <t>LEKSAND</t>
        </is>
      </c>
      <c r="G432" t="n">
        <v>2</v>
      </c>
      <c r="H432" t="n">
        <v>0</v>
      </c>
      <c r="I432" t="n">
        <v>0</v>
      </c>
      <c r="J432" t="n">
        <v>0</v>
      </c>
      <c r="K432" t="n">
        <v>0</v>
      </c>
      <c r="L432" t="n">
        <v>0</v>
      </c>
      <c r="M432" t="n">
        <v>0</v>
      </c>
      <c r="N432" t="n">
        <v>0</v>
      </c>
      <c r="O432" t="n">
        <v>0</v>
      </c>
      <c r="P432" t="n">
        <v>0</v>
      </c>
      <c r="Q432" t="n">
        <v>0</v>
      </c>
      <c r="R432" s="2" t="inlineStr"/>
    </row>
    <row r="433" ht="15" customHeight="1">
      <c r="A433" t="inlineStr">
        <is>
          <t>A 5570-2024</t>
        </is>
      </c>
      <c r="B433" s="1" t="n">
        <v>45334</v>
      </c>
      <c r="C433" s="1" t="n">
        <v>45940</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54917-2024</t>
        </is>
      </c>
      <c r="B434" s="1" t="n">
        <v>45618.69581018519</v>
      </c>
      <c r="C434" s="1" t="n">
        <v>45940</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11403-2023</t>
        </is>
      </c>
      <c r="B435" s="1" t="n">
        <v>44993</v>
      </c>
      <c r="C435" s="1" t="n">
        <v>45940</v>
      </c>
      <c r="D435" t="inlineStr">
        <is>
          <t>DALARNAS LÄN</t>
        </is>
      </c>
      <c r="E435" t="inlineStr">
        <is>
          <t>LEKSAND</t>
        </is>
      </c>
      <c r="G435" t="n">
        <v>0.1</v>
      </c>
      <c r="H435" t="n">
        <v>0</v>
      </c>
      <c r="I435" t="n">
        <v>0</v>
      </c>
      <c r="J435" t="n">
        <v>0</v>
      </c>
      <c r="K435" t="n">
        <v>0</v>
      </c>
      <c r="L435" t="n">
        <v>0</v>
      </c>
      <c r="M435" t="n">
        <v>0</v>
      </c>
      <c r="N435" t="n">
        <v>0</v>
      </c>
      <c r="O435" t="n">
        <v>0</v>
      </c>
      <c r="P435" t="n">
        <v>0</v>
      </c>
      <c r="Q435" t="n">
        <v>0</v>
      </c>
      <c r="R435" s="2" t="inlineStr"/>
    </row>
    <row r="436" ht="15" customHeight="1">
      <c r="A436" t="inlineStr">
        <is>
          <t>A 46978-2025</t>
        </is>
      </c>
      <c r="B436" s="1" t="n">
        <v>45929.51811342593</v>
      </c>
      <c r="C436" s="1" t="n">
        <v>45940</v>
      </c>
      <c r="D436" t="inlineStr">
        <is>
          <t>DALARNAS LÄN</t>
        </is>
      </c>
      <c r="E436" t="inlineStr">
        <is>
          <t>LEKSAND</t>
        </is>
      </c>
      <c r="G436" t="n">
        <v>2</v>
      </c>
      <c r="H436" t="n">
        <v>0</v>
      </c>
      <c r="I436" t="n">
        <v>0</v>
      </c>
      <c r="J436" t="n">
        <v>0</v>
      </c>
      <c r="K436" t="n">
        <v>0</v>
      </c>
      <c r="L436" t="n">
        <v>0</v>
      </c>
      <c r="M436" t="n">
        <v>0</v>
      </c>
      <c r="N436" t="n">
        <v>0</v>
      </c>
      <c r="O436" t="n">
        <v>0</v>
      </c>
      <c r="P436" t="n">
        <v>0</v>
      </c>
      <c r="Q436" t="n">
        <v>0</v>
      </c>
      <c r="R436" s="2" t="inlineStr"/>
    </row>
    <row r="437" ht="15" customHeight="1">
      <c r="A437" t="inlineStr">
        <is>
          <t>A 5574-2024</t>
        </is>
      </c>
      <c r="B437" s="1" t="n">
        <v>45334</v>
      </c>
      <c r="C437" s="1" t="n">
        <v>45940</v>
      </c>
      <c r="D437" t="inlineStr">
        <is>
          <t>DALARNAS LÄN</t>
        </is>
      </c>
      <c r="E437" t="inlineStr">
        <is>
          <t>LEKSAND</t>
        </is>
      </c>
      <c r="G437" t="n">
        <v>0.4</v>
      </c>
      <c r="H437" t="n">
        <v>0</v>
      </c>
      <c r="I437" t="n">
        <v>0</v>
      </c>
      <c r="J437" t="n">
        <v>0</v>
      </c>
      <c r="K437" t="n">
        <v>0</v>
      </c>
      <c r="L437" t="n">
        <v>0</v>
      </c>
      <c r="M437" t="n">
        <v>0</v>
      </c>
      <c r="N437" t="n">
        <v>0</v>
      </c>
      <c r="O437" t="n">
        <v>0</v>
      </c>
      <c r="P437" t="n">
        <v>0</v>
      </c>
      <c r="Q437" t="n">
        <v>0</v>
      </c>
      <c r="R437" s="2" t="inlineStr"/>
    </row>
    <row r="438" ht="15" customHeight="1">
      <c r="A438" t="inlineStr">
        <is>
          <t>A 4121-2024</t>
        </is>
      </c>
      <c r="B438" s="1" t="n">
        <v>45323</v>
      </c>
      <c r="C438" s="1" t="n">
        <v>45940</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7897-2025</t>
        </is>
      </c>
      <c r="B439" s="1" t="n">
        <v>45707.30969907407</v>
      </c>
      <c r="C439" s="1" t="n">
        <v>45940</v>
      </c>
      <c r="D439" t="inlineStr">
        <is>
          <t>DALARNAS LÄN</t>
        </is>
      </c>
      <c r="E439" t="inlineStr">
        <is>
          <t>LEKSAND</t>
        </is>
      </c>
      <c r="G439" t="n">
        <v>3.1</v>
      </c>
      <c r="H439" t="n">
        <v>0</v>
      </c>
      <c r="I439" t="n">
        <v>0</v>
      </c>
      <c r="J439" t="n">
        <v>0</v>
      </c>
      <c r="K439" t="n">
        <v>0</v>
      </c>
      <c r="L439" t="n">
        <v>0</v>
      </c>
      <c r="M439" t="n">
        <v>0</v>
      </c>
      <c r="N439" t="n">
        <v>0</v>
      </c>
      <c r="O439" t="n">
        <v>0</v>
      </c>
      <c r="P439" t="n">
        <v>0</v>
      </c>
      <c r="Q439" t="n">
        <v>0</v>
      </c>
      <c r="R439" s="2" t="inlineStr"/>
    </row>
    <row r="440" ht="15" customHeight="1">
      <c r="A440" t="inlineStr">
        <is>
          <t>A 38721-2025</t>
        </is>
      </c>
      <c r="B440" s="1" t="n">
        <v>45886.83605324074</v>
      </c>
      <c r="C440" s="1" t="n">
        <v>45940</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57665-2023</t>
        </is>
      </c>
      <c r="B441" s="1" t="n">
        <v>45246</v>
      </c>
      <c r="C441" s="1" t="n">
        <v>45940</v>
      </c>
      <c r="D441" t="inlineStr">
        <is>
          <t>DALARNAS LÄN</t>
        </is>
      </c>
      <c r="E441" t="inlineStr">
        <is>
          <t>LEKSAND</t>
        </is>
      </c>
      <c r="G441" t="n">
        <v>0.6</v>
      </c>
      <c r="H441" t="n">
        <v>0</v>
      </c>
      <c r="I441" t="n">
        <v>0</v>
      </c>
      <c r="J441" t="n">
        <v>0</v>
      </c>
      <c r="K441" t="n">
        <v>0</v>
      </c>
      <c r="L441" t="n">
        <v>0</v>
      </c>
      <c r="M441" t="n">
        <v>0</v>
      </c>
      <c r="N441" t="n">
        <v>0</v>
      </c>
      <c r="O441" t="n">
        <v>0</v>
      </c>
      <c r="P441" t="n">
        <v>0</v>
      </c>
      <c r="Q441" t="n">
        <v>0</v>
      </c>
      <c r="R441" s="2" t="inlineStr"/>
    </row>
    <row r="442" ht="15" customHeight="1">
      <c r="A442" t="inlineStr">
        <is>
          <t>A 30858-2024</t>
        </is>
      </c>
      <c r="B442" s="1" t="n">
        <v>45497.67601851852</v>
      </c>
      <c r="C442" s="1" t="n">
        <v>45940</v>
      </c>
      <c r="D442" t="inlineStr">
        <is>
          <t>DALARNAS LÄN</t>
        </is>
      </c>
      <c r="E442" t="inlineStr">
        <is>
          <t>LEKSAND</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46949-2025</t>
        </is>
      </c>
      <c r="B443" s="1" t="n">
        <v>45929.46811342592</v>
      </c>
      <c r="C443" s="1" t="n">
        <v>45940</v>
      </c>
      <c r="D443" t="inlineStr">
        <is>
          <t>DALARNAS LÄN</t>
        </is>
      </c>
      <c r="E443" t="inlineStr">
        <is>
          <t>LEKSAND</t>
        </is>
      </c>
      <c r="G443" t="n">
        <v>5</v>
      </c>
      <c r="H443" t="n">
        <v>0</v>
      </c>
      <c r="I443" t="n">
        <v>0</v>
      </c>
      <c r="J443" t="n">
        <v>0</v>
      </c>
      <c r="K443" t="n">
        <v>0</v>
      </c>
      <c r="L443" t="n">
        <v>0</v>
      </c>
      <c r="M443" t="n">
        <v>0</v>
      </c>
      <c r="N443" t="n">
        <v>0</v>
      </c>
      <c r="O443" t="n">
        <v>0</v>
      </c>
      <c r="P443" t="n">
        <v>0</v>
      </c>
      <c r="Q443" t="n">
        <v>0</v>
      </c>
      <c r="R443" s="2" t="inlineStr"/>
    </row>
    <row r="444" ht="15" customHeight="1">
      <c r="A444" t="inlineStr">
        <is>
          <t>A 60129-2023</t>
        </is>
      </c>
      <c r="B444" s="1" t="n">
        <v>45258.49056712963</v>
      </c>
      <c r="C444" s="1" t="n">
        <v>45940</v>
      </c>
      <c r="D444" t="inlineStr">
        <is>
          <t>DALARNAS LÄN</t>
        </is>
      </c>
      <c r="E444" t="inlineStr">
        <is>
          <t>LEKSAND</t>
        </is>
      </c>
      <c r="F444" t="inlineStr">
        <is>
          <t>Bergvik skog väst AB</t>
        </is>
      </c>
      <c r="G444" t="n">
        <v>1.5</v>
      </c>
      <c r="H444" t="n">
        <v>0</v>
      </c>
      <c r="I444" t="n">
        <v>0</v>
      </c>
      <c r="J444" t="n">
        <v>0</v>
      </c>
      <c r="K444" t="n">
        <v>0</v>
      </c>
      <c r="L444" t="n">
        <v>0</v>
      </c>
      <c r="M444" t="n">
        <v>0</v>
      </c>
      <c r="N444" t="n">
        <v>0</v>
      </c>
      <c r="O444" t="n">
        <v>0</v>
      </c>
      <c r="P444" t="n">
        <v>0</v>
      </c>
      <c r="Q444" t="n">
        <v>0</v>
      </c>
      <c r="R444" s="2" t="inlineStr"/>
    </row>
    <row r="445" ht="15" customHeight="1">
      <c r="A445" t="inlineStr">
        <is>
          <t>A 25921-2024</t>
        </is>
      </c>
      <c r="B445" s="1" t="n">
        <v>45467.6053587963</v>
      </c>
      <c r="C445" s="1" t="n">
        <v>45940</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41306-2024</t>
        </is>
      </c>
      <c r="B446" s="1" t="n">
        <v>45559.62550925926</v>
      </c>
      <c r="C446" s="1" t="n">
        <v>45940</v>
      </c>
      <c r="D446" t="inlineStr">
        <is>
          <t>DALARNAS LÄN</t>
        </is>
      </c>
      <c r="E446" t="inlineStr">
        <is>
          <t>LEKSAND</t>
        </is>
      </c>
      <c r="G446" t="n">
        <v>0.5</v>
      </c>
      <c r="H446" t="n">
        <v>0</v>
      </c>
      <c r="I446" t="n">
        <v>0</v>
      </c>
      <c r="J446" t="n">
        <v>0</v>
      </c>
      <c r="K446" t="n">
        <v>0</v>
      </c>
      <c r="L446" t="n">
        <v>0</v>
      </c>
      <c r="M446" t="n">
        <v>0</v>
      </c>
      <c r="N446" t="n">
        <v>0</v>
      </c>
      <c r="O446" t="n">
        <v>0</v>
      </c>
      <c r="P446" t="n">
        <v>0</v>
      </c>
      <c r="Q446" t="n">
        <v>0</v>
      </c>
      <c r="R446" s="2" t="inlineStr"/>
    </row>
    <row r="447" ht="15" customHeight="1">
      <c r="A447" t="inlineStr">
        <is>
          <t>A 47640-2024</t>
        </is>
      </c>
      <c r="B447" s="1" t="n">
        <v>45588.36508101852</v>
      </c>
      <c r="C447" s="1" t="n">
        <v>45940</v>
      </c>
      <c r="D447" t="inlineStr">
        <is>
          <t>DALARNAS LÄN</t>
        </is>
      </c>
      <c r="E447" t="inlineStr">
        <is>
          <t>LEKSAND</t>
        </is>
      </c>
      <c r="G447" t="n">
        <v>9.1</v>
      </c>
      <c r="H447" t="n">
        <v>0</v>
      </c>
      <c r="I447" t="n">
        <v>0</v>
      </c>
      <c r="J447" t="n">
        <v>0</v>
      </c>
      <c r="K447" t="n">
        <v>0</v>
      </c>
      <c r="L447" t="n">
        <v>0</v>
      </c>
      <c r="M447" t="n">
        <v>0</v>
      </c>
      <c r="N447" t="n">
        <v>0</v>
      </c>
      <c r="O447" t="n">
        <v>0</v>
      </c>
      <c r="P447" t="n">
        <v>0</v>
      </c>
      <c r="Q447" t="n">
        <v>0</v>
      </c>
      <c r="R447" s="2" t="inlineStr"/>
    </row>
    <row r="448" ht="15" customHeight="1">
      <c r="A448" t="inlineStr">
        <is>
          <t>A 3737-2023</t>
        </is>
      </c>
      <c r="B448" s="1" t="n">
        <v>44951.42983796296</v>
      </c>
      <c r="C448" s="1" t="n">
        <v>45940</v>
      </c>
      <c r="D448" t="inlineStr">
        <is>
          <t>DALARNAS LÄN</t>
        </is>
      </c>
      <c r="E448" t="inlineStr">
        <is>
          <t>LEKSAND</t>
        </is>
      </c>
      <c r="G448" t="n">
        <v>3.1</v>
      </c>
      <c r="H448" t="n">
        <v>0</v>
      </c>
      <c r="I448" t="n">
        <v>0</v>
      </c>
      <c r="J448" t="n">
        <v>0</v>
      </c>
      <c r="K448" t="n">
        <v>0</v>
      </c>
      <c r="L448" t="n">
        <v>0</v>
      </c>
      <c r="M448" t="n">
        <v>0</v>
      </c>
      <c r="N448" t="n">
        <v>0</v>
      </c>
      <c r="O448" t="n">
        <v>0</v>
      </c>
      <c r="P448" t="n">
        <v>0</v>
      </c>
      <c r="Q448" t="n">
        <v>0</v>
      </c>
      <c r="R448" s="2" t="inlineStr"/>
    </row>
    <row r="449" ht="15" customHeight="1">
      <c r="A449" t="inlineStr">
        <is>
          <t>A 43237-2024</t>
        </is>
      </c>
      <c r="B449" s="1" t="n">
        <v>45567</v>
      </c>
      <c r="C449" s="1" t="n">
        <v>45940</v>
      </c>
      <c r="D449" t="inlineStr">
        <is>
          <t>DALARNAS LÄN</t>
        </is>
      </c>
      <c r="E449" t="inlineStr">
        <is>
          <t>LEKSAND</t>
        </is>
      </c>
      <c r="G449" t="n">
        <v>0.8</v>
      </c>
      <c r="H449" t="n">
        <v>0</v>
      </c>
      <c r="I449" t="n">
        <v>0</v>
      </c>
      <c r="J449" t="n">
        <v>0</v>
      </c>
      <c r="K449" t="n">
        <v>0</v>
      </c>
      <c r="L449" t="n">
        <v>0</v>
      </c>
      <c r="M449" t="n">
        <v>0</v>
      </c>
      <c r="N449" t="n">
        <v>0</v>
      </c>
      <c r="O449" t="n">
        <v>0</v>
      </c>
      <c r="P449" t="n">
        <v>0</v>
      </c>
      <c r="Q449" t="n">
        <v>0</v>
      </c>
      <c r="R449" s="2" t="inlineStr"/>
    </row>
    <row r="450" ht="15" customHeight="1">
      <c r="A450" t="inlineStr">
        <is>
          <t>A 17377-2025</t>
        </is>
      </c>
      <c r="B450" s="1" t="n">
        <v>45756.983125</v>
      </c>
      <c r="C450" s="1" t="n">
        <v>45940</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23068-2024</t>
        </is>
      </c>
      <c r="B451" s="1" t="n">
        <v>45450.45521990741</v>
      </c>
      <c r="C451" s="1" t="n">
        <v>45940</v>
      </c>
      <c r="D451" t="inlineStr">
        <is>
          <t>DALARNAS LÄN</t>
        </is>
      </c>
      <c r="E451" t="inlineStr">
        <is>
          <t>LEKSAND</t>
        </is>
      </c>
      <c r="G451" t="n">
        <v>2.4</v>
      </c>
      <c r="H451" t="n">
        <v>0</v>
      </c>
      <c r="I451" t="n">
        <v>0</v>
      </c>
      <c r="J451" t="n">
        <v>0</v>
      </c>
      <c r="K451" t="n">
        <v>0</v>
      </c>
      <c r="L451" t="n">
        <v>0</v>
      </c>
      <c r="M451" t="n">
        <v>0</v>
      </c>
      <c r="N451" t="n">
        <v>0</v>
      </c>
      <c r="O451" t="n">
        <v>0</v>
      </c>
      <c r="P451" t="n">
        <v>0</v>
      </c>
      <c r="Q451" t="n">
        <v>0</v>
      </c>
      <c r="R451" s="2" t="inlineStr"/>
    </row>
    <row r="452" ht="15" customHeight="1">
      <c r="A452" t="inlineStr">
        <is>
          <t>A 7894-2025</t>
        </is>
      </c>
      <c r="B452" s="1" t="n">
        <v>45707.30268518518</v>
      </c>
      <c r="C452" s="1" t="n">
        <v>45940</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30920-2025</t>
        </is>
      </c>
      <c r="B453" s="1" t="n">
        <v>45832.38484953704</v>
      </c>
      <c r="C453" s="1" t="n">
        <v>45940</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30969-2025</t>
        </is>
      </c>
      <c r="B454" s="1" t="n">
        <v>45832.45914351852</v>
      </c>
      <c r="C454" s="1" t="n">
        <v>45940</v>
      </c>
      <c r="D454" t="inlineStr">
        <is>
          <t>DALARNAS LÄN</t>
        </is>
      </c>
      <c r="E454" t="inlineStr">
        <is>
          <t>LEKSAND</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30917-2025</t>
        </is>
      </c>
      <c r="B455" s="1" t="n">
        <v>45832.37989583334</v>
      </c>
      <c r="C455" s="1" t="n">
        <v>45940</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31619-2025</t>
        </is>
      </c>
      <c r="B456" s="1" t="n">
        <v>45833</v>
      </c>
      <c r="C456" s="1" t="n">
        <v>45940</v>
      </c>
      <c r="D456" t="inlineStr">
        <is>
          <t>DALARNAS LÄN</t>
        </is>
      </c>
      <c r="E456" t="inlineStr">
        <is>
          <t>LEKSAND</t>
        </is>
      </c>
      <c r="G456" t="n">
        <v>2.5</v>
      </c>
      <c r="H456" t="n">
        <v>0</v>
      </c>
      <c r="I456" t="n">
        <v>0</v>
      </c>
      <c r="J456" t="n">
        <v>0</v>
      </c>
      <c r="K456" t="n">
        <v>0</v>
      </c>
      <c r="L456" t="n">
        <v>0</v>
      </c>
      <c r="M456" t="n">
        <v>0</v>
      </c>
      <c r="N456" t="n">
        <v>0</v>
      </c>
      <c r="O456" t="n">
        <v>0</v>
      </c>
      <c r="P456" t="n">
        <v>0</v>
      </c>
      <c r="Q456" t="n">
        <v>0</v>
      </c>
      <c r="R456" s="2" t="inlineStr"/>
    </row>
    <row r="457" ht="15" customHeight="1">
      <c r="A457" t="inlineStr">
        <is>
          <t>A 30916-2025</t>
        </is>
      </c>
      <c r="B457" s="1" t="n">
        <v>45832.37885416667</v>
      </c>
      <c r="C457" s="1" t="n">
        <v>45940</v>
      </c>
      <c r="D457" t="inlineStr">
        <is>
          <t>DALARNAS LÄN</t>
        </is>
      </c>
      <c r="E457" t="inlineStr">
        <is>
          <t>LEKSAND</t>
        </is>
      </c>
      <c r="G457" t="n">
        <v>0.7</v>
      </c>
      <c r="H457" t="n">
        <v>0</v>
      </c>
      <c r="I457" t="n">
        <v>0</v>
      </c>
      <c r="J457" t="n">
        <v>0</v>
      </c>
      <c r="K457" t="n">
        <v>0</v>
      </c>
      <c r="L457" t="n">
        <v>0</v>
      </c>
      <c r="M457" t="n">
        <v>0</v>
      </c>
      <c r="N457" t="n">
        <v>0</v>
      </c>
      <c r="O457" t="n">
        <v>0</v>
      </c>
      <c r="P457" t="n">
        <v>0</v>
      </c>
      <c r="Q457" t="n">
        <v>0</v>
      </c>
      <c r="R457" s="2" t="inlineStr"/>
    </row>
    <row r="458" ht="15" customHeight="1">
      <c r="A458" t="inlineStr">
        <is>
          <t>A 31446-2025</t>
        </is>
      </c>
      <c r="B458" s="1" t="n">
        <v>45833</v>
      </c>
      <c r="C458" s="1" t="n">
        <v>45940</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30911-2025</t>
        </is>
      </c>
      <c r="B459" s="1" t="n">
        <v>45832.37547453704</v>
      </c>
      <c r="C459" s="1" t="n">
        <v>45940</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13288-2023</t>
        </is>
      </c>
      <c r="B460" s="1" t="n">
        <v>45004.8160300926</v>
      </c>
      <c r="C460" s="1" t="n">
        <v>45940</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17233-2023</t>
        </is>
      </c>
      <c r="B461" s="1" t="n">
        <v>45035</v>
      </c>
      <c r="C461" s="1" t="n">
        <v>45940</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46931-2023</t>
        </is>
      </c>
      <c r="B462" s="1" t="n">
        <v>45201</v>
      </c>
      <c r="C462" s="1" t="n">
        <v>45940</v>
      </c>
      <c r="D462" t="inlineStr">
        <is>
          <t>DALARNAS LÄN</t>
        </is>
      </c>
      <c r="E462" t="inlineStr">
        <is>
          <t>LEKSAND</t>
        </is>
      </c>
      <c r="G462" t="n">
        <v>1.4</v>
      </c>
      <c r="H462" t="n">
        <v>0</v>
      </c>
      <c r="I462" t="n">
        <v>0</v>
      </c>
      <c r="J462" t="n">
        <v>0</v>
      </c>
      <c r="K462" t="n">
        <v>0</v>
      </c>
      <c r="L462" t="n">
        <v>0</v>
      </c>
      <c r="M462" t="n">
        <v>0</v>
      </c>
      <c r="N462" t="n">
        <v>0</v>
      </c>
      <c r="O462" t="n">
        <v>0</v>
      </c>
      <c r="P462" t="n">
        <v>0</v>
      </c>
      <c r="Q462" t="n">
        <v>0</v>
      </c>
      <c r="R462" s="2" t="inlineStr"/>
    </row>
    <row r="463" ht="15" customHeight="1">
      <c r="A463" t="inlineStr">
        <is>
          <t>A 11740-2025</t>
        </is>
      </c>
      <c r="B463" s="1" t="n">
        <v>45727.62582175926</v>
      </c>
      <c r="C463" s="1" t="n">
        <v>45940</v>
      </c>
      <c r="D463" t="inlineStr">
        <is>
          <t>DALARNAS LÄN</t>
        </is>
      </c>
      <c r="E463" t="inlineStr">
        <is>
          <t>LEKSAND</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28965-2023</t>
        </is>
      </c>
      <c r="B464" s="1" t="n">
        <v>45104</v>
      </c>
      <c r="C464" s="1" t="n">
        <v>45940</v>
      </c>
      <c r="D464" t="inlineStr">
        <is>
          <t>DALARNAS LÄN</t>
        </is>
      </c>
      <c r="E464" t="inlineStr">
        <is>
          <t>LEKSAND</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16293-2025</t>
        </is>
      </c>
      <c r="B465" s="1" t="n">
        <v>45751.33447916667</v>
      </c>
      <c r="C465" s="1" t="n">
        <v>45940</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6027-2025</t>
        </is>
      </c>
      <c r="B466" s="1" t="n">
        <v>45695</v>
      </c>
      <c r="C466" s="1" t="n">
        <v>45940</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31179-2025</t>
        </is>
      </c>
      <c r="B467" s="1" t="n">
        <v>45832.67648148148</v>
      </c>
      <c r="C467" s="1" t="n">
        <v>45940</v>
      </c>
      <c r="D467" t="inlineStr">
        <is>
          <t>DALARNAS LÄN</t>
        </is>
      </c>
      <c r="E467" t="inlineStr">
        <is>
          <t>LEKSAND</t>
        </is>
      </c>
      <c r="G467" t="n">
        <v>4.7</v>
      </c>
      <c r="H467" t="n">
        <v>0</v>
      </c>
      <c r="I467" t="n">
        <v>0</v>
      </c>
      <c r="J467" t="n">
        <v>0</v>
      </c>
      <c r="K467" t="n">
        <v>0</v>
      </c>
      <c r="L467" t="n">
        <v>0</v>
      </c>
      <c r="M467" t="n">
        <v>0</v>
      </c>
      <c r="N467" t="n">
        <v>0</v>
      </c>
      <c r="O467" t="n">
        <v>0</v>
      </c>
      <c r="P467" t="n">
        <v>0</v>
      </c>
      <c r="Q467" t="n">
        <v>0</v>
      </c>
      <c r="R467" s="2" t="inlineStr"/>
    </row>
    <row r="468" ht="15" customHeight="1">
      <c r="A468" t="inlineStr">
        <is>
          <t>A 31189-2025</t>
        </is>
      </c>
      <c r="B468" s="1" t="n">
        <v>45832.6799537037</v>
      </c>
      <c r="C468" s="1" t="n">
        <v>45940</v>
      </c>
      <c r="D468" t="inlineStr">
        <is>
          <t>DALARNAS LÄN</t>
        </is>
      </c>
      <c r="E468" t="inlineStr">
        <is>
          <t>LEKSAND</t>
        </is>
      </c>
      <c r="G468" t="n">
        <v>5</v>
      </c>
      <c r="H468" t="n">
        <v>0</v>
      </c>
      <c r="I468" t="n">
        <v>0</v>
      </c>
      <c r="J468" t="n">
        <v>0</v>
      </c>
      <c r="K468" t="n">
        <v>0</v>
      </c>
      <c r="L468" t="n">
        <v>0</v>
      </c>
      <c r="M468" t="n">
        <v>0</v>
      </c>
      <c r="N468" t="n">
        <v>0</v>
      </c>
      <c r="O468" t="n">
        <v>0</v>
      </c>
      <c r="P468" t="n">
        <v>0</v>
      </c>
      <c r="Q468" t="n">
        <v>0</v>
      </c>
      <c r="R468" s="2" t="inlineStr"/>
    </row>
    <row r="469" ht="15" customHeight="1">
      <c r="A469" t="inlineStr">
        <is>
          <t>A 30973-2025</t>
        </is>
      </c>
      <c r="B469" s="1" t="n">
        <v>45832.46300925926</v>
      </c>
      <c r="C469" s="1" t="n">
        <v>45940</v>
      </c>
      <c r="D469" t="inlineStr">
        <is>
          <t>DALARNAS LÄN</t>
        </is>
      </c>
      <c r="E469" t="inlineStr">
        <is>
          <t>LEKSAND</t>
        </is>
      </c>
      <c r="F469" t="inlineStr">
        <is>
          <t>Bergvik skog väst AB</t>
        </is>
      </c>
      <c r="G469" t="n">
        <v>3.1</v>
      </c>
      <c r="H469" t="n">
        <v>0</v>
      </c>
      <c r="I469" t="n">
        <v>0</v>
      </c>
      <c r="J469" t="n">
        <v>0</v>
      </c>
      <c r="K469" t="n">
        <v>0</v>
      </c>
      <c r="L469" t="n">
        <v>0</v>
      </c>
      <c r="M469" t="n">
        <v>0</v>
      </c>
      <c r="N469" t="n">
        <v>0</v>
      </c>
      <c r="O469" t="n">
        <v>0</v>
      </c>
      <c r="P469" t="n">
        <v>0</v>
      </c>
      <c r="Q469" t="n">
        <v>0</v>
      </c>
      <c r="R469" s="2" t="inlineStr"/>
    </row>
    <row r="470" ht="15" customHeight="1">
      <c r="A470" t="inlineStr">
        <is>
          <t>A 31493-2025</t>
        </is>
      </c>
      <c r="B470" s="1" t="n">
        <v>45833</v>
      </c>
      <c r="C470" s="1" t="n">
        <v>45940</v>
      </c>
      <c r="D470" t="inlineStr">
        <is>
          <t>DALARNAS LÄN</t>
        </is>
      </c>
      <c r="E470" t="inlineStr">
        <is>
          <t>LEKSAND</t>
        </is>
      </c>
      <c r="G470" t="n">
        <v>0.9</v>
      </c>
      <c r="H470" t="n">
        <v>0</v>
      </c>
      <c r="I470" t="n">
        <v>0</v>
      </c>
      <c r="J470" t="n">
        <v>0</v>
      </c>
      <c r="K470" t="n">
        <v>0</v>
      </c>
      <c r="L470" t="n">
        <v>0</v>
      </c>
      <c r="M470" t="n">
        <v>0</v>
      </c>
      <c r="N470" t="n">
        <v>0</v>
      </c>
      <c r="O470" t="n">
        <v>0</v>
      </c>
      <c r="P470" t="n">
        <v>0</v>
      </c>
      <c r="Q470" t="n">
        <v>0</v>
      </c>
      <c r="R470" s="2" t="inlineStr"/>
    </row>
    <row r="471" ht="15" customHeight="1">
      <c r="A471" t="inlineStr">
        <is>
          <t>A 31945-2025</t>
        </is>
      </c>
      <c r="B471" s="1" t="n">
        <v>45835</v>
      </c>
      <c r="C471" s="1" t="n">
        <v>45940</v>
      </c>
      <c r="D471" t="inlineStr">
        <is>
          <t>DALARNAS LÄN</t>
        </is>
      </c>
      <c r="E471" t="inlineStr">
        <is>
          <t>LEKSAND</t>
        </is>
      </c>
      <c r="G471" t="n">
        <v>0.8</v>
      </c>
      <c r="H471" t="n">
        <v>0</v>
      </c>
      <c r="I471" t="n">
        <v>0</v>
      </c>
      <c r="J471" t="n">
        <v>0</v>
      </c>
      <c r="K471" t="n">
        <v>0</v>
      </c>
      <c r="L471" t="n">
        <v>0</v>
      </c>
      <c r="M471" t="n">
        <v>0</v>
      </c>
      <c r="N471" t="n">
        <v>0</v>
      </c>
      <c r="O471" t="n">
        <v>0</v>
      </c>
      <c r="P471" t="n">
        <v>0</v>
      </c>
      <c r="Q471" t="n">
        <v>0</v>
      </c>
      <c r="R471" s="2" t="inlineStr"/>
    </row>
    <row r="472" ht="15" customHeight="1">
      <c r="A472" t="inlineStr">
        <is>
          <t>A 10373-2023</t>
        </is>
      </c>
      <c r="B472" s="1" t="n">
        <v>44987</v>
      </c>
      <c r="C472" s="1" t="n">
        <v>45940</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11678-2023</t>
        </is>
      </c>
      <c r="B473" s="1" t="n">
        <v>44994</v>
      </c>
      <c r="C473" s="1" t="n">
        <v>45940</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32104-2025</t>
        </is>
      </c>
      <c r="B474" s="1" t="n">
        <v>45835</v>
      </c>
      <c r="C474" s="1" t="n">
        <v>45940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31787-2025</t>
        </is>
      </c>
      <c r="B475" s="1" t="n">
        <v>45834</v>
      </c>
      <c r="C475" s="1" t="n">
        <v>45940</v>
      </c>
      <c r="D475" t="inlineStr">
        <is>
          <t>DALARNAS LÄN</t>
        </is>
      </c>
      <c r="E475" t="inlineStr">
        <is>
          <t>LEKSAND</t>
        </is>
      </c>
      <c r="F475" t="inlineStr">
        <is>
          <t>Bergvik skog väst AB</t>
        </is>
      </c>
      <c r="G475" t="n">
        <v>1.3</v>
      </c>
      <c r="H475" t="n">
        <v>0</v>
      </c>
      <c r="I475" t="n">
        <v>0</v>
      </c>
      <c r="J475" t="n">
        <v>0</v>
      </c>
      <c r="K475" t="n">
        <v>0</v>
      </c>
      <c r="L475" t="n">
        <v>0</v>
      </c>
      <c r="M475" t="n">
        <v>0</v>
      </c>
      <c r="N475" t="n">
        <v>0</v>
      </c>
      <c r="O475" t="n">
        <v>0</v>
      </c>
      <c r="P475" t="n">
        <v>0</v>
      </c>
      <c r="Q475" t="n">
        <v>0</v>
      </c>
      <c r="R475" s="2" t="inlineStr"/>
    </row>
    <row r="476" ht="15" customHeight="1">
      <c r="A476" t="inlineStr">
        <is>
          <t>A 8755-2023</t>
        </is>
      </c>
      <c r="B476" s="1" t="n">
        <v>44978</v>
      </c>
      <c r="C476" s="1" t="n">
        <v>45940</v>
      </c>
      <c r="D476" t="inlineStr">
        <is>
          <t>DALARNAS LÄN</t>
        </is>
      </c>
      <c r="E476" t="inlineStr">
        <is>
          <t>LEKSAND</t>
        </is>
      </c>
      <c r="G476" t="n">
        <v>2.3</v>
      </c>
      <c r="H476" t="n">
        <v>0</v>
      </c>
      <c r="I476" t="n">
        <v>0</v>
      </c>
      <c r="J476" t="n">
        <v>0</v>
      </c>
      <c r="K476" t="n">
        <v>0</v>
      </c>
      <c r="L476" t="n">
        <v>0</v>
      </c>
      <c r="M476" t="n">
        <v>0</v>
      </c>
      <c r="N476" t="n">
        <v>0</v>
      </c>
      <c r="O476" t="n">
        <v>0</v>
      </c>
      <c r="P476" t="n">
        <v>0</v>
      </c>
      <c r="Q476" t="n">
        <v>0</v>
      </c>
      <c r="R476" s="2" t="inlineStr"/>
    </row>
    <row r="477" ht="15" customHeight="1">
      <c r="A477" t="inlineStr">
        <is>
          <t>A 5582-2024</t>
        </is>
      </c>
      <c r="B477" s="1" t="n">
        <v>45334</v>
      </c>
      <c r="C477" s="1" t="n">
        <v>45940</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2820-2024</t>
        </is>
      </c>
      <c r="B478" s="1" t="n">
        <v>45314.76287037037</v>
      </c>
      <c r="C478" s="1" t="n">
        <v>45940</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2822-2024</t>
        </is>
      </c>
      <c r="B479" s="1" t="n">
        <v>45314.76622685185</v>
      </c>
      <c r="C479" s="1" t="n">
        <v>45940</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32301-2025</t>
        </is>
      </c>
      <c r="B480" s="1" t="n">
        <v>45835</v>
      </c>
      <c r="C480" s="1" t="n">
        <v>45940</v>
      </c>
      <c r="D480" t="inlineStr">
        <is>
          <t>DALARNAS LÄN</t>
        </is>
      </c>
      <c r="E480" t="inlineStr">
        <is>
          <t>LEKSAND</t>
        </is>
      </c>
      <c r="G480" t="n">
        <v>2.2</v>
      </c>
      <c r="H480" t="n">
        <v>0</v>
      </c>
      <c r="I480" t="n">
        <v>0</v>
      </c>
      <c r="J480" t="n">
        <v>0</v>
      </c>
      <c r="K480" t="n">
        <v>0</v>
      </c>
      <c r="L480" t="n">
        <v>0</v>
      </c>
      <c r="M480" t="n">
        <v>0</v>
      </c>
      <c r="N480" t="n">
        <v>0</v>
      </c>
      <c r="O480" t="n">
        <v>0</v>
      </c>
      <c r="P480" t="n">
        <v>0</v>
      </c>
      <c r="Q480" t="n">
        <v>0</v>
      </c>
      <c r="R480" s="2" t="inlineStr"/>
    </row>
    <row r="481" ht="15" customHeight="1">
      <c r="A481" t="inlineStr">
        <is>
          <t>A 32653-2025</t>
        </is>
      </c>
      <c r="B481" s="1" t="n">
        <v>45838</v>
      </c>
      <c r="C481" s="1" t="n">
        <v>45940</v>
      </c>
      <c r="D481" t="inlineStr">
        <is>
          <t>DALARNAS LÄN</t>
        </is>
      </c>
      <c r="E481" t="inlineStr">
        <is>
          <t>LEKSAND</t>
        </is>
      </c>
      <c r="G481" t="n">
        <v>5.6</v>
      </c>
      <c r="H481" t="n">
        <v>0</v>
      </c>
      <c r="I481" t="n">
        <v>0</v>
      </c>
      <c r="J481" t="n">
        <v>0</v>
      </c>
      <c r="K481" t="n">
        <v>0</v>
      </c>
      <c r="L481" t="n">
        <v>0</v>
      </c>
      <c r="M481" t="n">
        <v>0</v>
      </c>
      <c r="N481" t="n">
        <v>0</v>
      </c>
      <c r="O481" t="n">
        <v>0</v>
      </c>
      <c r="P481" t="n">
        <v>0</v>
      </c>
      <c r="Q481" t="n">
        <v>0</v>
      </c>
      <c r="R481" s="2" t="inlineStr"/>
    </row>
    <row r="482" ht="15" customHeight="1">
      <c r="A482" t="inlineStr">
        <is>
          <t>A 32855-2025</t>
        </is>
      </c>
      <c r="B482" s="1" t="n">
        <v>45839.57643518518</v>
      </c>
      <c r="C482" s="1" t="n">
        <v>45940</v>
      </c>
      <c r="D482" t="inlineStr">
        <is>
          <t>DALARNAS LÄN</t>
        </is>
      </c>
      <c r="E482" t="inlineStr">
        <is>
          <t>LEKSAND</t>
        </is>
      </c>
      <c r="G482" t="n">
        <v>0.7</v>
      </c>
      <c r="H482" t="n">
        <v>0</v>
      </c>
      <c r="I482" t="n">
        <v>0</v>
      </c>
      <c r="J482" t="n">
        <v>0</v>
      </c>
      <c r="K482" t="n">
        <v>0</v>
      </c>
      <c r="L482" t="n">
        <v>0</v>
      </c>
      <c r="M482" t="n">
        <v>0</v>
      </c>
      <c r="N482" t="n">
        <v>0</v>
      </c>
      <c r="O482" t="n">
        <v>0</v>
      </c>
      <c r="P482" t="n">
        <v>0</v>
      </c>
      <c r="Q482" t="n">
        <v>0</v>
      </c>
      <c r="R482" s="2" t="inlineStr"/>
    </row>
    <row r="483" ht="15" customHeight="1">
      <c r="A483" t="inlineStr">
        <is>
          <t>A 32661-2025</t>
        </is>
      </c>
      <c r="B483" s="1" t="n">
        <v>45838.67953703704</v>
      </c>
      <c r="C483" s="1" t="n">
        <v>45940</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46505-2023</t>
        </is>
      </c>
      <c r="B484" s="1" t="n">
        <v>45197</v>
      </c>
      <c r="C484" s="1" t="n">
        <v>45940</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32593-2025</t>
        </is>
      </c>
      <c r="B485" s="1" t="n">
        <v>45838</v>
      </c>
      <c r="C485" s="1" t="n">
        <v>45940</v>
      </c>
      <c r="D485" t="inlineStr">
        <is>
          <t>DALARNAS LÄN</t>
        </is>
      </c>
      <c r="E485" t="inlineStr">
        <is>
          <t>LEKSAND</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58619-2022</t>
        </is>
      </c>
      <c r="B486" s="1" t="n">
        <v>44902.59579861111</v>
      </c>
      <c r="C486" s="1" t="n">
        <v>45940</v>
      </c>
      <c r="D486" t="inlineStr">
        <is>
          <t>DALARNAS LÄN</t>
        </is>
      </c>
      <c r="E486" t="inlineStr">
        <is>
          <t>LEKSAND</t>
        </is>
      </c>
      <c r="G486" t="n">
        <v>0.9</v>
      </c>
      <c r="H486" t="n">
        <v>0</v>
      </c>
      <c r="I486" t="n">
        <v>0</v>
      </c>
      <c r="J486" t="n">
        <v>0</v>
      </c>
      <c r="K486" t="n">
        <v>0</v>
      </c>
      <c r="L486" t="n">
        <v>0</v>
      </c>
      <c r="M486" t="n">
        <v>0</v>
      </c>
      <c r="N486" t="n">
        <v>0</v>
      </c>
      <c r="O486" t="n">
        <v>0</v>
      </c>
      <c r="P486" t="n">
        <v>0</v>
      </c>
      <c r="Q486" t="n">
        <v>0</v>
      </c>
      <c r="R486" s="2" t="inlineStr"/>
    </row>
    <row r="487" ht="15" customHeight="1">
      <c r="A487" t="inlineStr">
        <is>
          <t>A 32726-2025</t>
        </is>
      </c>
      <c r="B487" s="1" t="n">
        <v>45839.3969212963</v>
      </c>
      <c r="C487" s="1" t="n">
        <v>45940</v>
      </c>
      <c r="D487" t="inlineStr">
        <is>
          <t>DALARNAS LÄN</t>
        </is>
      </c>
      <c r="E487" t="inlineStr">
        <is>
          <t>LEKSAND</t>
        </is>
      </c>
      <c r="F487" t="inlineStr">
        <is>
          <t>Bergvik skog väst AB</t>
        </is>
      </c>
      <c r="G487" t="n">
        <v>2.5</v>
      </c>
      <c r="H487" t="n">
        <v>0</v>
      </c>
      <c r="I487" t="n">
        <v>0</v>
      </c>
      <c r="J487" t="n">
        <v>0</v>
      </c>
      <c r="K487" t="n">
        <v>0</v>
      </c>
      <c r="L487" t="n">
        <v>0</v>
      </c>
      <c r="M487" t="n">
        <v>0</v>
      </c>
      <c r="N487" t="n">
        <v>0</v>
      </c>
      <c r="O487" t="n">
        <v>0</v>
      </c>
      <c r="P487" t="n">
        <v>0</v>
      </c>
      <c r="Q487" t="n">
        <v>0</v>
      </c>
      <c r="R487" s="2" t="inlineStr"/>
    </row>
    <row r="488" ht="15" customHeight="1">
      <c r="A488" t="inlineStr">
        <is>
          <t>A 37952-2024</t>
        </is>
      </c>
      <c r="B488" s="1" t="n">
        <v>45544.5200462963</v>
      </c>
      <c r="C488" s="1" t="n">
        <v>45940</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33160-2025</t>
        </is>
      </c>
      <c r="B489" s="1" t="n">
        <v>45840</v>
      </c>
      <c r="C489" s="1" t="n">
        <v>45940</v>
      </c>
      <c r="D489" t="inlineStr">
        <is>
          <t>DALARNAS LÄN</t>
        </is>
      </c>
      <c r="E489" t="inlineStr">
        <is>
          <t>LEKSAND</t>
        </is>
      </c>
      <c r="G489" t="n">
        <v>2.3</v>
      </c>
      <c r="H489" t="n">
        <v>0</v>
      </c>
      <c r="I489" t="n">
        <v>0</v>
      </c>
      <c r="J489" t="n">
        <v>0</v>
      </c>
      <c r="K489" t="n">
        <v>0</v>
      </c>
      <c r="L489" t="n">
        <v>0</v>
      </c>
      <c r="M489" t="n">
        <v>0</v>
      </c>
      <c r="N489" t="n">
        <v>0</v>
      </c>
      <c r="O489" t="n">
        <v>0</v>
      </c>
      <c r="P489" t="n">
        <v>0</v>
      </c>
      <c r="Q489" t="n">
        <v>0</v>
      </c>
      <c r="R489" s="2" t="inlineStr"/>
    </row>
    <row r="490" ht="15" customHeight="1">
      <c r="A490" t="inlineStr">
        <is>
          <t>A 776-2021</t>
        </is>
      </c>
      <c r="B490" s="1" t="n">
        <v>44203</v>
      </c>
      <c r="C490" s="1" t="n">
        <v>45940</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8045-2024</t>
        </is>
      </c>
      <c r="B491" s="1" t="n">
        <v>45351.31371527778</v>
      </c>
      <c r="C491" s="1" t="n">
        <v>45940</v>
      </c>
      <c r="D491" t="inlineStr">
        <is>
          <t>DALARNAS LÄN</t>
        </is>
      </c>
      <c r="E491" t="inlineStr">
        <is>
          <t>LEKSAND</t>
        </is>
      </c>
      <c r="G491" t="n">
        <v>6.7</v>
      </c>
      <c r="H491" t="n">
        <v>0</v>
      </c>
      <c r="I491" t="n">
        <v>0</v>
      </c>
      <c r="J491" t="n">
        <v>0</v>
      </c>
      <c r="K491" t="n">
        <v>0</v>
      </c>
      <c r="L491" t="n">
        <v>0</v>
      </c>
      <c r="M491" t="n">
        <v>0</v>
      </c>
      <c r="N491" t="n">
        <v>0</v>
      </c>
      <c r="O491" t="n">
        <v>0</v>
      </c>
      <c r="P491" t="n">
        <v>0</v>
      </c>
      <c r="Q491" t="n">
        <v>0</v>
      </c>
      <c r="R491" s="2" t="inlineStr"/>
    </row>
    <row r="492" ht="15" customHeight="1">
      <c r="A492" t="inlineStr">
        <is>
          <t>A 33001-2023</t>
        </is>
      </c>
      <c r="B492" s="1" t="n">
        <v>45125</v>
      </c>
      <c r="C492" s="1" t="n">
        <v>45940</v>
      </c>
      <c r="D492" t="inlineStr">
        <is>
          <t>DALARNAS LÄN</t>
        </is>
      </c>
      <c r="E492" t="inlineStr">
        <is>
          <t>LEKSAND</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1946-2024</t>
        </is>
      </c>
      <c r="B493" s="1" t="n">
        <v>45308</v>
      </c>
      <c r="C493" s="1" t="n">
        <v>45940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15257-2025</t>
        </is>
      </c>
      <c r="B494" s="1" t="n">
        <v>45744</v>
      </c>
      <c r="C494" s="1" t="n">
        <v>45940</v>
      </c>
      <c r="D494" t="inlineStr">
        <is>
          <t>DALARNAS LÄN</t>
        </is>
      </c>
      <c r="E494" t="inlineStr">
        <is>
          <t>LEKSAND</t>
        </is>
      </c>
      <c r="G494" t="n">
        <v>0.9</v>
      </c>
      <c r="H494" t="n">
        <v>0</v>
      </c>
      <c r="I494" t="n">
        <v>0</v>
      </c>
      <c r="J494" t="n">
        <v>0</v>
      </c>
      <c r="K494" t="n">
        <v>0</v>
      </c>
      <c r="L494" t="n">
        <v>0</v>
      </c>
      <c r="M494" t="n">
        <v>0</v>
      </c>
      <c r="N494" t="n">
        <v>0</v>
      </c>
      <c r="O494" t="n">
        <v>0</v>
      </c>
      <c r="P494" t="n">
        <v>0</v>
      </c>
      <c r="Q494" t="n">
        <v>0</v>
      </c>
      <c r="R494" s="2" t="inlineStr"/>
    </row>
    <row r="495" ht="15" customHeight="1">
      <c r="A495" t="inlineStr">
        <is>
          <t>A 32394-2024</t>
        </is>
      </c>
      <c r="B495" s="1" t="n">
        <v>45512.64349537037</v>
      </c>
      <c r="C495" s="1" t="n">
        <v>45940</v>
      </c>
      <c r="D495" t="inlineStr">
        <is>
          <t>DALARNAS LÄN</t>
        </is>
      </c>
      <c r="E495" t="inlineStr">
        <is>
          <t>LEKSAND</t>
        </is>
      </c>
      <c r="F495" t="inlineStr">
        <is>
          <t>Bergvik skog väst AB</t>
        </is>
      </c>
      <c r="G495" t="n">
        <v>6</v>
      </c>
      <c r="H495" t="n">
        <v>0</v>
      </c>
      <c r="I495" t="n">
        <v>0</v>
      </c>
      <c r="J495" t="n">
        <v>0</v>
      </c>
      <c r="K495" t="n">
        <v>0</v>
      </c>
      <c r="L495" t="n">
        <v>0</v>
      </c>
      <c r="M495" t="n">
        <v>0</v>
      </c>
      <c r="N495" t="n">
        <v>0</v>
      </c>
      <c r="O495" t="n">
        <v>0</v>
      </c>
      <c r="P495" t="n">
        <v>0</v>
      </c>
      <c r="Q495" t="n">
        <v>0</v>
      </c>
      <c r="R495" s="2" t="inlineStr"/>
    </row>
    <row r="496" ht="15" customHeight="1">
      <c r="A496" t="inlineStr">
        <is>
          <t>A 11015-2022</t>
        </is>
      </c>
      <c r="B496" s="1" t="n">
        <v>44628.52340277778</v>
      </c>
      <c r="C496" s="1" t="n">
        <v>45940</v>
      </c>
      <c r="D496" t="inlineStr">
        <is>
          <t>DALARNAS LÄN</t>
        </is>
      </c>
      <c r="E496" t="inlineStr">
        <is>
          <t>LEKSAND</t>
        </is>
      </c>
      <c r="G496" t="n">
        <v>1.4</v>
      </c>
      <c r="H496" t="n">
        <v>0</v>
      </c>
      <c r="I496" t="n">
        <v>0</v>
      </c>
      <c r="J496" t="n">
        <v>0</v>
      </c>
      <c r="K496" t="n">
        <v>0</v>
      </c>
      <c r="L496" t="n">
        <v>0</v>
      </c>
      <c r="M496" t="n">
        <v>0</v>
      </c>
      <c r="N496" t="n">
        <v>0</v>
      </c>
      <c r="O496" t="n">
        <v>0</v>
      </c>
      <c r="P496" t="n">
        <v>0</v>
      </c>
      <c r="Q496" t="n">
        <v>0</v>
      </c>
      <c r="R496" s="2" t="inlineStr"/>
    </row>
    <row r="497" ht="15" customHeight="1">
      <c r="A497" t="inlineStr">
        <is>
          <t>A 46834-2023</t>
        </is>
      </c>
      <c r="B497" s="1" t="n">
        <v>45199.35668981481</v>
      </c>
      <c r="C497" s="1" t="n">
        <v>45940</v>
      </c>
      <c r="D497" t="inlineStr">
        <is>
          <t>DALARNAS LÄN</t>
        </is>
      </c>
      <c r="E497" t="inlineStr">
        <is>
          <t>LEKSAND</t>
        </is>
      </c>
      <c r="G497" t="n">
        <v>16.3</v>
      </c>
      <c r="H497" t="n">
        <v>0</v>
      </c>
      <c r="I497" t="n">
        <v>0</v>
      </c>
      <c r="J497" t="n">
        <v>0</v>
      </c>
      <c r="K497" t="n">
        <v>0</v>
      </c>
      <c r="L497" t="n">
        <v>0</v>
      </c>
      <c r="M497" t="n">
        <v>0</v>
      </c>
      <c r="N497" t="n">
        <v>0</v>
      </c>
      <c r="O497" t="n">
        <v>0</v>
      </c>
      <c r="P497" t="n">
        <v>0</v>
      </c>
      <c r="Q497" t="n">
        <v>0</v>
      </c>
      <c r="R497" s="2" t="inlineStr"/>
    </row>
    <row r="498" ht="15" customHeight="1">
      <c r="A498" t="inlineStr">
        <is>
          <t>A 12851-2023</t>
        </is>
      </c>
      <c r="B498" s="1" t="n">
        <v>45001.49347222222</v>
      </c>
      <c r="C498" s="1" t="n">
        <v>45940</v>
      </c>
      <c r="D498" t="inlineStr">
        <is>
          <t>DALARNAS LÄN</t>
        </is>
      </c>
      <c r="E498" t="inlineStr">
        <is>
          <t>LEKSAND</t>
        </is>
      </c>
      <c r="G498" t="n">
        <v>1.9</v>
      </c>
      <c r="H498" t="n">
        <v>0</v>
      </c>
      <c r="I498" t="n">
        <v>0</v>
      </c>
      <c r="J498" t="n">
        <v>0</v>
      </c>
      <c r="K498" t="n">
        <v>0</v>
      </c>
      <c r="L498" t="n">
        <v>0</v>
      </c>
      <c r="M498" t="n">
        <v>0</v>
      </c>
      <c r="N498" t="n">
        <v>0</v>
      </c>
      <c r="O498" t="n">
        <v>0</v>
      </c>
      <c r="P498" t="n">
        <v>0</v>
      </c>
      <c r="Q498" t="n">
        <v>0</v>
      </c>
      <c r="R498" s="2" t="inlineStr"/>
    </row>
    <row r="499" ht="15" customHeight="1">
      <c r="A499" t="inlineStr">
        <is>
          <t>A 40752-2024</t>
        </is>
      </c>
      <c r="B499" s="1" t="n">
        <v>45558.45638888889</v>
      </c>
      <c r="C499" s="1" t="n">
        <v>45940</v>
      </c>
      <c r="D499" t="inlineStr">
        <is>
          <t>DALARNAS LÄN</t>
        </is>
      </c>
      <c r="E499" t="inlineStr">
        <is>
          <t>LEKSAND</t>
        </is>
      </c>
      <c r="G499" t="n">
        <v>1</v>
      </c>
      <c r="H499" t="n">
        <v>0</v>
      </c>
      <c r="I499" t="n">
        <v>0</v>
      </c>
      <c r="J499" t="n">
        <v>0</v>
      </c>
      <c r="K499" t="n">
        <v>0</v>
      </c>
      <c r="L499" t="n">
        <v>0</v>
      </c>
      <c r="M499" t="n">
        <v>0</v>
      </c>
      <c r="N499" t="n">
        <v>0</v>
      </c>
      <c r="O499" t="n">
        <v>0</v>
      </c>
      <c r="P499" t="n">
        <v>0</v>
      </c>
      <c r="Q499" t="n">
        <v>0</v>
      </c>
      <c r="R499" s="2" t="inlineStr"/>
    </row>
    <row r="500" ht="15" customHeight="1">
      <c r="A500" t="inlineStr">
        <is>
          <t>A 33804-2025</t>
        </is>
      </c>
      <c r="B500" s="1" t="n">
        <v>45842</v>
      </c>
      <c r="C500" s="1" t="n">
        <v>45940</v>
      </c>
      <c r="D500" t="inlineStr">
        <is>
          <t>DALARNAS LÄN</t>
        </is>
      </c>
      <c r="E500" t="inlineStr">
        <is>
          <t>LEKSAND</t>
        </is>
      </c>
      <c r="G500" t="n">
        <v>1.2</v>
      </c>
      <c r="H500" t="n">
        <v>0</v>
      </c>
      <c r="I500" t="n">
        <v>0</v>
      </c>
      <c r="J500" t="n">
        <v>0</v>
      </c>
      <c r="K500" t="n">
        <v>0</v>
      </c>
      <c r="L500" t="n">
        <v>0</v>
      </c>
      <c r="M500" t="n">
        <v>0</v>
      </c>
      <c r="N500" t="n">
        <v>0</v>
      </c>
      <c r="O500" t="n">
        <v>0</v>
      </c>
      <c r="P500" t="n">
        <v>0</v>
      </c>
      <c r="Q500" t="n">
        <v>0</v>
      </c>
      <c r="R500" s="2" t="inlineStr"/>
    </row>
    <row r="501" ht="15" customHeight="1">
      <c r="A501" t="inlineStr">
        <is>
          <t>A 34482-2022</t>
        </is>
      </c>
      <c r="B501" s="1" t="n">
        <v>44792</v>
      </c>
      <c r="C501" s="1" t="n">
        <v>45940</v>
      </c>
      <c r="D501" t="inlineStr">
        <is>
          <t>DALARNAS LÄN</t>
        </is>
      </c>
      <c r="E501" t="inlineStr">
        <is>
          <t>LEKSAND</t>
        </is>
      </c>
      <c r="G501" t="n">
        <v>2.6</v>
      </c>
      <c r="H501" t="n">
        <v>0</v>
      </c>
      <c r="I501" t="n">
        <v>0</v>
      </c>
      <c r="J501" t="n">
        <v>0</v>
      </c>
      <c r="K501" t="n">
        <v>0</v>
      </c>
      <c r="L501" t="n">
        <v>0</v>
      </c>
      <c r="M501" t="n">
        <v>0</v>
      </c>
      <c r="N501" t="n">
        <v>0</v>
      </c>
      <c r="O501" t="n">
        <v>0</v>
      </c>
      <c r="P501" t="n">
        <v>0</v>
      </c>
      <c r="Q501" t="n">
        <v>0</v>
      </c>
      <c r="R501" s="2" t="inlineStr"/>
    </row>
    <row r="502" ht="15" customHeight="1">
      <c r="A502" t="inlineStr">
        <is>
          <t>A 15882-2023</t>
        </is>
      </c>
      <c r="B502" s="1" t="n">
        <v>45022</v>
      </c>
      <c r="C502" s="1" t="n">
        <v>45940</v>
      </c>
      <c r="D502" t="inlineStr">
        <is>
          <t>DALARNAS LÄN</t>
        </is>
      </c>
      <c r="E502" t="inlineStr">
        <is>
          <t>LEKSAND</t>
        </is>
      </c>
      <c r="G502" t="n">
        <v>0.1</v>
      </c>
      <c r="H502" t="n">
        <v>0</v>
      </c>
      <c r="I502" t="n">
        <v>0</v>
      </c>
      <c r="J502" t="n">
        <v>0</v>
      </c>
      <c r="K502" t="n">
        <v>0</v>
      </c>
      <c r="L502" t="n">
        <v>0</v>
      </c>
      <c r="M502" t="n">
        <v>0</v>
      </c>
      <c r="N502" t="n">
        <v>0</v>
      </c>
      <c r="O502" t="n">
        <v>0</v>
      </c>
      <c r="P502" t="n">
        <v>0</v>
      </c>
      <c r="Q502" t="n">
        <v>0</v>
      </c>
      <c r="R502" s="2" t="inlineStr"/>
    </row>
    <row r="503" ht="15" customHeight="1">
      <c r="A503" t="inlineStr">
        <is>
          <t>A 5584-2024</t>
        </is>
      </c>
      <c r="B503" s="1" t="n">
        <v>45334</v>
      </c>
      <c r="C503" s="1" t="n">
        <v>45940</v>
      </c>
      <c r="D503" t="inlineStr">
        <is>
          <t>DALARNAS LÄN</t>
        </is>
      </c>
      <c r="E503" t="inlineStr">
        <is>
          <t>LEKSAND</t>
        </is>
      </c>
      <c r="F503" t="inlineStr">
        <is>
          <t>Kyrkan</t>
        </is>
      </c>
      <c r="G503" t="n">
        <v>0.4</v>
      </c>
      <c r="H503" t="n">
        <v>0</v>
      </c>
      <c r="I503" t="n">
        <v>0</v>
      </c>
      <c r="J503" t="n">
        <v>0</v>
      </c>
      <c r="K503" t="n">
        <v>0</v>
      </c>
      <c r="L503" t="n">
        <v>0</v>
      </c>
      <c r="M503" t="n">
        <v>0</v>
      </c>
      <c r="N503" t="n">
        <v>0</v>
      </c>
      <c r="O503" t="n">
        <v>0</v>
      </c>
      <c r="P503" t="n">
        <v>0</v>
      </c>
      <c r="Q503" t="n">
        <v>0</v>
      </c>
      <c r="R503" s="2" t="inlineStr"/>
    </row>
    <row r="504" ht="15" customHeight="1">
      <c r="A504" t="inlineStr">
        <is>
          <t>A 51860-2024</t>
        </is>
      </c>
      <c r="B504" s="1" t="n">
        <v>45607.54511574074</v>
      </c>
      <c r="C504" s="1" t="n">
        <v>45940</v>
      </c>
      <c r="D504" t="inlineStr">
        <is>
          <t>DALARNAS LÄN</t>
        </is>
      </c>
      <c r="E504" t="inlineStr">
        <is>
          <t>LEKSAND</t>
        </is>
      </c>
      <c r="F504" t="inlineStr">
        <is>
          <t>Bergvik skog väst AB</t>
        </is>
      </c>
      <c r="G504" t="n">
        <v>3.4</v>
      </c>
      <c r="H504" t="n">
        <v>0</v>
      </c>
      <c r="I504" t="n">
        <v>0</v>
      </c>
      <c r="J504" t="n">
        <v>0</v>
      </c>
      <c r="K504" t="n">
        <v>0</v>
      </c>
      <c r="L504" t="n">
        <v>0</v>
      </c>
      <c r="M504" t="n">
        <v>0</v>
      </c>
      <c r="N504" t="n">
        <v>0</v>
      </c>
      <c r="O504" t="n">
        <v>0</v>
      </c>
      <c r="P504" t="n">
        <v>0</v>
      </c>
      <c r="Q504" t="n">
        <v>0</v>
      </c>
      <c r="R504" s="2" t="inlineStr"/>
    </row>
    <row r="505" ht="15" customHeight="1">
      <c r="A505" t="inlineStr">
        <is>
          <t>A 22681-2022</t>
        </is>
      </c>
      <c r="B505" s="1" t="n">
        <v>44714.50961805556</v>
      </c>
      <c r="C505" s="1" t="n">
        <v>45940</v>
      </c>
      <c r="D505" t="inlineStr">
        <is>
          <t>DALARNAS LÄN</t>
        </is>
      </c>
      <c r="E505" t="inlineStr">
        <is>
          <t>LEKSAND</t>
        </is>
      </c>
      <c r="F505" t="inlineStr">
        <is>
          <t>Bergvik skog väst AB</t>
        </is>
      </c>
      <c r="G505" t="n">
        <v>2.8</v>
      </c>
      <c r="H505" t="n">
        <v>0</v>
      </c>
      <c r="I505" t="n">
        <v>0</v>
      </c>
      <c r="J505" t="n">
        <v>0</v>
      </c>
      <c r="K505" t="n">
        <v>0</v>
      </c>
      <c r="L505" t="n">
        <v>0</v>
      </c>
      <c r="M505" t="n">
        <v>0</v>
      </c>
      <c r="N505" t="n">
        <v>0</v>
      </c>
      <c r="O505" t="n">
        <v>0</v>
      </c>
      <c r="P505" t="n">
        <v>0</v>
      </c>
      <c r="Q505" t="n">
        <v>0</v>
      </c>
      <c r="R505" s="2" t="inlineStr"/>
    </row>
    <row r="506" ht="15" customHeight="1">
      <c r="A506" t="inlineStr">
        <is>
          <t>A 5583-2024</t>
        </is>
      </c>
      <c r="B506" s="1" t="n">
        <v>45334</v>
      </c>
      <c r="C506" s="1" t="n">
        <v>45940</v>
      </c>
      <c r="D506" t="inlineStr">
        <is>
          <t>DALARNAS LÄN</t>
        </is>
      </c>
      <c r="E506" t="inlineStr">
        <is>
          <t>LEKSAND</t>
        </is>
      </c>
      <c r="F506" t="inlineStr">
        <is>
          <t>Kyrkan</t>
        </is>
      </c>
      <c r="G506" t="n">
        <v>0.4</v>
      </c>
      <c r="H506" t="n">
        <v>0</v>
      </c>
      <c r="I506" t="n">
        <v>0</v>
      </c>
      <c r="J506" t="n">
        <v>0</v>
      </c>
      <c r="K506" t="n">
        <v>0</v>
      </c>
      <c r="L506" t="n">
        <v>0</v>
      </c>
      <c r="M506" t="n">
        <v>0</v>
      </c>
      <c r="N506" t="n">
        <v>0</v>
      </c>
      <c r="O506" t="n">
        <v>0</v>
      </c>
      <c r="P506" t="n">
        <v>0</v>
      </c>
      <c r="Q506" t="n">
        <v>0</v>
      </c>
      <c r="R506" s="2" t="inlineStr"/>
    </row>
    <row r="507" ht="15" customHeight="1">
      <c r="A507" t="inlineStr">
        <is>
          <t>A 1457-2024</t>
        </is>
      </c>
      <c r="B507" s="1" t="n">
        <v>45303</v>
      </c>
      <c r="C507" s="1" t="n">
        <v>45940</v>
      </c>
      <c r="D507" t="inlineStr">
        <is>
          <t>DALARNAS LÄN</t>
        </is>
      </c>
      <c r="E507" t="inlineStr">
        <is>
          <t>LEKSAND</t>
        </is>
      </c>
      <c r="G507" t="n">
        <v>4.4</v>
      </c>
      <c r="H507" t="n">
        <v>0</v>
      </c>
      <c r="I507" t="n">
        <v>0</v>
      </c>
      <c r="J507" t="n">
        <v>0</v>
      </c>
      <c r="K507" t="n">
        <v>0</v>
      </c>
      <c r="L507" t="n">
        <v>0</v>
      </c>
      <c r="M507" t="n">
        <v>0</v>
      </c>
      <c r="N507" t="n">
        <v>0</v>
      </c>
      <c r="O507" t="n">
        <v>0</v>
      </c>
      <c r="P507" t="n">
        <v>0</v>
      </c>
      <c r="Q507" t="n">
        <v>0</v>
      </c>
      <c r="R507" s="2" t="inlineStr"/>
    </row>
    <row r="508" ht="15" customHeight="1">
      <c r="A508" t="inlineStr">
        <is>
          <t>A 56950-2024</t>
        </is>
      </c>
      <c r="B508" s="1" t="n">
        <v>45625</v>
      </c>
      <c r="C508" s="1" t="n">
        <v>45940</v>
      </c>
      <c r="D508" t="inlineStr">
        <is>
          <t>DALARNAS LÄN</t>
        </is>
      </c>
      <c r="E508" t="inlineStr">
        <is>
          <t>LEKSAND</t>
        </is>
      </c>
      <c r="G508" t="n">
        <v>1</v>
      </c>
      <c r="H508" t="n">
        <v>0</v>
      </c>
      <c r="I508" t="n">
        <v>0</v>
      </c>
      <c r="J508" t="n">
        <v>0</v>
      </c>
      <c r="K508" t="n">
        <v>0</v>
      </c>
      <c r="L508" t="n">
        <v>0</v>
      </c>
      <c r="M508" t="n">
        <v>0</v>
      </c>
      <c r="N508" t="n">
        <v>0</v>
      </c>
      <c r="O508" t="n">
        <v>0</v>
      </c>
      <c r="P508" t="n">
        <v>0</v>
      </c>
      <c r="Q508" t="n">
        <v>0</v>
      </c>
      <c r="R508" s="2" t="inlineStr"/>
    </row>
    <row r="509" ht="15" customHeight="1">
      <c r="A509" t="inlineStr">
        <is>
          <t>A 15120-2023</t>
        </is>
      </c>
      <c r="B509" s="1" t="n">
        <v>45016.46484953703</v>
      </c>
      <c r="C509" s="1" t="n">
        <v>45940</v>
      </c>
      <c r="D509" t="inlineStr">
        <is>
          <t>DALARNAS LÄN</t>
        </is>
      </c>
      <c r="E509" t="inlineStr">
        <is>
          <t>LEKSAND</t>
        </is>
      </c>
      <c r="G509" t="n">
        <v>2.7</v>
      </c>
      <c r="H509" t="n">
        <v>0</v>
      </c>
      <c r="I509" t="n">
        <v>0</v>
      </c>
      <c r="J509" t="n">
        <v>0</v>
      </c>
      <c r="K509" t="n">
        <v>0</v>
      </c>
      <c r="L509" t="n">
        <v>0</v>
      </c>
      <c r="M509" t="n">
        <v>0</v>
      </c>
      <c r="N509" t="n">
        <v>0</v>
      </c>
      <c r="O509" t="n">
        <v>0</v>
      </c>
      <c r="P509" t="n">
        <v>0</v>
      </c>
      <c r="Q509" t="n">
        <v>0</v>
      </c>
      <c r="R509" s="2" t="inlineStr"/>
    </row>
    <row r="510" ht="15" customHeight="1">
      <c r="A510" t="inlineStr">
        <is>
          <t>A 43693-2022</t>
        </is>
      </c>
      <c r="B510" s="1" t="n">
        <v>44837.6369212963</v>
      </c>
      <c r="C510" s="1" t="n">
        <v>45940</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40007-2024</t>
        </is>
      </c>
      <c r="B511" s="1" t="n">
        <v>45553.6516550926</v>
      </c>
      <c r="C511" s="1" t="n">
        <v>45940</v>
      </c>
      <c r="D511" t="inlineStr">
        <is>
          <t>DALARNAS LÄN</t>
        </is>
      </c>
      <c r="E511" t="inlineStr">
        <is>
          <t>LEKSAND</t>
        </is>
      </c>
      <c r="F511" t="inlineStr">
        <is>
          <t>Bergvik skog väst AB</t>
        </is>
      </c>
      <c r="G511" t="n">
        <v>3.2</v>
      </c>
      <c r="H511" t="n">
        <v>0</v>
      </c>
      <c r="I511" t="n">
        <v>0</v>
      </c>
      <c r="J511" t="n">
        <v>0</v>
      </c>
      <c r="K511" t="n">
        <v>0</v>
      </c>
      <c r="L511" t="n">
        <v>0</v>
      </c>
      <c r="M511" t="n">
        <v>0</v>
      </c>
      <c r="N511" t="n">
        <v>0</v>
      </c>
      <c r="O511" t="n">
        <v>0</v>
      </c>
      <c r="P511" t="n">
        <v>0</v>
      </c>
      <c r="Q511" t="n">
        <v>0</v>
      </c>
      <c r="R511" s="2" t="inlineStr"/>
    </row>
    <row r="512" ht="15" customHeight="1">
      <c r="A512" t="inlineStr">
        <is>
          <t>A 34537-2025</t>
        </is>
      </c>
      <c r="B512" s="1" t="n">
        <v>45847</v>
      </c>
      <c r="C512" s="1" t="n">
        <v>45940</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5453-2025</t>
        </is>
      </c>
      <c r="B513" s="1" t="n">
        <v>45692.95231481481</v>
      </c>
      <c r="C513" s="1" t="n">
        <v>45940</v>
      </c>
      <c r="D513" t="inlineStr">
        <is>
          <t>DALARNAS LÄN</t>
        </is>
      </c>
      <c r="E513" t="inlineStr">
        <is>
          <t>LEKSAND</t>
        </is>
      </c>
      <c r="G513" t="n">
        <v>2.2</v>
      </c>
      <c r="H513" t="n">
        <v>0</v>
      </c>
      <c r="I513" t="n">
        <v>0</v>
      </c>
      <c r="J513" t="n">
        <v>0</v>
      </c>
      <c r="K513" t="n">
        <v>0</v>
      </c>
      <c r="L513" t="n">
        <v>0</v>
      </c>
      <c r="M513" t="n">
        <v>0</v>
      </c>
      <c r="N513" t="n">
        <v>0</v>
      </c>
      <c r="O513" t="n">
        <v>0</v>
      </c>
      <c r="P513" t="n">
        <v>0</v>
      </c>
      <c r="Q513" t="n">
        <v>0</v>
      </c>
      <c r="R513" s="2" t="inlineStr"/>
    </row>
    <row r="514" ht="15" customHeight="1">
      <c r="A514" t="inlineStr">
        <is>
          <t>A 3352-2024</t>
        </is>
      </c>
      <c r="B514" s="1" t="n">
        <v>45317</v>
      </c>
      <c r="C514" s="1" t="n">
        <v>45940</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52755-2024</t>
        </is>
      </c>
      <c r="B515" s="1" t="n">
        <v>45610.50217592593</v>
      </c>
      <c r="C515" s="1" t="n">
        <v>45940</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33198-2022</t>
        </is>
      </c>
      <c r="B516" s="1" t="n">
        <v>44785.68597222222</v>
      </c>
      <c r="C516" s="1" t="n">
        <v>45940</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9938-2023</t>
        </is>
      </c>
      <c r="B517" s="1" t="n">
        <v>44985</v>
      </c>
      <c r="C517" s="1" t="n">
        <v>45940</v>
      </c>
      <c r="D517" t="inlineStr">
        <is>
          <t>DALARNAS LÄN</t>
        </is>
      </c>
      <c r="E517" t="inlineStr">
        <is>
          <t>LEKSAND</t>
        </is>
      </c>
      <c r="G517" t="n">
        <v>3.1</v>
      </c>
      <c r="H517" t="n">
        <v>0</v>
      </c>
      <c r="I517" t="n">
        <v>0</v>
      </c>
      <c r="J517" t="n">
        <v>0</v>
      </c>
      <c r="K517" t="n">
        <v>0</v>
      </c>
      <c r="L517" t="n">
        <v>0</v>
      </c>
      <c r="M517" t="n">
        <v>0</v>
      </c>
      <c r="N517" t="n">
        <v>0</v>
      </c>
      <c r="O517" t="n">
        <v>0</v>
      </c>
      <c r="P517" t="n">
        <v>0</v>
      </c>
      <c r="Q517" t="n">
        <v>0</v>
      </c>
      <c r="R517" s="2" t="inlineStr"/>
    </row>
    <row r="518" ht="15" customHeight="1">
      <c r="A518" t="inlineStr">
        <is>
          <t>A 34965-2025</t>
        </is>
      </c>
      <c r="B518" s="1" t="n">
        <v>45849</v>
      </c>
      <c r="C518" s="1" t="n">
        <v>45940</v>
      </c>
      <c r="D518" t="inlineStr">
        <is>
          <t>DALARNAS LÄN</t>
        </is>
      </c>
      <c r="E518" t="inlineStr">
        <is>
          <t>LEKSAND</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13165-2023</t>
        </is>
      </c>
      <c r="B519" s="1" t="n">
        <v>45002.57731481481</v>
      </c>
      <c r="C519" s="1" t="n">
        <v>45940</v>
      </c>
      <c r="D519" t="inlineStr">
        <is>
          <t>DALARNAS LÄN</t>
        </is>
      </c>
      <c r="E519" t="inlineStr">
        <is>
          <t>LEKSAND</t>
        </is>
      </c>
      <c r="G519" t="n">
        <v>2.4</v>
      </c>
      <c r="H519" t="n">
        <v>0</v>
      </c>
      <c r="I519" t="n">
        <v>0</v>
      </c>
      <c r="J519" t="n">
        <v>0</v>
      </c>
      <c r="K519" t="n">
        <v>0</v>
      </c>
      <c r="L519" t="n">
        <v>0</v>
      </c>
      <c r="M519" t="n">
        <v>0</v>
      </c>
      <c r="N519" t="n">
        <v>0</v>
      </c>
      <c r="O519" t="n">
        <v>0</v>
      </c>
      <c r="P519" t="n">
        <v>0</v>
      </c>
      <c r="Q519" t="n">
        <v>0</v>
      </c>
      <c r="R519" s="2" t="inlineStr"/>
    </row>
    <row r="520" ht="15" customHeight="1">
      <c r="A520" t="inlineStr">
        <is>
          <t>A 39620-2024</t>
        </is>
      </c>
      <c r="B520" s="1" t="n">
        <v>45552.43163194445</v>
      </c>
      <c r="C520" s="1" t="n">
        <v>45940</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31726-2024</t>
        </is>
      </c>
      <c r="B521" s="1" t="n">
        <v>45509.33908564815</v>
      </c>
      <c r="C521" s="1" t="n">
        <v>45940</v>
      </c>
      <c r="D521" t="inlineStr">
        <is>
          <t>DALARNAS LÄN</t>
        </is>
      </c>
      <c r="E521" t="inlineStr">
        <is>
          <t>LEKSAND</t>
        </is>
      </c>
      <c r="G521" t="n">
        <v>1.1</v>
      </c>
      <c r="H521" t="n">
        <v>0</v>
      </c>
      <c r="I521" t="n">
        <v>0</v>
      </c>
      <c r="J521" t="n">
        <v>0</v>
      </c>
      <c r="K521" t="n">
        <v>0</v>
      </c>
      <c r="L521" t="n">
        <v>0</v>
      </c>
      <c r="M521" t="n">
        <v>0</v>
      </c>
      <c r="N521" t="n">
        <v>0</v>
      </c>
      <c r="O521" t="n">
        <v>0</v>
      </c>
      <c r="P521" t="n">
        <v>0</v>
      </c>
      <c r="Q521" t="n">
        <v>0</v>
      </c>
      <c r="R521" s="2" t="inlineStr"/>
    </row>
    <row r="522" ht="15" customHeight="1">
      <c r="A522" t="inlineStr">
        <is>
          <t>A 26957-2023</t>
        </is>
      </c>
      <c r="B522" s="1" t="n">
        <v>45093</v>
      </c>
      <c r="C522" s="1" t="n">
        <v>45940</v>
      </c>
      <c r="D522" t="inlineStr">
        <is>
          <t>DALARNAS LÄN</t>
        </is>
      </c>
      <c r="E522" t="inlineStr">
        <is>
          <t>LEKSAND</t>
        </is>
      </c>
      <c r="G522" t="n">
        <v>1.1</v>
      </c>
      <c r="H522" t="n">
        <v>0</v>
      </c>
      <c r="I522" t="n">
        <v>0</v>
      </c>
      <c r="J522" t="n">
        <v>0</v>
      </c>
      <c r="K522" t="n">
        <v>0</v>
      </c>
      <c r="L522" t="n">
        <v>0</v>
      </c>
      <c r="M522" t="n">
        <v>0</v>
      </c>
      <c r="N522" t="n">
        <v>0</v>
      </c>
      <c r="O522" t="n">
        <v>0</v>
      </c>
      <c r="P522" t="n">
        <v>0</v>
      </c>
      <c r="Q522" t="n">
        <v>0</v>
      </c>
      <c r="R522" s="2" t="inlineStr"/>
    </row>
    <row r="523" ht="15" customHeight="1">
      <c r="A523" t="inlineStr">
        <is>
          <t>A 39595-2023</t>
        </is>
      </c>
      <c r="B523" s="1" t="n">
        <v>45167</v>
      </c>
      <c r="C523" s="1" t="n">
        <v>45940</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30204-2024</t>
        </is>
      </c>
      <c r="B524" s="1" t="n">
        <v>45490.35402777778</v>
      </c>
      <c r="C524" s="1" t="n">
        <v>45940</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40642-2023</t>
        </is>
      </c>
      <c r="B525" s="1" t="n">
        <v>45169</v>
      </c>
      <c r="C525" s="1" t="n">
        <v>45940</v>
      </c>
      <c r="D525" t="inlineStr">
        <is>
          <t>DALARNAS LÄN</t>
        </is>
      </c>
      <c r="E525" t="inlineStr">
        <is>
          <t>LEKSAND</t>
        </is>
      </c>
      <c r="G525" t="n">
        <v>1.9</v>
      </c>
      <c r="H525" t="n">
        <v>0</v>
      </c>
      <c r="I525" t="n">
        <v>0</v>
      </c>
      <c r="J525" t="n">
        <v>0</v>
      </c>
      <c r="K525" t="n">
        <v>0</v>
      </c>
      <c r="L525" t="n">
        <v>0</v>
      </c>
      <c r="M525" t="n">
        <v>0</v>
      </c>
      <c r="N525" t="n">
        <v>0</v>
      </c>
      <c r="O525" t="n">
        <v>0</v>
      </c>
      <c r="P525" t="n">
        <v>0</v>
      </c>
      <c r="Q525" t="n">
        <v>0</v>
      </c>
      <c r="R525" s="2" t="inlineStr"/>
    </row>
    <row r="526" ht="15" customHeight="1">
      <c r="A526" t="inlineStr">
        <is>
          <t>A 6050-2023</t>
        </is>
      </c>
      <c r="B526" s="1" t="n">
        <v>44959</v>
      </c>
      <c r="C526" s="1" t="n">
        <v>45940</v>
      </c>
      <c r="D526" t="inlineStr">
        <is>
          <t>DALARNAS LÄN</t>
        </is>
      </c>
      <c r="E526" t="inlineStr">
        <is>
          <t>LEKSAND</t>
        </is>
      </c>
      <c r="G526" t="n">
        <v>6.2</v>
      </c>
      <c r="H526" t="n">
        <v>0</v>
      </c>
      <c r="I526" t="n">
        <v>0</v>
      </c>
      <c r="J526" t="n">
        <v>0</v>
      </c>
      <c r="K526" t="n">
        <v>0</v>
      </c>
      <c r="L526" t="n">
        <v>0</v>
      </c>
      <c r="M526" t="n">
        <v>0</v>
      </c>
      <c r="N526" t="n">
        <v>0</v>
      </c>
      <c r="O526" t="n">
        <v>0</v>
      </c>
      <c r="P526" t="n">
        <v>0</v>
      </c>
      <c r="Q526" t="n">
        <v>0</v>
      </c>
      <c r="R526" s="2" t="inlineStr"/>
    </row>
    <row r="527" ht="15" customHeight="1">
      <c r="A527" t="inlineStr">
        <is>
          <t>A 17730-2024</t>
        </is>
      </c>
      <c r="B527" s="1" t="n">
        <v>45418</v>
      </c>
      <c r="C527" s="1" t="n">
        <v>45940</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41896-2024</t>
        </is>
      </c>
      <c r="B528" s="1" t="n">
        <v>45561.51310185185</v>
      </c>
      <c r="C528" s="1" t="n">
        <v>45940</v>
      </c>
      <c r="D528" t="inlineStr">
        <is>
          <t>DALARNAS LÄN</t>
        </is>
      </c>
      <c r="E528" t="inlineStr">
        <is>
          <t>LEKSAND</t>
        </is>
      </c>
      <c r="F528" t="inlineStr">
        <is>
          <t>Bergvik skog väst AB</t>
        </is>
      </c>
      <c r="G528" t="n">
        <v>2.8</v>
      </c>
      <c r="H528" t="n">
        <v>0</v>
      </c>
      <c r="I528" t="n">
        <v>0</v>
      </c>
      <c r="J528" t="n">
        <v>0</v>
      </c>
      <c r="K528" t="n">
        <v>0</v>
      </c>
      <c r="L528" t="n">
        <v>0</v>
      </c>
      <c r="M528" t="n">
        <v>0</v>
      </c>
      <c r="N528" t="n">
        <v>0</v>
      </c>
      <c r="O528" t="n">
        <v>0</v>
      </c>
      <c r="P528" t="n">
        <v>0</v>
      </c>
      <c r="Q528" t="n">
        <v>0</v>
      </c>
      <c r="R528" s="2" t="inlineStr"/>
    </row>
    <row r="529" ht="15" customHeight="1">
      <c r="A529" t="inlineStr">
        <is>
          <t>A 34789-2025</t>
        </is>
      </c>
      <c r="B529" s="1" t="n">
        <v>45848</v>
      </c>
      <c r="C529" s="1" t="n">
        <v>45940</v>
      </c>
      <c r="D529" t="inlineStr">
        <is>
          <t>DALARNAS LÄN</t>
        </is>
      </c>
      <c r="E529" t="inlineStr">
        <is>
          <t>LEKSAND</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34966-2025</t>
        </is>
      </c>
      <c r="B530" s="1" t="n">
        <v>45849</v>
      </c>
      <c r="C530" s="1" t="n">
        <v>45940</v>
      </c>
      <c r="D530" t="inlineStr">
        <is>
          <t>DALARNAS LÄN</t>
        </is>
      </c>
      <c r="E530" t="inlineStr">
        <is>
          <t>LEKSAND</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57933-2024</t>
        </is>
      </c>
      <c r="B531" s="1" t="n">
        <v>45630</v>
      </c>
      <c r="C531" s="1" t="n">
        <v>45940</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20946-2023</t>
        </is>
      </c>
      <c r="B532" s="1" t="n">
        <v>45061</v>
      </c>
      <c r="C532" s="1" t="n">
        <v>45940</v>
      </c>
      <c r="D532" t="inlineStr">
        <is>
          <t>DALARNAS LÄN</t>
        </is>
      </c>
      <c r="E532" t="inlineStr">
        <is>
          <t>LEKSAND</t>
        </is>
      </c>
      <c r="G532" t="n">
        <v>2.7</v>
      </c>
      <c r="H532" t="n">
        <v>0</v>
      </c>
      <c r="I532" t="n">
        <v>0</v>
      </c>
      <c r="J532" t="n">
        <v>0</v>
      </c>
      <c r="K532" t="n">
        <v>0</v>
      </c>
      <c r="L532" t="n">
        <v>0</v>
      </c>
      <c r="M532" t="n">
        <v>0</v>
      </c>
      <c r="N532" t="n">
        <v>0</v>
      </c>
      <c r="O532" t="n">
        <v>0</v>
      </c>
      <c r="P532" t="n">
        <v>0</v>
      </c>
      <c r="Q532" t="n">
        <v>0</v>
      </c>
      <c r="R532" s="2" t="inlineStr"/>
    </row>
    <row r="533" ht="15" customHeight="1">
      <c r="A533" t="inlineStr">
        <is>
          <t>A 16748-2025</t>
        </is>
      </c>
      <c r="B533" s="1" t="n">
        <v>45754</v>
      </c>
      <c r="C533" s="1" t="n">
        <v>45940</v>
      </c>
      <c r="D533" t="inlineStr">
        <is>
          <t>DALARNAS LÄN</t>
        </is>
      </c>
      <c r="E533" t="inlineStr">
        <is>
          <t>LEKSAND</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34039-2024</t>
        </is>
      </c>
      <c r="B534" s="1" t="n">
        <v>45523.5974537037</v>
      </c>
      <c r="C534" s="1" t="n">
        <v>45940</v>
      </c>
      <c r="D534" t="inlineStr">
        <is>
          <t>DALARNAS LÄN</t>
        </is>
      </c>
      <c r="E534" t="inlineStr">
        <is>
          <t>LEKSAND</t>
        </is>
      </c>
      <c r="G534" t="n">
        <v>7.1</v>
      </c>
      <c r="H534" t="n">
        <v>0</v>
      </c>
      <c r="I534" t="n">
        <v>0</v>
      </c>
      <c r="J534" t="n">
        <v>0</v>
      </c>
      <c r="K534" t="n">
        <v>0</v>
      </c>
      <c r="L534" t="n">
        <v>0</v>
      </c>
      <c r="M534" t="n">
        <v>0</v>
      </c>
      <c r="N534" t="n">
        <v>0</v>
      </c>
      <c r="O534" t="n">
        <v>0</v>
      </c>
      <c r="P534" t="n">
        <v>0</v>
      </c>
      <c r="Q534" t="n">
        <v>0</v>
      </c>
      <c r="R534" s="2" t="inlineStr"/>
    </row>
    <row r="535" ht="15" customHeight="1">
      <c r="A535" t="inlineStr">
        <is>
          <t>A 7759-2025</t>
        </is>
      </c>
      <c r="B535" s="1" t="n">
        <v>45706.53827546296</v>
      </c>
      <c r="C535" s="1" t="n">
        <v>45940</v>
      </c>
      <c r="D535" t="inlineStr">
        <is>
          <t>DALARNAS LÄN</t>
        </is>
      </c>
      <c r="E535" t="inlineStr">
        <is>
          <t>LEKSAND</t>
        </is>
      </c>
      <c r="G535" t="n">
        <v>3.3</v>
      </c>
      <c r="H535" t="n">
        <v>0</v>
      </c>
      <c r="I535" t="n">
        <v>0</v>
      </c>
      <c r="J535" t="n">
        <v>0</v>
      </c>
      <c r="K535" t="n">
        <v>0</v>
      </c>
      <c r="L535" t="n">
        <v>0</v>
      </c>
      <c r="M535" t="n">
        <v>0</v>
      </c>
      <c r="N535" t="n">
        <v>0</v>
      </c>
      <c r="O535" t="n">
        <v>0</v>
      </c>
      <c r="P535" t="n">
        <v>0</v>
      </c>
      <c r="Q535" t="n">
        <v>0</v>
      </c>
      <c r="R535" s="2" t="inlineStr"/>
    </row>
    <row r="536" ht="15" customHeight="1">
      <c r="A536" t="inlineStr">
        <is>
          <t>A 60095-2022</t>
        </is>
      </c>
      <c r="B536" s="1" t="n">
        <v>44909</v>
      </c>
      <c r="C536" s="1" t="n">
        <v>45940</v>
      </c>
      <c r="D536" t="inlineStr">
        <is>
          <t>DALARNAS LÄN</t>
        </is>
      </c>
      <c r="E536" t="inlineStr">
        <is>
          <t>LEKSAND</t>
        </is>
      </c>
      <c r="G536" t="n">
        <v>2.4</v>
      </c>
      <c r="H536" t="n">
        <v>0</v>
      </c>
      <c r="I536" t="n">
        <v>0</v>
      </c>
      <c r="J536" t="n">
        <v>0</v>
      </c>
      <c r="K536" t="n">
        <v>0</v>
      </c>
      <c r="L536" t="n">
        <v>0</v>
      </c>
      <c r="M536" t="n">
        <v>0</v>
      </c>
      <c r="N536" t="n">
        <v>0</v>
      </c>
      <c r="O536" t="n">
        <v>0</v>
      </c>
      <c r="P536" t="n">
        <v>0</v>
      </c>
      <c r="Q536" t="n">
        <v>0</v>
      </c>
      <c r="R536" s="2" t="inlineStr"/>
    </row>
    <row r="537" ht="15" customHeight="1">
      <c r="A537" t="inlineStr">
        <is>
          <t>A 12356-2023</t>
        </is>
      </c>
      <c r="B537" s="1" t="n">
        <v>44998</v>
      </c>
      <c r="C537" s="1" t="n">
        <v>45940</v>
      </c>
      <c r="D537" t="inlineStr">
        <is>
          <t>DALARNAS LÄN</t>
        </is>
      </c>
      <c r="E537" t="inlineStr">
        <is>
          <t>LEKSAND</t>
        </is>
      </c>
      <c r="G537" t="n">
        <v>1.6</v>
      </c>
      <c r="H537" t="n">
        <v>0</v>
      </c>
      <c r="I537" t="n">
        <v>0</v>
      </c>
      <c r="J537" t="n">
        <v>0</v>
      </c>
      <c r="K537" t="n">
        <v>0</v>
      </c>
      <c r="L537" t="n">
        <v>0</v>
      </c>
      <c r="M537" t="n">
        <v>0</v>
      </c>
      <c r="N537" t="n">
        <v>0</v>
      </c>
      <c r="O537" t="n">
        <v>0</v>
      </c>
      <c r="P537" t="n">
        <v>0</v>
      </c>
      <c r="Q537" t="n">
        <v>0</v>
      </c>
      <c r="R537" s="2" t="inlineStr"/>
    </row>
    <row r="538" ht="15" customHeight="1">
      <c r="A538" t="inlineStr">
        <is>
          <t>A 12363-2023</t>
        </is>
      </c>
      <c r="B538" s="1" t="n">
        <v>44998</v>
      </c>
      <c r="C538" s="1" t="n">
        <v>45940</v>
      </c>
      <c r="D538" t="inlineStr">
        <is>
          <t>DALARNAS LÄN</t>
        </is>
      </c>
      <c r="E538" t="inlineStr">
        <is>
          <t>LEKSAND</t>
        </is>
      </c>
      <c r="G538" t="n">
        <v>10</v>
      </c>
      <c r="H538" t="n">
        <v>0</v>
      </c>
      <c r="I538" t="n">
        <v>0</v>
      </c>
      <c r="J538" t="n">
        <v>0</v>
      </c>
      <c r="K538" t="n">
        <v>0</v>
      </c>
      <c r="L538" t="n">
        <v>0</v>
      </c>
      <c r="M538" t="n">
        <v>0</v>
      </c>
      <c r="N538" t="n">
        <v>0</v>
      </c>
      <c r="O538" t="n">
        <v>0</v>
      </c>
      <c r="P538" t="n">
        <v>0</v>
      </c>
      <c r="Q538" t="n">
        <v>0</v>
      </c>
      <c r="R538" s="2" t="inlineStr"/>
    </row>
    <row r="539" ht="15" customHeight="1">
      <c r="A539" t="inlineStr">
        <is>
          <t>A 35094-2025</t>
        </is>
      </c>
      <c r="B539" s="1" t="n">
        <v>45852</v>
      </c>
      <c r="C539" s="1" t="n">
        <v>45940</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30595-2023</t>
        </is>
      </c>
      <c r="B540" s="1" t="n">
        <v>45112</v>
      </c>
      <c r="C540" s="1" t="n">
        <v>45940</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55015-2024</t>
        </is>
      </c>
      <c r="B541" s="1" t="n">
        <v>45621.35554398148</v>
      </c>
      <c r="C541" s="1" t="n">
        <v>45940</v>
      </c>
      <c r="D541" t="inlineStr">
        <is>
          <t>DALARNAS LÄN</t>
        </is>
      </c>
      <c r="E541" t="inlineStr">
        <is>
          <t>LEKSAND</t>
        </is>
      </c>
      <c r="G541" t="n">
        <v>0.6</v>
      </c>
      <c r="H541" t="n">
        <v>0</v>
      </c>
      <c r="I541" t="n">
        <v>0</v>
      </c>
      <c r="J541" t="n">
        <v>0</v>
      </c>
      <c r="K541" t="n">
        <v>0</v>
      </c>
      <c r="L541" t="n">
        <v>0</v>
      </c>
      <c r="M541" t="n">
        <v>0</v>
      </c>
      <c r="N541" t="n">
        <v>0</v>
      </c>
      <c r="O541" t="n">
        <v>0</v>
      </c>
      <c r="P541" t="n">
        <v>0</v>
      </c>
      <c r="Q541" t="n">
        <v>0</v>
      </c>
      <c r="R541" s="2" t="inlineStr"/>
    </row>
    <row r="542" ht="15" customHeight="1">
      <c r="A542" t="inlineStr">
        <is>
          <t>A 28674-2024</t>
        </is>
      </c>
      <c r="B542" s="1" t="n">
        <v>45478.47863425926</v>
      </c>
      <c r="C542" s="1" t="n">
        <v>45940</v>
      </c>
      <c r="D542" t="inlineStr">
        <is>
          <t>DALARNAS LÄN</t>
        </is>
      </c>
      <c r="E542" t="inlineStr">
        <is>
          <t>LEKSAND</t>
        </is>
      </c>
      <c r="G542" t="n">
        <v>4.9</v>
      </c>
      <c r="H542" t="n">
        <v>0</v>
      </c>
      <c r="I542" t="n">
        <v>0</v>
      </c>
      <c r="J542" t="n">
        <v>0</v>
      </c>
      <c r="K542" t="n">
        <v>0</v>
      </c>
      <c r="L542" t="n">
        <v>0</v>
      </c>
      <c r="M542" t="n">
        <v>0</v>
      </c>
      <c r="N542" t="n">
        <v>0</v>
      </c>
      <c r="O542" t="n">
        <v>0</v>
      </c>
      <c r="P542" t="n">
        <v>0</v>
      </c>
      <c r="Q542" t="n">
        <v>0</v>
      </c>
      <c r="R542" s="2" t="inlineStr"/>
    </row>
    <row r="543" ht="15" customHeight="1">
      <c r="A543" t="inlineStr">
        <is>
          <t>A 16231-2021</t>
        </is>
      </c>
      <c r="B543" s="1" t="n">
        <v>44292</v>
      </c>
      <c r="C543" s="1" t="n">
        <v>45940</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56283-2024</t>
        </is>
      </c>
      <c r="B544" s="1" t="n">
        <v>45624.67864583333</v>
      </c>
      <c r="C544" s="1" t="n">
        <v>45940</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6519-2025</t>
        </is>
      </c>
      <c r="B545" s="1" t="n">
        <v>45699</v>
      </c>
      <c r="C545" s="1" t="n">
        <v>45940</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41487-2025</t>
        </is>
      </c>
      <c r="B546" s="1" t="n">
        <v>45901.4815625</v>
      </c>
      <c r="C546" s="1" t="n">
        <v>45940</v>
      </c>
      <c r="D546" t="inlineStr">
        <is>
          <t>DALARNAS LÄN</t>
        </is>
      </c>
      <c r="E546" t="inlineStr">
        <is>
          <t>LEKSAND</t>
        </is>
      </c>
      <c r="F546" t="inlineStr">
        <is>
          <t>Bergvik skog väst AB</t>
        </is>
      </c>
      <c r="G546" t="n">
        <v>7.3</v>
      </c>
      <c r="H546" t="n">
        <v>0</v>
      </c>
      <c r="I546" t="n">
        <v>0</v>
      </c>
      <c r="J546" t="n">
        <v>0</v>
      </c>
      <c r="K546" t="n">
        <v>0</v>
      </c>
      <c r="L546" t="n">
        <v>0</v>
      </c>
      <c r="M546" t="n">
        <v>0</v>
      </c>
      <c r="N546" t="n">
        <v>0</v>
      </c>
      <c r="O546" t="n">
        <v>0</v>
      </c>
      <c r="P546" t="n">
        <v>0</v>
      </c>
      <c r="Q546" t="n">
        <v>0</v>
      </c>
      <c r="R546" s="2" t="inlineStr"/>
    </row>
    <row r="547" ht="15" customHeight="1">
      <c r="A547" t="inlineStr">
        <is>
          <t>A 53122-2023</t>
        </is>
      </c>
      <c r="B547" s="1" t="n">
        <v>45228</v>
      </c>
      <c r="C547" s="1" t="n">
        <v>45940</v>
      </c>
      <c r="D547" t="inlineStr">
        <is>
          <t>DALARNAS LÄN</t>
        </is>
      </c>
      <c r="E547" t="inlineStr">
        <is>
          <t>LEKSAND</t>
        </is>
      </c>
      <c r="G547" t="n">
        <v>1.9</v>
      </c>
      <c r="H547" t="n">
        <v>0</v>
      </c>
      <c r="I547" t="n">
        <v>0</v>
      </c>
      <c r="J547" t="n">
        <v>0</v>
      </c>
      <c r="K547" t="n">
        <v>0</v>
      </c>
      <c r="L547" t="n">
        <v>0</v>
      </c>
      <c r="M547" t="n">
        <v>0</v>
      </c>
      <c r="N547" t="n">
        <v>0</v>
      </c>
      <c r="O547" t="n">
        <v>0</v>
      </c>
      <c r="P547" t="n">
        <v>0</v>
      </c>
      <c r="Q547" t="n">
        <v>0</v>
      </c>
      <c r="R547" s="2" t="inlineStr"/>
    </row>
    <row r="548" ht="15" customHeight="1">
      <c r="A548" t="inlineStr">
        <is>
          <t>A 40755-2024</t>
        </is>
      </c>
      <c r="B548" s="1" t="n">
        <v>45558.45815972222</v>
      </c>
      <c r="C548" s="1" t="n">
        <v>45940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41380-2025</t>
        </is>
      </c>
      <c r="B549" s="1" t="n">
        <v>45900.92826388889</v>
      </c>
      <c r="C549" s="1" t="n">
        <v>45940</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row>
    <row r="550" ht="15" customHeight="1">
      <c r="A550" t="inlineStr">
        <is>
          <t>A 41335-2025</t>
        </is>
      </c>
      <c r="B550" s="1" t="n">
        <v>45899.36747685185</v>
      </c>
      <c r="C550" s="1" t="n">
        <v>45940</v>
      </c>
      <c r="D550" t="inlineStr">
        <is>
          <t>DALARNAS LÄN</t>
        </is>
      </c>
      <c r="E550" t="inlineStr">
        <is>
          <t>LEKSAND</t>
        </is>
      </c>
      <c r="G550" t="n">
        <v>5.9</v>
      </c>
      <c r="H550" t="n">
        <v>0</v>
      </c>
      <c r="I550" t="n">
        <v>0</v>
      </c>
      <c r="J550" t="n">
        <v>0</v>
      </c>
      <c r="K550" t="n">
        <v>0</v>
      </c>
      <c r="L550" t="n">
        <v>0</v>
      </c>
      <c r="M550" t="n">
        <v>0</v>
      </c>
      <c r="N550" t="n">
        <v>0</v>
      </c>
      <c r="O550" t="n">
        <v>0</v>
      </c>
      <c r="P550" t="n">
        <v>0</v>
      </c>
      <c r="Q550" t="n">
        <v>0</v>
      </c>
      <c r="R550" s="2" t="inlineStr"/>
    </row>
    <row r="551" ht="15" customHeight="1">
      <c r="A551" t="inlineStr">
        <is>
          <t>A 39569-2025</t>
        </is>
      </c>
      <c r="B551" s="1" t="n">
        <v>45890</v>
      </c>
      <c r="C551" s="1" t="n">
        <v>45940</v>
      </c>
      <c r="D551" t="inlineStr">
        <is>
          <t>DALARNAS LÄN</t>
        </is>
      </c>
      <c r="E551" t="inlineStr">
        <is>
          <t>LEKSAND</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11218-2023</t>
        </is>
      </c>
      <c r="B552" s="1" t="n">
        <v>44992.62401620371</v>
      </c>
      <c r="C552" s="1" t="n">
        <v>45940</v>
      </c>
      <c r="D552" t="inlineStr">
        <is>
          <t>DALARNAS LÄN</t>
        </is>
      </c>
      <c r="E552" t="inlineStr">
        <is>
          <t>LEKSAND</t>
        </is>
      </c>
      <c r="G552" t="n">
        <v>2.6</v>
      </c>
      <c r="H552" t="n">
        <v>0</v>
      </c>
      <c r="I552" t="n">
        <v>0</v>
      </c>
      <c r="J552" t="n">
        <v>0</v>
      </c>
      <c r="K552" t="n">
        <v>0</v>
      </c>
      <c r="L552" t="n">
        <v>0</v>
      </c>
      <c r="M552" t="n">
        <v>0</v>
      </c>
      <c r="N552" t="n">
        <v>0</v>
      </c>
      <c r="O552" t="n">
        <v>0</v>
      </c>
      <c r="P552" t="n">
        <v>0</v>
      </c>
      <c r="Q552" t="n">
        <v>0</v>
      </c>
      <c r="R552" s="2" t="inlineStr"/>
    </row>
    <row r="553" ht="15" customHeight="1">
      <c r="A553" t="inlineStr">
        <is>
          <t>A 39572-2025</t>
        </is>
      </c>
      <c r="B553" s="1" t="n">
        <v>45890</v>
      </c>
      <c r="C553" s="1" t="n">
        <v>45940</v>
      </c>
      <c r="D553" t="inlineStr">
        <is>
          <t>DALARNAS LÄN</t>
        </is>
      </c>
      <c r="E553" t="inlineStr">
        <is>
          <t>LEKSAND</t>
        </is>
      </c>
      <c r="F553" t="inlineStr">
        <is>
          <t>Bergvik skog väst AB</t>
        </is>
      </c>
      <c r="G553" t="n">
        <v>2.2</v>
      </c>
      <c r="H553" t="n">
        <v>0</v>
      </c>
      <c r="I553" t="n">
        <v>0</v>
      </c>
      <c r="J553" t="n">
        <v>0</v>
      </c>
      <c r="K553" t="n">
        <v>0</v>
      </c>
      <c r="L553" t="n">
        <v>0</v>
      </c>
      <c r="M553" t="n">
        <v>0</v>
      </c>
      <c r="N553" t="n">
        <v>0</v>
      </c>
      <c r="O553" t="n">
        <v>0</v>
      </c>
      <c r="P553" t="n">
        <v>0</v>
      </c>
      <c r="Q553" t="n">
        <v>0</v>
      </c>
      <c r="R553" s="2" t="inlineStr"/>
    </row>
    <row r="554" ht="15" customHeight="1">
      <c r="A554" t="inlineStr">
        <is>
          <t>A 13705-2021</t>
        </is>
      </c>
      <c r="B554" s="1" t="n">
        <v>44274</v>
      </c>
      <c r="C554" s="1" t="n">
        <v>45940</v>
      </c>
      <c r="D554" t="inlineStr">
        <is>
          <t>DALARNAS LÄN</t>
        </is>
      </c>
      <c r="E554" t="inlineStr">
        <is>
          <t>LEKSAND</t>
        </is>
      </c>
      <c r="G554" t="n">
        <v>3.8</v>
      </c>
      <c r="H554" t="n">
        <v>0</v>
      </c>
      <c r="I554" t="n">
        <v>0</v>
      </c>
      <c r="J554" t="n">
        <v>0</v>
      </c>
      <c r="K554" t="n">
        <v>0</v>
      </c>
      <c r="L554" t="n">
        <v>0</v>
      </c>
      <c r="M554" t="n">
        <v>0</v>
      </c>
      <c r="N554" t="n">
        <v>0</v>
      </c>
      <c r="O554" t="n">
        <v>0</v>
      </c>
      <c r="P554" t="n">
        <v>0</v>
      </c>
      <c r="Q554" t="n">
        <v>0</v>
      </c>
      <c r="R554" s="2" t="inlineStr"/>
    </row>
    <row r="555" ht="15" customHeight="1">
      <c r="A555" t="inlineStr">
        <is>
          <t>A 41248-2025</t>
        </is>
      </c>
      <c r="B555" s="1" t="n">
        <v>45898.60199074074</v>
      </c>
      <c r="C555" s="1" t="n">
        <v>45940</v>
      </c>
      <c r="D555" t="inlineStr">
        <is>
          <t>DALARNAS LÄN</t>
        </is>
      </c>
      <c r="E555" t="inlineStr">
        <is>
          <t>LEKSAND</t>
        </is>
      </c>
      <c r="F555" t="inlineStr">
        <is>
          <t>Bergvik skog väst AB</t>
        </is>
      </c>
      <c r="G555" t="n">
        <v>2.5</v>
      </c>
      <c r="H555" t="n">
        <v>0</v>
      </c>
      <c r="I555" t="n">
        <v>0</v>
      </c>
      <c r="J555" t="n">
        <v>0</v>
      </c>
      <c r="K555" t="n">
        <v>0</v>
      </c>
      <c r="L555" t="n">
        <v>0</v>
      </c>
      <c r="M555" t="n">
        <v>0</v>
      </c>
      <c r="N555" t="n">
        <v>0</v>
      </c>
      <c r="O555" t="n">
        <v>0</v>
      </c>
      <c r="P555" t="n">
        <v>0</v>
      </c>
      <c r="Q555" t="n">
        <v>0</v>
      </c>
      <c r="R555" s="2" t="inlineStr"/>
    </row>
    <row r="556" ht="15" customHeight="1">
      <c r="A556" t="inlineStr">
        <is>
          <t>A 41237-2025</t>
        </is>
      </c>
      <c r="B556" s="1" t="n">
        <v>45898.59570601852</v>
      </c>
      <c r="C556" s="1" t="n">
        <v>45940</v>
      </c>
      <c r="D556" t="inlineStr">
        <is>
          <t>DALARNAS LÄN</t>
        </is>
      </c>
      <c r="E556" t="inlineStr">
        <is>
          <t>LEKSAND</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39660-2025</t>
        </is>
      </c>
      <c r="B557" s="1" t="n">
        <v>45890.63006944444</v>
      </c>
      <c r="C557" s="1" t="n">
        <v>45940</v>
      </c>
      <c r="D557" t="inlineStr">
        <is>
          <t>DALARNAS LÄN</t>
        </is>
      </c>
      <c r="E557" t="inlineStr">
        <is>
          <t>LEKSAND</t>
        </is>
      </c>
      <c r="F557" t="inlineStr">
        <is>
          <t>Bergvik skog väst AB</t>
        </is>
      </c>
      <c r="G557" t="n">
        <v>5.8</v>
      </c>
      <c r="H557" t="n">
        <v>0</v>
      </c>
      <c r="I557" t="n">
        <v>0</v>
      </c>
      <c r="J557" t="n">
        <v>0</v>
      </c>
      <c r="K557" t="n">
        <v>0</v>
      </c>
      <c r="L557" t="n">
        <v>0</v>
      </c>
      <c r="M557" t="n">
        <v>0</v>
      </c>
      <c r="N557" t="n">
        <v>0</v>
      </c>
      <c r="O557" t="n">
        <v>0</v>
      </c>
      <c r="P557" t="n">
        <v>0</v>
      </c>
      <c r="Q557" t="n">
        <v>0</v>
      </c>
      <c r="R557" s="2" t="inlineStr"/>
    </row>
    <row r="558" ht="15" customHeight="1">
      <c r="A558" t="inlineStr">
        <is>
          <t>A 39693-2025</t>
        </is>
      </c>
      <c r="B558" s="1" t="n">
        <v>45890.68304398148</v>
      </c>
      <c r="C558" s="1" t="n">
        <v>45940</v>
      </c>
      <c r="D558" t="inlineStr">
        <is>
          <t>DALARNAS LÄN</t>
        </is>
      </c>
      <c r="E558" t="inlineStr">
        <is>
          <t>LEKSAND</t>
        </is>
      </c>
      <c r="G558" t="n">
        <v>3.1</v>
      </c>
      <c r="H558" t="n">
        <v>0</v>
      </c>
      <c r="I558" t="n">
        <v>0</v>
      </c>
      <c r="J558" t="n">
        <v>0</v>
      </c>
      <c r="K558" t="n">
        <v>0</v>
      </c>
      <c r="L558" t="n">
        <v>0</v>
      </c>
      <c r="M558" t="n">
        <v>0</v>
      </c>
      <c r="N558" t="n">
        <v>0</v>
      </c>
      <c r="O558" t="n">
        <v>0</v>
      </c>
      <c r="P558" t="n">
        <v>0</v>
      </c>
      <c r="Q558" t="n">
        <v>0</v>
      </c>
      <c r="R558" s="2" t="inlineStr"/>
    </row>
    <row r="559" ht="15" customHeight="1">
      <c r="A559" t="inlineStr">
        <is>
          <t>A 61680-2024</t>
        </is>
      </c>
      <c r="B559" s="1" t="n">
        <v>45647.42890046296</v>
      </c>
      <c r="C559" s="1" t="n">
        <v>45940</v>
      </c>
      <c r="D559" t="inlineStr">
        <is>
          <t>DALARNAS LÄN</t>
        </is>
      </c>
      <c r="E559" t="inlineStr">
        <is>
          <t>LEKSAND</t>
        </is>
      </c>
      <c r="G559" t="n">
        <v>3.6</v>
      </c>
      <c r="H559" t="n">
        <v>0</v>
      </c>
      <c r="I559" t="n">
        <v>0</v>
      </c>
      <c r="J559" t="n">
        <v>0</v>
      </c>
      <c r="K559" t="n">
        <v>0</v>
      </c>
      <c r="L559" t="n">
        <v>0</v>
      </c>
      <c r="M559" t="n">
        <v>0</v>
      </c>
      <c r="N559" t="n">
        <v>0</v>
      </c>
      <c r="O559" t="n">
        <v>0</v>
      </c>
      <c r="P559" t="n">
        <v>0</v>
      </c>
      <c r="Q559" t="n">
        <v>0</v>
      </c>
      <c r="R559" s="2" t="inlineStr"/>
    </row>
    <row r="560" ht="15" customHeight="1">
      <c r="A560" t="inlineStr">
        <is>
          <t>A 35866-2025</t>
        </is>
      </c>
      <c r="B560" s="1" t="n">
        <v>45861</v>
      </c>
      <c r="C560" s="1" t="n">
        <v>45940</v>
      </c>
      <c r="D560" t="inlineStr">
        <is>
          <t>DALARNAS LÄN</t>
        </is>
      </c>
      <c r="E560" t="inlineStr">
        <is>
          <t>LEKSAND</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35746-2025</t>
        </is>
      </c>
      <c r="B561" s="1" t="n">
        <v>45860</v>
      </c>
      <c r="C561" s="1" t="n">
        <v>45940</v>
      </c>
      <c r="D561" t="inlineStr">
        <is>
          <t>DALARNAS LÄN</t>
        </is>
      </c>
      <c r="E561" t="inlineStr">
        <is>
          <t>LEKSAND</t>
        </is>
      </c>
      <c r="G561" t="n">
        <v>1.9</v>
      </c>
      <c r="H561" t="n">
        <v>0</v>
      </c>
      <c r="I561" t="n">
        <v>0</v>
      </c>
      <c r="J561" t="n">
        <v>0</v>
      </c>
      <c r="K561" t="n">
        <v>0</v>
      </c>
      <c r="L561" t="n">
        <v>0</v>
      </c>
      <c r="M561" t="n">
        <v>0</v>
      </c>
      <c r="N561" t="n">
        <v>0</v>
      </c>
      <c r="O561" t="n">
        <v>0</v>
      </c>
      <c r="P561" t="n">
        <v>0</v>
      </c>
      <c r="Q561" t="n">
        <v>0</v>
      </c>
      <c r="R561" s="2" t="inlineStr"/>
    </row>
    <row r="562" ht="15" customHeight="1">
      <c r="A562" t="inlineStr">
        <is>
          <t>A 41934-2025</t>
        </is>
      </c>
      <c r="B562" s="1" t="n">
        <v>45903.43556712963</v>
      </c>
      <c r="C562" s="1" t="n">
        <v>45940</v>
      </c>
      <c r="D562" t="inlineStr">
        <is>
          <t>DALARNAS LÄN</t>
        </is>
      </c>
      <c r="E562" t="inlineStr">
        <is>
          <t>LEKSAND</t>
        </is>
      </c>
      <c r="F562" t="inlineStr">
        <is>
          <t>Bergvik skog väst AB</t>
        </is>
      </c>
      <c r="G562" t="n">
        <v>3</v>
      </c>
      <c r="H562" t="n">
        <v>0</v>
      </c>
      <c r="I562" t="n">
        <v>0</v>
      </c>
      <c r="J562" t="n">
        <v>0</v>
      </c>
      <c r="K562" t="n">
        <v>0</v>
      </c>
      <c r="L562" t="n">
        <v>0</v>
      </c>
      <c r="M562" t="n">
        <v>0</v>
      </c>
      <c r="N562" t="n">
        <v>0</v>
      </c>
      <c r="O562" t="n">
        <v>0</v>
      </c>
      <c r="P562" t="n">
        <v>0</v>
      </c>
      <c r="Q562" t="n">
        <v>0</v>
      </c>
      <c r="R562" s="2" t="inlineStr"/>
    </row>
    <row r="563" ht="15" customHeight="1">
      <c r="A563" t="inlineStr">
        <is>
          <t>A 62295-2023</t>
        </is>
      </c>
      <c r="B563" s="1" t="n">
        <v>45267</v>
      </c>
      <c r="C563" s="1" t="n">
        <v>45940</v>
      </c>
      <c r="D563" t="inlineStr">
        <is>
          <t>DALARNAS LÄN</t>
        </is>
      </c>
      <c r="E563" t="inlineStr">
        <is>
          <t>LEKSAND</t>
        </is>
      </c>
      <c r="G563" t="n">
        <v>2.5</v>
      </c>
      <c r="H563" t="n">
        <v>0</v>
      </c>
      <c r="I563" t="n">
        <v>0</v>
      </c>
      <c r="J563" t="n">
        <v>0</v>
      </c>
      <c r="K563" t="n">
        <v>0</v>
      </c>
      <c r="L563" t="n">
        <v>0</v>
      </c>
      <c r="M563" t="n">
        <v>0</v>
      </c>
      <c r="N563" t="n">
        <v>0</v>
      </c>
      <c r="O563" t="n">
        <v>0</v>
      </c>
      <c r="P563" t="n">
        <v>0</v>
      </c>
      <c r="Q563" t="n">
        <v>0</v>
      </c>
      <c r="R563" s="2" t="inlineStr"/>
    </row>
    <row r="564" ht="15" customHeight="1">
      <c r="A564" t="inlineStr">
        <is>
          <t>A 11092-2023</t>
        </is>
      </c>
      <c r="B564" s="1" t="n">
        <v>44992</v>
      </c>
      <c r="C564" s="1" t="n">
        <v>45940</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39546-2025</t>
        </is>
      </c>
      <c r="B565" s="1" t="n">
        <v>45890.45706018519</v>
      </c>
      <c r="C565" s="1" t="n">
        <v>45940</v>
      </c>
      <c r="D565" t="inlineStr">
        <is>
          <t>DALARNAS LÄN</t>
        </is>
      </c>
      <c r="E565" t="inlineStr">
        <is>
          <t>LEKSAND</t>
        </is>
      </c>
      <c r="G565" t="n">
        <v>4.6</v>
      </c>
      <c r="H565" t="n">
        <v>0</v>
      </c>
      <c r="I565" t="n">
        <v>0</v>
      </c>
      <c r="J565" t="n">
        <v>0</v>
      </c>
      <c r="K565" t="n">
        <v>0</v>
      </c>
      <c r="L565" t="n">
        <v>0</v>
      </c>
      <c r="M565" t="n">
        <v>0</v>
      </c>
      <c r="N565" t="n">
        <v>0</v>
      </c>
      <c r="O565" t="n">
        <v>0</v>
      </c>
      <c r="P565" t="n">
        <v>0</v>
      </c>
      <c r="Q565" t="n">
        <v>0</v>
      </c>
      <c r="R565" s="2" t="inlineStr"/>
    </row>
    <row r="566" ht="15" customHeight="1">
      <c r="A566" t="inlineStr">
        <is>
          <t>A 28578-2023</t>
        </is>
      </c>
      <c r="B566" s="1" t="n">
        <v>45103</v>
      </c>
      <c r="C566" s="1" t="n">
        <v>45940</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19371-2024</t>
        </is>
      </c>
      <c r="B567" s="1" t="n">
        <v>45429.34969907408</v>
      </c>
      <c r="C567" s="1" t="n">
        <v>45940</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54911-2024</t>
        </is>
      </c>
      <c r="B568" s="1" t="n">
        <v>45618.68929398148</v>
      </c>
      <c r="C568" s="1" t="n">
        <v>45940</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15173-2025</t>
        </is>
      </c>
      <c r="B569" s="1" t="n">
        <v>45744.50858796296</v>
      </c>
      <c r="C569" s="1" t="n">
        <v>45940</v>
      </c>
      <c r="D569" t="inlineStr">
        <is>
          <t>DALARNAS LÄN</t>
        </is>
      </c>
      <c r="E569" t="inlineStr">
        <is>
          <t>LEKSAND</t>
        </is>
      </c>
      <c r="G569" t="n">
        <v>0.3</v>
      </c>
      <c r="H569" t="n">
        <v>0</v>
      </c>
      <c r="I569" t="n">
        <v>0</v>
      </c>
      <c r="J569" t="n">
        <v>0</v>
      </c>
      <c r="K569" t="n">
        <v>0</v>
      </c>
      <c r="L569" t="n">
        <v>0</v>
      </c>
      <c r="M569" t="n">
        <v>0</v>
      </c>
      <c r="N569" t="n">
        <v>0</v>
      </c>
      <c r="O569" t="n">
        <v>0</v>
      </c>
      <c r="P569" t="n">
        <v>0</v>
      </c>
      <c r="Q569" t="n">
        <v>0</v>
      </c>
      <c r="R569" s="2" t="inlineStr"/>
    </row>
    <row r="570" ht="15" customHeight="1">
      <c r="A570" t="inlineStr">
        <is>
          <t>A 40193-2024</t>
        </is>
      </c>
      <c r="B570" s="1" t="n">
        <v>45554.5734375</v>
      </c>
      <c r="C570" s="1" t="n">
        <v>45940</v>
      </c>
      <c r="D570" t="inlineStr">
        <is>
          <t>DALARNAS LÄN</t>
        </is>
      </c>
      <c r="E570" t="inlineStr">
        <is>
          <t>LEKSAND</t>
        </is>
      </c>
      <c r="F570" t="inlineStr">
        <is>
          <t>Övriga statliga verk och myndigheter</t>
        </is>
      </c>
      <c r="G570" t="n">
        <v>1</v>
      </c>
      <c r="H570" t="n">
        <v>0</v>
      </c>
      <c r="I570" t="n">
        <v>0</v>
      </c>
      <c r="J570" t="n">
        <v>0</v>
      </c>
      <c r="K570" t="n">
        <v>0</v>
      </c>
      <c r="L570" t="n">
        <v>0</v>
      </c>
      <c r="M570" t="n">
        <v>0</v>
      </c>
      <c r="N570" t="n">
        <v>0</v>
      </c>
      <c r="O570" t="n">
        <v>0</v>
      </c>
      <c r="P570" t="n">
        <v>0</v>
      </c>
      <c r="Q570" t="n">
        <v>0</v>
      </c>
      <c r="R570" s="2" t="inlineStr"/>
    </row>
    <row r="571" ht="15" customHeight="1">
      <c r="A571" t="inlineStr">
        <is>
          <t>A 42402-2025</t>
        </is>
      </c>
      <c r="B571" s="1" t="n">
        <v>45905.3753125</v>
      </c>
      <c r="C571" s="1" t="n">
        <v>45940</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39516-2025</t>
        </is>
      </c>
      <c r="B572" s="1" t="n">
        <v>45890.42633101852</v>
      </c>
      <c r="C572" s="1" t="n">
        <v>45940</v>
      </c>
      <c r="D572" t="inlineStr">
        <is>
          <t>DALARNAS LÄN</t>
        </is>
      </c>
      <c r="E572" t="inlineStr">
        <is>
          <t>LEKSAND</t>
        </is>
      </c>
      <c r="G572" t="n">
        <v>3.6</v>
      </c>
      <c r="H572" t="n">
        <v>0</v>
      </c>
      <c r="I572" t="n">
        <v>0</v>
      </c>
      <c r="J572" t="n">
        <v>0</v>
      </c>
      <c r="K572" t="n">
        <v>0</v>
      </c>
      <c r="L572" t="n">
        <v>0</v>
      </c>
      <c r="M572" t="n">
        <v>0</v>
      </c>
      <c r="N572" t="n">
        <v>0</v>
      </c>
      <c r="O572" t="n">
        <v>0</v>
      </c>
      <c r="P572" t="n">
        <v>0</v>
      </c>
      <c r="Q572" t="n">
        <v>0</v>
      </c>
      <c r="R572" s="2" t="inlineStr"/>
    </row>
    <row r="573" ht="15" customHeight="1">
      <c r="A573" t="inlineStr">
        <is>
          <t>A 47976-2025</t>
        </is>
      </c>
      <c r="B573" s="1" t="n">
        <v>45932.60846064815</v>
      </c>
      <c r="C573" s="1" t="n">
        <v>45940</v>
      </c>
      <c r="D573" t="inlineStr">
        <is>
          <t>DALARNAS LÄN</t>
        </is>
      </c>
      <c r="E573" t="inlineStr">
        <is>
          <t>LEKSAND</t>
        </is>
      </c>
      <c r="F573" t="inlineStr">
        <is>
          <t>Bergvik skog väst AB</t>
        </is>
      </c>
      <c r="G573" t="n">
        <v>0.3</v>
      </c>
      <c r="H573" t="n">
        <v>0</v>
      </c>
      <c r="I573" t="n">
        <v>0</v>
      </c>
      <c r="J573" t="n">
        <v>0</v>
      </c>
      <c r="K573" t="n">
        <v>0</v>
      </c>
      <c r="L573" t="n">
        <v>0</v>
      </c>
      <c r="M573" t="n">
        <v>0</v>
      </c>
      <c r="N573" t="n">
        <v>0</v>
      </c>
      <c r="O573" t="n">
        <v>0</v>
      </c>
      <c r="P573" t="n">
        <v>0</v>
      </c>
      <c r="Q573" t="n">
        <v>0</v>
      </c>
      <c r="R573" s="2" t="inlineStr"/>
    </row>
    <row r="574" ht="15" customHeight="1">
      <c r="A574" t="inlineStr">
        <is>
          <t>A 47977-2025</t>
        </is>
      </c>
      <c r="B574" s="1" t="n">
        <v>45932.60920138889</v>
      </c>
      <c r="C574" s="1" t="n">
        <v>45940</v>
      </c>
      <c r="D574" t="inlineStr">
        <is>
          <t>DALARNAS LÄN</t>
        </is>
      </c>
      <c r="E574" t="inlineStr">
        <is>
          <t>LEKSAND</t>
        </is>
      </c>
      <c r="F574" t="inlineStr">
        <is>
          <t>Bergvik skog väst AB</t>
        </is>
      </c>
      <c r="G574" t="n">
        <v>0.2</v>
      </c>
      <c r="H574" t="n">
        <v>0</v>
      </c>
      <c r="I574" t="n">
        <v>0</v>
      </c>
      <c r="J574" t="n">
        <v>0</v>
      </c>
      <c r="K574" t="n">
        <v>0</v>
      </c>
      <c r="L574" t="n">
        <v>0</v>
      </c>
      <c r="M574" t="n">
        <v>0</v>
      </c>
      <c r="N574" t="n">
        <v>0</v>
      </c>
      <c r="O574" t="n">
        <v>0</v>
      </c>
      <c r="P574" t="n">
        <v>0</v>
      </c>
      <c r="Q574" t="n">
        <v>0</v>
      </c>
      <c r="R574" s="2" t="inlineStr"/>
    </row>
    <row r="575" ht="15" customHeight="1">
      <c r="A575" t="inlineStr">
        <is>
          <t>A 39558-2023</t>
        </is>
      </c>
      <c r="B575" s="1" t="n">
        <v>45167.38664351852</v>
      </c>
      <c r="C575" s="1" t="n">
        <v>45940</v>
      </c>
      <c r="D575" t="inlineStr">
        <is>
          <t>DALARNAS LÄN</t>
        </is>
      </c>
      <c r="E575" t="inlineStr">
        <is>
          <t>LEKSAND</t>
        </is>
      </c>
      <c r="G575" t="n">
        <v>39.9</v>
      </c>
      <c r="H575" t="n">
        <v>0</v>
      </c>
      <c r="I575" t="n">
        <v>0</v>
      </c>
      <c r="J575" t="n">
        <v>0</v>
      </c>
      <c r="K575" t="n">
        <v>0</v>
      </c>
      <c r="L575" t="n">
        <v>0</v>
      </c>
      <c r="M575" t="n">
        <v>0</v>
      </c>
      <c r="N575" t="n">
        <v>0</v>
      </c>
      <c r="O575" t="n">
        <v>0</v>
      </c>
      <c r="P575" t="n">
        <v>0</v>
      </c>
      <c r="Q575" t="n">
        <v>0</v>
      </c>
      <c r="R575" s="2" t="inlineStr"/>
    </row>
    <row r="576" ht="15" customHeight="1">
      <c r="A576" t="inlineStr">
        <is>
          <t>A 36020-2025</t>
        </is>
      </c>
      <c r="B576" s="1" t="n">
        <v>45863</v>
      </c>
      <c r="C576" s="1" t="n">
        <v>45940</v>
      </c>
      <c r="D576" t="inlineStr">
        <is>
          <t>DALARNAS LÄN</t>
        </is>
      </c>
      <c r="E576" t="inlineStr">
        <is>
          <t>LEKSAND</t>
        </is>
      </c>
      <c r="F576" t="inlineStr">
        <is>
          <t>Bergvik skog väst AB</t>
        </is>
      </c>
      <c r="G576" t="n">
        <v>2.8</v>
      </c>
      <c r="H576" t="n">
        <v>0</v>
      </c>
      <c r="I576" t="n">
        <v>0</v>
      </c>
      <c r="J576" t="n">
        <v>0</v>
      </c>
      <c r="K576" t="n">
        <v>0</v>
      </c>
      <c r="L576" t="n">
        <v>0</v>
      </c>
      <c r="M576" t="n">
        <v>0</v>
      </c>
      <c r="N576" t="n">
        <v>0</v>
      </c>
      <c r="O576" t="n">
        <v>0</v>
      </c>
      <c r="P576" t="n">
        <v>0</v>
      </c>
      <c r="Q576" t="n">
        <v>0</v>
      </c>
      <c r="R576" s="2" t="inlineStr"/>
    </row>
    <row r="577" ht="15" customHeight="1">
      <c r="A577" t="inlineStr">
        <is>
          <t>A 42284-2025</t>
        </is>
      </c>
      <c r="B577" s="1" t="n">
        <v>45903</v>
      </c>
      <c r="C577" s="1" t="n">
        <v>45940</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48616-2025</t>
        </is>
      </c>
      <c r="B578" s="1" t="n">
        <v>45936.48783564815</v>
      </c>
      <c r="C578" s="1" t="n">
        <v>45940</v>
      </c>
      <c r="D578" t="inlineStr">
        <is>
          <t>DALARNAS LÄN</t>
        </is>
      </c>
      <c r="E578" t="inlineStr">
        <is>
          <t>LEKSAND</t>
        </is>
      </c>
      <c r="G578" t="n">
        <v>2.6</v>
      </c>
      <c r="H578" t="n">
        <v>0</v>
      </c>
      <c r="I578" t="n">
        <v>0</v>
      </c>
      <c r="J578" t="n">
        <v>0</v>
      </c>
      <c r="K578" t="n">
        <v>0</v>
      </c>
      <c r="L578" t="n">
        <v>0</v>
      </c>
      <c r="M578" t="n">
        <v>0</v>
      </c>
      <c r="N578" t="n">
        <v>0</v>
      </c>
      <c r="O578" t="n">
        <v>0</v>
      </c>
      <c r="P578" t="n">
        <v>0</v>
      </c>
      <c r="Q578" t="n">
        <v>0</v>
      </c>
      <c r="R578" s="2" t="inlineStr"/>
    </row>
    <row r="579" ht="15" customHeight="1">
      <c r="A579" t="inlineStr">
        <is>
          <t>A 61054-2023</t>
        </is>
      </c>
      <c r="B579" s="1" t="n">
        <v>45261</v>
      </c>
      <c r="C579" s="1" t="n">
        <v>45940</v>
      </c>
      <c r="D579" t="inlineStr">
        <is>
          <t>DALARNAS LÄN</t>
        </is>
      </c>
      <c r="E579" t="inlineStr">
        <is>
          <t>LEKSAND</t>
        </is>
      </c>
      <c r="G579" t="n">
        <v>0.4</v>
      </c>
      <c r="H579" t="n">
        <v>0</v>
      </c>
      <c r="I579" t="n">
        <v>0</v>
      </c>
      <c r="J579" t="n">
        <v>0</v>
      </c>
      <c r="K579" t="n">
        <v>0</v>
      </c>
      <c r="L579" t="n">
        <v>0</v>
      </c>
      <c r="M579" t="n">
        <v>0</v>
      </c>
      <c r="N579" t="n">
        <v>0</v>
      </c>
      <c r="O579" t="n">
        <v>0</v>
      </c>
      <c r="P579" t="n">
        <v>0</v>
      </c>
      <c r="Q579" t="n">
        <v>0</v>
      </c>
      <c r="R579" s="2" t="inlineStr"/>
    </row>
    <row r="580" ht="15" customHeight="1">
      <c r="A580" t="inlineStr">
        <is>
          <t>A 61056-2023</t>
        </is>
      </c>
      <c r="B580" s="1" t="n">
        <v>45261</v>
      </c>
      <c r="C580" s="1" t="n">
        <v>45940</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41169-2024</t>
        </is>
      </c>
      <c r="B581" s="1" t="n">
        <v>45559.48637731482</v>
      </c>
      <c r="C581" s="1" t="n">
        <v>45940</v>
      </c>
      <c r="D581" t="inlineStr">
        <is>
          <t>DALARNAS LÄN</t>
        </is>
      </c>
      <c r="E581" t="inlineStr">
        <is>
          <t>LEKSAND</t>
        </is>
      </c>
      <c r="G581" t="n">
        <v>8.9</v>
      </c>
      <c r="H581" t="n">
        <v>0</v>
      </c>
      <c r="I581" t="n">
        <v>0</v>
      </c>
      <c r="J581" t="n">
        <v>0</v>
      </c>
      <c r="K581" t="n">
        <v>0</v>
      </c>
      <c r="L581" t="n">
        <v>0</v>
      </c>
      <c r="M581" t="n">
        <v>0</v>
      </c>
      <c r="N581" t="n">
        <v>0</v>
      </c>
      <c r="O581" t="n">
        <v>0</v>
      </c>
      <c r="P581" t="n">
        <v>0</v>
      </c>
      <c r="Q581" t="n">
        <v>0</v>
      </c>
      <c r="R581" s="2" t="inlineStr"/>
    </row>
    <row r="582" ht="15" customHeight="1">
      <c r="A582" t="inlineStr">
        <is>
          <t>A 36017-2025</t>
        </is>
      </c>
      <c r="B582" s="1" t="n">
        <v>45863</v>
      </c>
      <c r="C582" s="1" t="n">
        <v>45940</v>
      </c>
      <c r="D582" t="inlineStr">
        <is>
          <t>DALARNAS LÄN</t>
        </is>
      </c>
      <c r="E582" t="inlineStr">
        <is>
          <t>LEKSAND</t>
        </is>
      </c>
      <c r="F582" t="inlineStr">
        <is>
          <t>Bergvik skog väst AB</t>
        </is>
      </c>
      <c r="G582" t="n">
        <v>17.9</v>
      </c>
      <c r="H582" t="n">
        <v>0</v>
      </c>
      <c r="I582" t="n">
        <v>0</v>
      </c>
      <c r="J582" t="n">
        <v>0</v>
      </c>
      <c r="K582" t="n">
        <v>0</v>
      </c>
      <c r="L582" t="n">
        <v>0</v>
      </c>
      <c r="M582" t="n">
        <v>0</v>
      </c>
      <c r="N582" t="n">
        <v>0</v>
      </c>
      <c r="O582" t="n">
        <v>0</v>
      </c>
      <c r="P582" t="n">
        <v>0</v>
      </c>
      <c r="Q582" t="n">
        <v>0</v>
      </c>
      <c r="R582" s="2" t="inlineStr"/>
    </row>
    <row r="583" ht="15" customHeight="1">
      <c r="A583" t="inlineStr">
        <is>
          <t>A 9138-2023</t>
        </is>
      </c>
      <c r="B583" s="1" t="n">
        <v>44974</v>
      </c>
      <c r="C583" s="1" t="n">
        <v>45940</v>
      </c>
      <c r="D583" t="inlineStr">
        <is>
          <t>DALARNAS LÄN</t>
        </is>
      </c>
      <c r="E583" t="inlineStr">
        <is>
          <t>LEKSAND</t>
        </is>
      </c>
      <c r="G583" t="n">
        <v>4.6</v>
      </c>
      <c r="H583" t="n">
        <v>0</v>
      </c>
      <c r="I583" t="n">
        <v>0</v>
      </c>
      <c r="J583" t="n">
        <v>0</v>
      </c>
      <c r="K583" t="n">
        <v>0</v>
      </c>
      <c r="L583" t="n">
        <v>0</v>
      </c>
      <c r="M583" t="n">
        <v>0</v>
      </c>
      <c r="N583" t="n">
        <v>0</v>
      </c>
      <c r="O583" t="n">
        <v>0</v>
      </c>
      <c r="P583" t="n">
        <v>0</v>
      </c>
      <c r="Q583" t="n">
        <v>0</v>
      </c>
      <c r="R583" s="2" t="inlineStr"/>
    </row>
    <row r="584" ht="15" customHeight="1">
      <c r="A584" t="inlineStr">
        <is>
          <t>A 9141-2023</t>
        </is>
      </c>
      <c r="B584" s="1" t="n">
        <v>44974</v>
      </c>
      <c r="C584" s="1" t="n">
        <v>45940</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2630-2025</t>
        </is>
      </c>
      <c r="B585" s="1" t="n">
        <v>45675.85865740741</v>
      </c>
      <c r="C585" s="1" t="n">
        <v>45940</v>
      </c>
      <c r="D585" t="inlineStr">
        <is>
          <t>DALARNAS LÄN</t>
        </is>
      </c>
      <c r="E585" t="inlineStr">
        <is>
          <t>LEKSAND</t>
        </is>
      </c>
      <c r="G585" t="n">
        <v>1.6</v>
      </c>
      <c r="H585" t="n">
        <v>0</v>
      </c>
      <c r="I585" t="n">
        <v>0</v>
      </c>
      <c r="J585" t="n">
        <v>0</v>
      </c>
      <c r="K585" t="n">
        <v>0</v>
      </c>
      <c r="L585" t="n">
        <v>0</v>
      </c>
      <c r="M585" t="n">
        <v>0</v>
      </c>
      <c r="N585" t="n">
        <v>0</v>
      </c>
      <c r="O585" t="n">
        <v>0</v>
      </c>
      <c r="P585" t="n">
        <v>0</v>
      </c>
      <c r="Q585" t="n">
        <v>0</v>
      </c>
      <c r="R585" s="2" t="inlineStr"/>
    </row>
    <row r="586" ht="15" customHeight="1">
      <c r="A586" t="inlineStr">
        <is>
          <t>A 15986-2025</t>
        </is>
      </c>
      <c r="B586" s="1" t="n">
        <v>45749.57331018519</v>
      </c>
      <c r="C586" s="1" t="n">
        <v>45940</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49076-2025</t>
        </is>
      </c>
      <c r="B587" s="1" t="n">
        <v>45937.65601851852</v>
      </c>
      <c r="C587" s="1" t="n">
        <v>45940</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11678-2025</t>
        </is>
      </c>
      <c r="B588" s="1" t="n">
        <v>45726</v>
      </c>
      <c r="C588" s="1" t="n">
        <v>45940</v>
      </c>
      <c r="D588" t="inlineStr">
        <is>
          <t>DALARNAS LÄN</t>
        </is>
      </c>
      <c r="E588" t="inlineStr">
        <is>
          <t>LEKSAND</t>
        </is>
      </c>
      <c r="G588" t="n">
        <v>9.4</v>
      </c>
      <c r="H588" t="n">
        <v>0</v>
      </c>
      <c r="I588" t="n">
        <v>0</v>
      </c>
      <c r="J588" t="n">
        <v>0</v>
      </c>
      <c r="K588" t="n">
        <v>0</v>
      </c>
      <c r="L588" t="n">
        <v>0</v>
      </c>
      <c r="M588" t="n">
        <v>0</v>
      </c>
      <c r="N588" t="n">
        <v>0</v>
      </c>
      <c r="O588" t="n">
        <v>0</v>
      </c>
      <c r="P588" t="n">
        <v>0</v>
      </c>
      <c r="Q588" t="n">
        <v>0</v>
      </c>
      <c r="R588" s="2" t="inlineStr"/>
    </row>
    <row r="589" ht="15" customHeight="1">
      <c r="A589" t="inlineStr">
        <is>
          <t>A 35998-2025</t>
        </is>
      </c>
      <c r="B589" s="1" t="n">
        <v>45863.51550925926</v>
      </c>
      <c r="C589" s="1" t="n">
        <v>45940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36021-2025</t>
        </is>
      </c>
      <c r="B590" s="1" t="n">
        <v>45863.72346064815</v>
      </c>
      <c r="C590" s="1" t="n">
        <v>45940</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6846-2023</t>
        </is>
      </c>
      <c r="B591" s="1" t="n">
        <v>44967.43953703704</v>
      </c>
      <c r="C591" s="1" t="n">
        <v>45940</v>
      </c>
      <c r="D591" t="inlineStr">
        <is>
          <t>DALARNAS LÄN</t>
        </is>
      </c>
      <c r="E591" t="inlineStr">
        <is>
          <t>LEKSAND</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48824-2025</t>
        </is>
      </c>
      <c r="B592" s="1" t="n">
        <v>45937.37949074074</v>
      </c>
      <c r="C592" s="1" t="n">
        <v>45940</v>
      </c>
      <c r="D592" t="inlineStr">
        <is>
          <t>DALARNAS LÄN</t>
        </is>
      </c>
      <c r="E592" t="inlineStr">
        <is>
          <t>LEKSAND</t>
        </is>
      </c>
      <c r="G592" t="n">
        <v>6.3</v>
      </c>
      <c r="H592" t="n">
        <v>0</v>
      </c>
      <c r="I592" t="n">
        <v>0</v>
      </c>
      <c r="J592" t="n">
        <v>0</v>
      </c>
      <c r="K592" t="n">
        <v>0</v>
      </c>
      <c r="L592" t="n">
        <v>0</v>
      </c>
      <c r="M592" t="n">
        <v>0</v>
      </c>
      <c r="N592" t="n">
        <v>0</v>
      </c>
      <c r="O592" t="n">
        <v>0</v>
      </c>
      <c r="P592" t="n">
        <v>0</v>
      </c>
      <c r="Q592" t="n">
        <v>0</v>
      </c>
      <c r="R592" s="2" t="inlineStr"/>
    </row>
    <row r="593" ht="15" customHeight="1">
      <c r="A593" t="inlineStr">
        <is>
          <t>A 17413-2023</t>
        </is>
      </c>
      <c r="B593" s="1" t="n">
        <v>45035</v>
      </c>
      <c r="C593" s="1" t="n">
        <v>45940</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1775-2022</t>
        </is>
      </c>
      <c r="B594" s="1" t="n">
        <v>44574</v>
      </c>
      <c r="C594" s="1" t="n">
        <v>45940</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56753-2023</t>
        </is>
      </c>
      <c r="B595" s="1" t="n">
        <v>45244.37094907407</v>
      </c>
      <c r="C595" s="1" t="n">
        <v>45940</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43077-2024</t>
        </is>
      </c>
      <c r="B596" s="1" t="n">
        <v>45567.50030092592</v>
      </c>
      <c r="C596" s="1" t="n">
        <v>45940</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57899-2024</t>
        </is>
      </c>
      <c r="B597" s="1" t="n">
        <v>45630</v>
      </c>
      <c r="C597" s="1" t="n">
        <v>45940</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60873-2023</t>
        </is>
      </c>
      <c r="B598" s="1" t="n">
        <v>45261.03266203704</v>
      </c>
      <c r="C598" s="1" t="n">
        <v>45940</v>
      </c>
      <c r="D598" t="inlineStr">
        <is>
          <t>DALARNAS LÄN</t>
        </is>
      </c>
      <c r="E598" t="inlineStr">
        <is>
          <t>LEKSAND</t>
        </is>
      </c>
      <c r="G598" t="n">
        <v>5.2</v>
      </c>
      <c r="H598" t="n">
        <v>0</v>
      </c>
      <c r="I598" t="n">
        <v>0</v>
      </c>
      <c r="J598" t="n">
        <v>0</v>
      </c>
      <c r="K598" t="n">
        <v>0</v>
      </c>
      <c r="L598" t="n">
        <v>0</v>
      </c>
      <c r="M598" t="n">
        <v>0</v>
      </c>
      <c r="N598" t="n">
        <v>0</v>
      </c>
      <c r="O598" t="n">
        <v>0</v>
      </c>
      <c r="P598" t="n">
        <v>0</v>
      </c>
      <c r="Q598" t="n">
        <v>0</v>
      </c>
      <c r="R598" s="2" t="inlineStr"/>
    </row>
    <row r="599" ht="15" customHeight="1">
      <c r="A599" t="inlineStr">
        <is>
          <t>A 62161-2024</t>
        </is>
      </c>
      <c r="B599" s="1" t="n">
        <v>45656.86009259259</v>
      </c>
      <c r="C599" s="1" t="n">
        <v>45940</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12581-2025</t>
        </is>
      </c>
      <c r="B600" s="1" t="n">
        <v>45732.62201388889</v>
      </c>
      <c r="C600" s="1" t="n">
        <v>45940</v>
      </c>
      <c r="D600" t="inlineStr">
        <is>
          <t>DALARNAS LÄN</t>
        </is>
      </c>
      <c r="E600" t="inlineStr">
        <is>
          <t>LEKSAND</t>
        </is>
      </c>
      <c r="G600" t="n">
        <v>5.1</v>
      </c>
      <c r="H600" t="n">
        <v>0</v>
      </c>
      <c r="I600" t="n">
        <v>0</v>
      </c>
      <c r="J600" t="n">
        <v>0</v>
      </c>
      <c r="K600" t="n">
        <v>0</v>
      </c>
      <c r="L600" t="n">
        <v>0</v>
      </c>
      <c r="M600" t="n">
        <v>0</v>
      </c>
      <c r="N600" t="n">
        <v>0</v>
      </c>
      <c r="O600" t="n">
        <v>0</v>
      </c>
      <c r="P600" t="n">
        <v>0</v>
      </c>
      <c r="Q600" t="n">
        <v>0</v>
      </c>
      <c r="R600" s="2" t="inlineStr"/>
    </row>
    <row r="601" ht="15" customHeight="1">
      <c r="A601" t="inlineStr">
        <is>
          <t>A 12620-2025</t>
        </is>
      </c>
      <c r="B601" s="1" t="n">
        <v>45733.35498842593</v>
      </c>
      <c r="C601" s="1" t="n">
        <v>45940</v>
      </c>
      <c r="D601" t="inlineStr">
        <is>
          <t>DALARNAS LÄN</t>
        </is>
      </c>
      <c r="E601" t="inlineStr">
        <is>
          <t>LEKSAND</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12623-2025</t>
        </is>
      </c>
      <c r="B602" s="1" t="n">
        <v>45733.36079861111</v>
      </c>
      <c r="C602" s="1" t="n">
        <v>45940</v>
      </c>
      <c r="D602" t="inlineStr">
        <is>
          <t>DALARNAS LÄN</t>
        </is>
      </c>
      <c r="E602" t="inlineStr">
        <is>
          <t>LEKSAND</t>
        </is>
      </c>
      <c r="F602" t="inlineStr">
        <is>
          <t>Bergvik skog väst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27445-2024</t>
        </is>
      </c>
      <c r="B603" s="1" t="n">
        <v>45474.42474537037</v>
      </c>
      <c r="C603" s="1" t="n">
        <v>45940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1983-2025</t>
        </is>
      </c>
      <c r="B604" s="1" t="n">
        <v>45670</v>
      </c>
      <c r="C604" s="1" t="n">
        <v>45940</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48829-2025</t>
        </is>
      </c>
      <c r="B605" s="1" t="n">
        <v>45936</v>
      </c>
      <c r="C605" s="1" t="n">
        <v>45940</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59840-2024</t>
        </is>
      </c>
      <c r="B606" s="1" t="n">
        <v>45638</v>
      </c>
      <c r="C606" s="1" t="n">
        <v>45940</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36190-2025</t>
        </is>
      </c>
      <c r="B607" s="1" t="n">
        <v>45867</v>
      </c>
      <c r="C607" s="1" t="n">
        <v>45940</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48421-2025</t>
        </is>
      </c>
      <c r="B608" s="1" t="n">
        <v>45934.67564814815</v>
      </c>
      <c r="C608" s="1" t="n">
        <v>45940</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45131.64390046296</v>
      </c>
      <c r="C609" s="1" t="n">
        <v>45940</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30611-2023</t>
        </is>
      </c>
      <c r="B610" s="1" t="n">
        <v>45112</v>
      </c>
      <c r="C610" s="1" t="n">
        <v>45940</v>
      </c>
      <c r="D610" t="inlineStr">
        <is>
          <t>DALARNAS LÄN</t>
        </is>
      </c>
      <c r="E610" t="inlineStr">
        <is>
          <t>LEKSAND</t>
        </is>
      </c>
      <c r="G610" t="n">
        <v>3.1</v>
      </c>
      <c r="H610" t="n">
        <v>0</v>
      </c>
      <c r="I610" t="n">
        <v>0</v>
      </c>
      <c r="J610" t="n">
        <v>0</v>
      </c>
      <c r="K610" t="n">
        <v>0</v>
      </c>
      <c r="L610" t="n">
        <v>0</v>
      </c>
      <c r="M610" t="n">
        <v>0</v>
      </c>
      <c r="N610" t="n">
        <v>0</v>
      </c>
      <c r="O610" t="n">
        <v>0</v>
      </c>
      <c r="P610" t="n">
        <v>0</v>
      </c>
      <c r="Q610" t="n">
        <v>0</v>
      </c>
      <c r="R610" s="2" t="inlineStr"/>
    </row>
    <row r="611" ht="15" customHeight="1">
      <c r="A611" t="inlineStr">
        <is>
          <t>A 48922-2025</t>
        </is>
      </c>
      <c r="B611" s="1" t="n">
        <v>45937.50077546296</v>
      </c>
      <c r="C611" s="1" t="n">
        <v>45940</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43629-2025</t>
        </is>
      </c>
      <c r="B612" s="1" t="n">
        <v>45911.70180555555</v>
      </c>
      <c r="C612" s="1" t="n">
        <v>45940</v>
      </c>
      <c r="D612" t="inlineStr">
        <is>
          <t>DALARNAS LÄN</t>
        </is>
      </c>
      <c r="E612" t="inlineStr">
        <is>
          <t>LEKSAND</t>
        </is>
      </c>
      <c r="G612" t="n">
        <v>2.1</v>
      </c>
      <c r="H612" t="n">
        <v>0</v>
      </c>
      <c r="I612" t="n">
        <v>0</v>
      </c>
      <c r="J612" t="n">
        <v>0</v>
      </c>
      <c r="K612" t="n">
        <v>0</v>
      </c>
      <c r="L612" t="n">
        <v>0</v>
      </c>
      <c r="M612" t="n">
        <v>0</v>
      </c>
      <c r="N612" t="n">
        <v>0</v>
      </c>
      <c r="O612" t="n">
        <v>0</v>
      </c>
      <c r="P612" t="n">
        <v>0</v>
      </c>
      <c r="Q612" t="n">
        <v>0</v>
      </c>
      <c r="R612" s="2" t="inlineStr"/>
    </row>
    <row r="613" ht="15" customHeight="1">
      <c r="A613" t="inlineStr">
        <is>
          <t>A 43607-2025</t>
        </is>
      </c>
      <c r="B613" s="1" t="n">
        <v>45911.66873842593</v>
      </c>
      <c r="C613" s="1" t="n">
        <v>45940</v>
      </c>
      <c r="D613" t="inlineStr">
        <is>
          <t>DALARNAS LÄN</t>
        </is>
      </c>
      <c r="E613" t="inlineStr">
        <is>
          <t>LEKSAND</t>
        </is>
      </c>
      <c r="G613" t="n">
        <v>7.3</v>
      </c>
      <c r="H613" t="n">
        <v>0</v>
      </c>
      <c r="I613" t="n">
        <v>0</v>
      </c>
      <c r="J613" t="n">
        <v>0</v>
      </c>
      <c r="K613" t="n">
        <v>0</v>
      </c>
      <c r="L613" t="n">
        <v>0</v>
      </c>
      <c r="M613" t="n">
        <v>0</v>
      </c>
      <c r="N613" t="n">
        <v>0</v>
      </c>
      <c r="O613" t="n">
        <v>0</v>
      </c>
      <c r="P613" t="n">
        <v>0</v>
      </c>
      <c r="Q613" t="n">
        <v>0</v>
      </c>
      <c r="R613" s="2" t="inlineStr"/>
    </row>
    <row r="614" ht="15" customHeight="1">
      <c r="A614" t="inlineStr">
        <is>
          <t>A 43158-2025</t>
        </is>
      </c>
      <c r="B614" s="1" t="n">
        <v>45910.35496527778</v>
      </c>
      <c r="C614" s="1" t="n">
        <v>45940</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12621-2025</t>
        </is>
      </c>
      <c r="B615" s="1" t="n">
        <v>45733.3575</v>
      </c>
      <c r="C615" s="1" t="n">
        <v>45940</v>
      </c>
      <c r="D615" t="inlineStr">
        <is>
          <t>DALARNAS LÄN</t>
        </is>
      </c>
      <c r="E615" t="inlineStr">
        <is>
          <t>LEKSAND</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43628-2025</t>
        </is>
      </c>
      <c r="B616" s="1" t="n">
        <v>45911.70060185185</v>
      </c>
      <c r="C616" s="1" t="n">
        <v>45940</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43630-2025</t>
        </is>
      </c>
      <c r="B617" s="1" t="n">
        <v>45911.70278935185</v>
      </c>
      <c r="C617" s="1" t="n">
        <v>45940</v>
      </c>
      <c r="D617" t="inlineStr">
        <is>
          <t>DALARNAS LÄN</t>
        </is>
      </c>
      <c r="E617" t="inlineStr">
        <is>
          <t>LEKSAND</t>
        </is>
      </c>
      <c r="G617" t="n">
        <v>4.7</v>
      </c>
      <c r="H617" t="n">
        <v>0</v>
      </c>
      <c r="I617" t="n">
        <v>0</v>
      </c>
      <c r="J617" t="n">
        <v>0</v>
      </c>
      <c r="K617" t="n">
        <v>0</v>
      </c>
      <c r="L617" t="n">
        <v>0</v>
      </c>
      <c r="M617" t="n">
        <v>0</v>
      </c>
      <c r="N617" t="n">
        <v>0</v>
      </c>
      <c r="O617" t="n">
        <v>0</v>
      </c>
      <c r="P617" t="n">
        <v>0</v>
      </c>
      <c r="Q617" t="n">
        <v>0</v>
      </c>
      <c r="R617" s="2" t="inlineStr"/>
    </row>
    <row r="618" ht="15" customHeight="1">
      <c r="A618" t="inlineStr">
        <is>
          <t>A 36540-2025</t>
        </is>
      </c>
      <c r="B618" s="1" t="n">
        <v>45869.63885416667</v>
      </c>
      <c r="C618" s="1" t="n">
        <v>45940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43195-2025</t>
        </is>
      </c>
      <c r="B619" s="1" t="n">
        <v>45910.4294212963</v>
      </c>
      <c r="C619" s="1" t="n">
        <v>45940</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53799-2023</t>
        </is>
      </c>
      <c r="B620" s="1" t="n">
        <v>45231.35564814815</v>
      </c>
      <c r="C620" s="1" t="n">
        <v>45940</v>
      </c>
      <c r="D620" t="inlineStr">
        <is>
          <t>DALARNAS LÄN</t>
        </is>
      </c>
      <c r="E620" t="inlineStr">
        <is>
          <t>LEKSAND</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40513-2025</t>
        </is>
      </c>
      <c r="B621" s="1" t="n">
        <v>45896.35100694445</v>
      </c>
      <c r="C621" s="1" t="n">
        <v>45940</v>
      </c>
      <c r="D621" t="inlineStr">
        <is>
          <t>DALARNAS LÄN</t>
        </is>
      </c>
      <c r="E621" t="inlineStr">
        <is>
          <t>LEKSAND</t>
        </is>
      </c>
      <c r="G621" t="n">
        <v>7.1</v>
      </c>
      <c r="H621" t="n">
        <v>0</v>
      </c>
      <c r="I621" t="n">
        <v>0</v>
      </c>
      <c r="J621" t="n">
        <v>0</v>
      </c>
      <c r="K621" t="n">
        <v>0</v>
      </c>
      <c r="L621" t="n">
        <v>0</v>
      </c>
      <c r="M621" t="n">
        <v>0</v>
      </c>
      <c r="N621" t="n">
        <v>0</v>
      </c>
      <c r="O621" t="n">
        <v>0</v>
      </c>
      <c r="P621" t="n">
        <v>0</v>
      </c>
      <c r="Q621" t="n">
        <v>0</v>
      </c>
      <c r="R621" s="2" t="inlineStr"/>
    </row>
    <row r="622" ht="15" customHeight="1">
      <c r="A622" t="inlineStr">
        <is>
          <t>A 41308-2025</t>
        </is>
      </c>
      <c r="B622" s="1" t="n">
        <v>45898</v>
      </c>
      <c r="C622" s="1" t="n">
        <v>45940</v>
      </c>
      <c r="D622" t="inlineStr">
        <is>
          <t>DALARNAS LÄN</t>
        </is>
      </c>
      <c r="E622" t="inlineStr">
        <is>
          <t>LEKSAND</t>
        </is>
      </c>
      <c r="F622" t="inlineStr">
        <is>
          <t>Bergvik skog väst AB</t>
        </is>
      </c>
      <c r="G622" t="n">
        <v>6.7</v>
      </c>
      <c r="H622" t="n">
        <v>0</v>
      </c>
      <c r="I622" t="n">
        <v>0</v>
      </c>
      <c r="J622" t="n">
        <v>0</v>
      </c>
      <c r="K622" t="n">
        <v>0</v>
      </c>
      <c r="L622" t="n">
        <v>0</v>
      </c>
      <c r="M622" t="n">
        <v>0</v>
      </c>
      <c r="N622" t="n">
        <v>0</v>
      </c>
      <c r="O622" t="n">
        <v>0</v>
      </c>
      <c r="P622" t="n">
        <v>0</v>
      </c>
      <c r="Q622" t="n">
        <v>0</v>
      </c>
      <c r="R622" s="2" t="inlineStr"/>
    </row>
    <row r="623" ht="15" customHeight="1">
      <c r="A623" t="inlineStr">
        <is>
          <t>A 49212-2025</t>
        </is>
      </c>
      <c r="B623" s="1" t="n">
        <v>45938.43855324074</v>
      </c>
      <c r="C623" s="1" t="n">
        <v>45940</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62130-2024</t>
        </is>
      </c>
      <c r="B624" s="1" t="n">
        <v>45656.61827546296</v>
      </c>
      <c r="C624" s="1" t="n">
        <v>45940</v>
      </c>
      <c r="D624" t="inlineStr">
        <is>
          <t>DALARNAS LÄN</t>
        </is>
      </c>
      <c r="E624" t="inlineStr">
        <is>
          <t>LEKSAND</t>
        </is>
      </c>
      <c r="G624" t="n">
        <v>11.4</v>
      </c>
      <c r="H624" t="n">
        <v>0</v>
      </c>
      <c r="I624" t="n">
        <v>0</v>
      </c>
      <c r="J624" t="n">
        <v>0</v>
      </c>
      <c r="K624" t="n">
        <v>0</v>
      </c>
      <c r="L624" t="n">
        <v>0</v>
      </c>
      <c r="M624" t="n">
        <v>0</v>
      </c>
      <c r="N624" t="n">
        <v>0</v>
      </c>
      <c r="O624" t="n">
        <v>0</v>
      </c>
      <c r="P624" t="n">
        <v>0</v>
      </c>
      <c r="Q624" t="n">
        <v>0</v>
      </c>
      <c r="R624" s="2" t="inlineStr"/>
    </row>
    <row r="625" ht="15" customHeight="1">
      <c r="A625" t="inlineStr">
        <is>
          <t>A 43875-2025</t>
        </is>
      </c>
      <c r="B625" s="1" t="n">
        <v>45912.67685185185</v>
      </c>
      <c r="C625" s="1" t="n">
        <v>45940</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49209-2025</t>
        </is>
      </c>
      <c r="B626" s="1" t="n">
        <v>45938.43589120371</v>
      </c>
      <c r="C626" s="1" t="n">
        <v>45940</v>
      </c>
      <c r="D626" t="inlineStr">
        <is>
          <t>DALARNAS LÄN</t>
        </is>
      </c>
      <c r="E626" t="inlineStr">
        <is>
          <t>LEKSAND</t>
        </is>
      </c>
      <c r="G626" t="n">
        <v>4.8</v>
      </c>
      <c r="H626" t="n">
        <v>0</v>
      </c>
      <c r="I626" t="n">
        <v>0</v>
      </c>
      <c r="J626" t="n">
        <v>0</v>
      </c>
      <c r="K626" t="n">
        <v>0</v>
      </c>
      <c r="L626" t="n">
        <v>0</v>
      </c>
      <c r="M626" t="n">
        <v>0</v>
      </c>
      <c r="N626" t="n">
        <v>0</v>
      </c>
      <c r="O626" t="n">
        <v>0</v>
      </c>
      <c r="P626" t="n">
        <v>0</v>
      </c>
      <c r="Q626" t="n">
        <v>0</v>
      </c>
      <c r="R626" s="2" t="inlineStr"/>
    </row>
    <row r="627" ht="15" customHeight="1">
      <c r="A627" t="inlineStr">
        <is>
          <t>A 40517-2025</t>
        </is>
      </c>
      <c r="B627" s="1" t="n">
        <v>45896.36368055556</v>
      </c>
      <c r="C627" s="1" t="n">
        <v>45940</v>
      </c>
      <c r="D627" t="inlineStr">
        <is>
          <t>DALARNAS LÄN</t>
        </is>
      </c>
      <c r="E627" t="inlineStr">
        <is>
          <t>LEKSAND</t>
        </is>
      </c>
      <c r="G627" t="n">
        <v>1.6</v>
      </c>
      <c r="H627" t="n">
        <v>0</v>
      </c>
      <c r="I627" t="n">
        <v>0</v>
      </c>
      <c r="J627" t="n">
        <v>0</v>
      </c>
      <c r="K627" t="n">
        <v>0</v>
      </c>
      <c r="L627" t="n">
        <v>0</v>
      </c>
      <c r="M627" t="n">
        <v>0</v>
      </c>
      <c r="N627" t="n">
        <v>0</v>
      </c>
      <c r="O627" t="n">
        <v>0</v>
      </c>
      <c r="P627" t="n">
        <v>0</v>
      </c>
      <c r="Q627" t="n">
        <v>0</v>
      </c>
      <c r="R627" s="2" t="inlineStr"/>
    </row>
    <row r="628" ht="15" customHeight="1">
      <c r="A628" t="inlineStr">
        <is>
          <t>A 10299-2024</t>
        </is>
      </c>
      <c r="B628" s="1" t="n">
        <v>45365.50425925926</v>
      </c>
      <c r="C628" s="1" t="n">
        <v>45940</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49505-2025</t>
        </is>
      </c>
      <c r="B629" s="1" t="n">
        <v>45939.37564814815</v>
      </c>
      <c r="C629" s="1" t="n">
        <v>45940</v>
      </c>
      <c r="D629" t="inlineStr">
        <is>
          <t>DALARNAS LÄN</t>
        </is>
      </c>
      <c r="E629" t="inlineStr">
        <is>
          <t>LEKSAND</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63513-2023</t>
        </is>
      </c>
      <c r="B630" s="1" t="n">
        <v>45274</v>
      </c>
      <c r="C630" s="1" t="n">
        <v>45940</v>
      </c>
      <c r="D630" t="inlineStr">
        <is>
          <t>DALARNAS LÄN</t>
        </is>
      </c>
      <c r="E630" t="inlineStr">
        <is>
          <t>LEKSAND</t>
        </is>
      </c>
      <c r="G630" t="n">
        <v>2.3</v>
      </c>
      <c r="H630" t="n">
        <v>0</v>
      </c>
      <c r="I630" t="n">
        <v>0</v>
      </c>
      <c r="J630" t="n">
        <v>0</v>
      </c>
      <c r="K630" t="n">
        <v>0</v>
      </c>
      <c r="L630" t="n">
        <v>0</v>
      </c>
      <c r="M630" t="n">
        <v>0</v>
      </c>
      <c r="N630" t="n">
        <v>0</v>
      </c>
      <c r="O630" t="n">
        <v>0</v>
      </c>
      <c r="P630" t="n">
        <v>0</v>
      </c>
      <c r="Q630" t="n">
        <v>0</v>
      </c>
      <c r="R630" s="2" t="inlineStr"/>
    </row>
    <row r="631" ht="15" customHeight="1">
      <c r="A631" t="inlineStr">
        <is>
          <t>A 16135-2023</t>
        </is>
      </c>
      <c r="B631" s="1" t="n">
        <v>45027.63717592593</v>
      </c>
      <c r="C631" s="1" t="n">
        <v>45940</v>
      </c>
      <c r="D631" t="inlineStr">
        <is>
          <t>DALARNAS LÄN</t>
        </is>
      </c>
      <c r="E631" t="inlineStr">
        <is>
          <t>LEKSAND</t>
        </is>
      </c>
      <c r="G631" t="n">
        <v>4.9</v>
      </c>
      <c r="H631" t="n">
        <v>0</v>
      </c>
      <c r="I631" t="n">
        <v>0</v>
      </c>
      <c r="J631" t="n">
        <v>0</v>
      </c>
      <c r="K631" t="n">
        <v>0</v>
      </c>
      <c r="L631" t="n">
        <v>0</v>
      </c>
      <c r="M631" t="n">
        <v>0</v>
      </c>
      <c r="N631" t="n">
        <v>0</v>
      </c>
      <c r="O631" t="n">
        <v>0</v>
      </c>
      <c r="P631" t="n">
        <v>0</v>
      </c>
      <c r="Q631" t="n">
        <v>0</v>
      </c>
      <c r="R631" s="2" t="inlineStr"/>
    </row>
    <row r="632" ht="15" customHeight="1">
      <c r="A632" t="inlineStr">
        <is>
          <t>A 44237-2025</t>
        </is>
      </c>
      <c r="B632" s="1" t="n">
        <v>45915.6677199074</v>
      </c>
      <c r="C632" s="1" t="n">
        <v>45940</v>
      </c>
      <c r="D632" t="inlineStr">
        <is>
          <t>DALARNAS LÄN</t>
        </is>
      </c>
      <c r="E632" t="inlineStr">
        <is>
          <t>LEKSAND</t>
        </is>
      </c>
      <c r="G632" t="n">
        <v>1.2</v>
      </c>
      <c r="H632" t="n">
        <v>0</v>
      </c>
      <c r="I632" t="n">
        <v>0</v>
      </c>
      <c r="J632" t="n">
        <v>0</v>
      </c>
      <c r="K632" t="n">
        <v>0</v>
      </c>
      <c r="L632" t="n">
        <v>0</v>
      </c>
      <c r="M632" t="n">
        <v>0</v>
      </c>
      <c r="N632" t="n">
        <v>0</v>
      </c>
      <c r="O632" t="n">
        <v>0</v>
      </c>
      <c r="P632" t="n">
        <v>0</v>
      </c>
      <c r="Q632" t="n">
        <v>0</v>
      </c>
      <c r="R632" s="2" t="inlineStr"/>
    </row>
    <row r="633" ht="15" customHeight="1">
      <c r="A633" t="inlineStr">
        <is>
          <t>A 43781-2025</t>
        </is>
      </c>
      <c r="B633" s="1" t="n">
        <v>45912.52229166667</v>
      </c>
      <c r="C633" s="1" t="n">
        <v>45940</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19590-2023</t>
        </is>
      </c>
      <c r="B634" s="1" t="n">
        <v>45049</v>
      </c>
      <c r="C634" s="1" t="n">
        <v>45940</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51677-2024</t>
        </is>
      </c>
      <c r="B635" s="1" t="n">
        <v>45607.30265046296</v>
      </c>
      <c r="C635" s="1" t="n">
        <v>45940</v>
      </c>
      <c r="D635" t="inlineStr">
        <is>
          <t>DALARNAS LÄN</t>
        </is>
      </c>
      <c r="E635" t="inlineStr">
        <is>
          <t>LEKSAND</t>
        </is>
      </c>
      <c r="G635" t="n">
        <v>3.4</v>
      </c>
      <c r="H635" t="n">
        <v>0</v>
      </c>
      <c r="I635" t="n">
        <v>0</v>
      </c>
      <c r="J635" t="n">
        <v>0</v>
      </c>
      <c r="K635" t="n">
        <v>0</v>
      </c>
      <c r="L635" t="n">
        <v>0</v>
      </c>
      <c r="M635" t="n">
        <v>0</v>
      </c>
      <c r="N635" t="n">
        <v>0</v>
      </c>
      <c r="O635" t="n">
        <v>0</v>
      </c>
      <c r="P635" t="n">
        <v>0</v>
      </c>
      <c r="Q635" t="n">
        <v>0</v>
      </c>
      <c r="R635" s="2" t="inlineStr"/>
    </row>
    <row r="636" ht="15" customHeight="1">
      <c r="A636" t="inlineStr">
        <is>
          <t>A 30000-2023</t>
        </is>
      </c>
      <c r="B636" s="1" t="n">
        <v>45109.71128472222</v>
      </c>
      <c r="C636" s="1" t="n">
        <v>45940</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61933-2023</t>
        </is>
      </c>
      <c r="B637" s="1" t="n">
        <v>45266</v>
      </c>
      <c r="C637" s="1" t="n">
        <v>45940</v>
      </c>
      <c r="D637" t="inlineStr">
        <is>
          <t>DALARNAS LÄN</t>
        </is>
      </c>
      <c r="E637" t="inlineStr">
        <is>
          <t>LEKSAND</t>
        </is>
      </c>
      <c r="G637" t="n">
        <v>0.2</v>
      </c>
      <c r="H637" t="n">
        <v>0</v>
      </c>
      <c r="I637" t="n">
        <v>0</v>
      </c>
      <c r="J637" t="n">
        <v>0</v>
      </c>
      <c r="K637" t="n">
        <v>0</v>
      </c>
      <c r="L637" t="n">
        <v>0</v>
      </c>
      <c r="M637" t="n">
        <v>0</v>
      </c>
      <c r="N637" t="n">
        <v>0</v>
      </c>
      <c r="O637" t="n">
        <v>0</v>
      </c>
      <c r="P637" t="n">
        <v>0</v>
      </c>
      <c r="Q637" t="n">
        <v>0</v>
      </c>
      <c r="R637" s="2" t="inlineStr"/>
    </row>
    <row r="638" ht="15" customHeight="1">
      <c r="A638" t="inlineStr">
        <is>
          <t>A 41015-2024</t>
        </is>
      </c>
      <c r="B638" s="1" t="n">
        <v>45559.32537037037</v>
      </c>
      <c r="C638" s="1" t="n">
        <v>45940</v>
      </c>
      <c r="D638" t="inlineStr">
        <is>
          <t>DALARNAS LÄN</t>
        </is>
      </c>
      <c r="E638" t="inlineStr">
        <is>
          <t>LEKSAND</t>
        </is>
      </c>
      <c r="G638" t="n">
        <v>1.6</v>
      </c>
      <c r="H638" t="n">
        <v>0</v>
      </c>
      <c r="I638" t="n">
        <v>0</v>
      </c>
      <c r="J638" t="n">
        <v>0</v>
      </c>
      <c r="K638" t="n">
        <v>0</v>
      </c>
      <c r="L638" t="n">
        <v>0</v>
      </c>
      <c r="M638" t="n">
        <v>0</v>
      </c>
      <c r="N638" t="n">
        <v>0</v>
      </c>
      <c r="O638" t="n">
        <v>0</v>
      </c>
      <c r="P638" t="n">
        <v>0</v>
      </c>
      <c r="Q638" t="n">
        <v>0</v>
      </c>
      <c r="R638" s="2" t="inlineStr"/>
    </row>
    <row r="639" ht="15" customHeight="1">
      <c r="A639" t="inlineStr">
        <is>
          <t>A 18107-2025</t>
        </is>
      </c>
      <c r="B639" s="1" t="n">
        <v>45761.55939814815</v>
      </c>
      <c r="C639" s="1" t="n">
        <v>45940</v>
      </c>
      <c r="D639" t="inlineStr">
        <is>
          <t>DALARNAS LÄN</t>
        </is>
      </c>
      <c r="E639" t="inlineStr">
        <is>
          <t>LEKSAND</t>
        </is>
      </c>
      <c r="G639" t="n">
        <v>1.2</v>
      </c>
      <c r="H639" t="n">
        <v>0</v>
      </c>
      <c r="I639" t="n">
        <v>0</v>
      </c>
      <c r="J639" t="n">
        <v>0</v>
      </c>
      <c r="K639" t="n">
        <v>0</v>
      </c>
      <c r="L639" t="n">
        <v>0</v>
      </c>
      <c r="M639" t="n">
        <v>0</v>
      </c>
      <c r="N639" t="n">
        <v>0</v>
      </c>
      <c r="O639" t="n">
        <v>0</v>
      </c>
      <c r="P639" t="n">
        <v>0</v>
      </c>
      <c r="Q639" t="n">
        <v>0</v>
      </c>
      <c r="R639" s="2" t="inlineStr"/>
    </row>
    <row r="640" ht="15" customHeight="1">
      <c r="A640" t="inlineStr">
        <is>
          <t>A 49395-2024</t>
        </is>
      </c>
      <c r="B640" s="1" t="n">
        <v>45595</v>
      </c>
      <c r="C640" s="1" t="n">
        <v>45940</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59859-2023</t>
        </is>
      </c>
      <c r="B641" s="1" t="n">
        <v>45257</v>
      </c>
      <c r="C641" s="1" t="n">
        <v>45940</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39136-2023</t>
        </is>
      </c>
      <c r="B642" s="1" t="n">
        <v>45165</v>
      </c>
      <c r="C642" s="1" t="n">
        <v>45940</v>
      </c>
      <c r="D642" t="inlineStr">
        <is>
          <t>DALARNAS LÄN</t>
        </is>
      </c>
      <c r="E642" t="inlineStr">
        <is>
          <t>LEKSAND</t>
        </is>
      </c>
      <c r="G642" t="n">
        <v>0.3</v>
      </c>
      <c r="H642" t="n">
        <v>0</v>
      </c>
      <c r="I642" t="n">
        <v>0</v>
      </c>
      <c r="J642" t="n">
        <v>0</v>
      </c>
      <c r="K642" t="n">
        <v>0</v>
      </c>
      <c r="L642" t="n">
        <v>0</v>
      </c>
      <c r="M642" t="n">
        <v>0</v>
      </c>
      <c r="N642" t="n">
        <v>0</v>
      </c>
      <c r="O642" t="n">
        <v>0</v>
      </c>
      <c r="P642" t="n">
        <v>0</v>
      </c>
      <c r="Q642" t="n">
        <v>0</v>
      </c>
      <c r="R642" s="2" t="inlineStr"/>
    </row>
    <row r="643" ht="15" customHeight="1">
      <c r="A643" t="inlineStr">
        <is>
          <t>A 53193-2024</t>
        </is>
      </c>
      <c r="B643" s="1" t="n">
        <v>45610</v>
      </c>
      <c r="C643" s="1" t="n">
        <v>45940</v>
      </c>
      <c r="D643" t="inlineStr">
        <is>
          <t>DALARNAS LÄN</t>
        </is>
      </c>
      <c r="E643" t="inlineStr">
        <is>
          <t>LEKSAND</t>
        </is>
      </c>
      <c r="G643" t="n">
        <v>1.4</v>
      </c>
      <c r="H643" t="n">
        <v>0</v>
      </c>
      <c r="I643" t="n">
        <v>0</v>
      </c>
      <c r="J643" t="n">
        <v>0</v>
      </c>
      <c r="K643" t="n">
        <v>0</v>
      </c>
      <c r="L643" t="n">
        <v>0</v>
      </c>
      <c r="M643" t="n">
        <v>0</v>
      </c>
      <c r="N643" t="n">
        <v>0</v>
      </c>
      <c r="O643" t="n">
        <v>0</v>
      </c>
      <c r="P643" t="n">
        <v>0</v>
      </c>
      <c r="Q643" t="n">
        <v>0</v>
      </c>
      <c r="R643" s="2" t="inlineStr"/>
    </row>
    <row r="644" ht="15" customHeight="1">
      <c r="A644" t="inlineStr">
        <is>
          <t>A 14615-2024</t>
        </is>
      </c>
      <c r="B644" s="1" t="n">
        <v>45397.26047453703</v>
      </c>
      <c r="C644" s="1" t="n">
        <v>45940</v>
      </c>
      <c r="D644" t="inlineStr">
        <is>
          <t>DALARNAS LÄN</t>
        </is>
      </c>
      <c r="E644" t="inlineStr">
        <is>
          <t>LEKSAND</t>
        </is>
      </c>
      <c r="G644" t="n">
        <v>0.4</v>
      </c>
      <c r="H644" t="n">
        <v>0</v>
      </c>
      <c r="I644" t="n">
        <v>0</v>
      </c>
      <c r="J644" t="n">
        <v>0</v>
      </c>
      <c r="K644" t="n">
        <v>0</v>
      </c>
      <c r="L644" t="n">
        <v>0</v>
      </c>
      <c r="M644" t="n">
        <v>0</v>
      </c>
      <c r="N644" t="n">
        <v>0</v>
      </c>
      <c r="O644" t="n">
        <v>0</v>
      </c>
      <c r="P644" t="n">
        <v>0</v>
      </c>
      <c r="Q644" t="n">
        <v>0</v>
      </c>
      <c r="R644" s="2" t="inlineStr"/>
    </row>
    <row r="645" ht="15" customHeight="1">
      <c r="A645" t="inlineStr">
        <is>
          <t>A 481-2024</t>
        </is>
      </c>
      <c r="B645" s="1" t="n">
        <v>45298</v>
      </c>
      <c r="C645" s="1" t="n">
        <v>45940</v>
      </c>
      <c r="D645" t="inlineStr">
        <is>
          <t>DALARNAS LÄN</t>
        </is>
      </c>
      <c r="E645" t="inlineStr">
        <is>
          <t>LEKSAND</t>
        </is>
      </c>
      <c r="G645" t="n">
        <v>7</v>
      </c>
      <c r="H645" t="n">
        <v>0</v>
      </c>
      <c r="I645" t="n">
        <v>0</v>
      </c>
      <c r="J645" t="n">
        <v>0</v>
      </c>
      <c r="K645" t="n">
        <v>0</v>
      </c>
      <c r="L645" t="n">
        <v>0</v>
      </c>
      <c r="M645" t="n">
        <v>0</v>
      </c>
      <c r="N645" t="n">
        <v>0</v>
      </c>
      <c r="O645" t="n">
        <v>0</v>
      </c>
      <c r="P645" t="n">
        <v>0</v>
      </c>
      <c r="Q645" t="n">
        <v>0</v>
      </c>
      <c r="R645" s="2" t="inlineStr"/>
    </row>
    <row r="646" ht="15" customHeight="1">
      <c r="A646" t="inlineStr">
        <is>
          <t>A 23663-2024</t>
        </is>
      </c>
      <c r="B646" s="1" t="n">
        <v>45454.57049768518</v>
      </c>
      <c r="C646" s="1" t="n">
        <v>45940</v>
      </c>
      <c r="D646" t="inlineStr">
        <is>
          <t>DALARNAS LÄN</t>
        </is>
      </c>
      <c r="E646" t="inlineStr">
        <is>
          <t>LEKSAND</t>
        </is>
      </c>
      <c r="G646" t="n">
        <v>2.5</v>
      </c>
      <c r="H646" t="n">
        <v>0</v>
      </c>
      <c r="I646" t="n">
        <v>0</v>
      </c>
      <c r="J646" t="n">
        <v>0</v>
      </c>
      <c r="K646" t="n">
        <v>0</v>
      </c>
      <c r="L646" t="n">
        <v>0</v>
      </c>
      <c r="M646" t="n">
        <v>0</v>
      </c>
      <c r="N646" t="n">
        <v>0</v>
      </c>
      <c r="O646" t="n">
        <v>0</v>
      </c>
      <c r="P646" t="n">
        <v>0</v>
      </c>
      <c r="Q646" t="n">
        <v>0</v>
      </c>
      <c r="R646" s="2" t="inlineStr"/>
    </row>
    <row r="647" ht="15" customHeight="1">
      <c r="A647" t="inlineStr">
        <is>
          <t>A 6778-2025</t>
        </is>
      </c>
      <c r="B647" s="1" t="n">
        <v>45700.64615740741</v>
      </c>
      <c r="C647" s="1" t="n">
        <v>45940</v>
      </c>
      <c r="D647" t="inlineStr">
        <is>
          <t>DALARNAS LÄN</t>
        </is>
      </c>
      <c r="E647" t="inlineStr">
        <is>
          <t>LEKSAND</t>
        </is>
      </c>
      <c r="G647" t="n">
        <v>2.4</v>
      </c>
      <c r="H647" t="n">
        <v>0</v>
      </c>
      <c r="I647" t="n">
        <v>0</v>
      </c>
      <c r="J647" t="n">
        <v>0</v>
      </c>
      <c r="K647" t="n">
        <v>0</v>
      </c>
      <c r="L647" t="n">
        <v>0</v>
      </c>
      <c r="M647" t="n">
        <v>0</v>
      </c>
      <c r="N647" t="n">
        <v>0</v>
      </c>
      <c r="O647" t="n">
        <v>0</v>
      </c>
      <c r="P647" t="n">
        <v>0</v>
      </c>
      <c r="Q647" t="n">
        <v>0</v>
      </c>
      <c r="R647" s="2" t="inlineStr"/>
    </row>
    <row r="648" ht="15" customHeight="1">
      <c r="A648" t="inlineStr">
        <is>
          <t>A 164-2023</t>
        </is>
      </c>
      <c r="B648" s="1" t="n">
        <v>44918</v>
      </c>
      <c r="C648" s="1" t="n">
        <v>45940</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44672-2025</t>
        </is>
      </c>
      <c r="B649" s="1" t="n">
        <v>45917.56780092593</v>
      </c>
      <c r="C649" s="1" t="n">
        <v>45940</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44516-2025</t>
        </is>
      </c>
      <c r="B650" s="1" t="n">
        <v>45916.70982638889</v>
      </c>
      <c r="C650" s="1" t="n">
        <v>45940</v>
      </c>
      <c r="D650" t="inlineStr">
        <is>
          <t>DALARNAS LÄN</t>
        </is>
      </c>
      <c r="E650" t="inlineStr">
        <is>
          <t>LEKSAND</t>
        </is>
      </c>
      <c r="G650" t="n">
        <v>1.8</v>
      </c>
      <c r="H650" t="n">
        <v>0</v>
      </c>
      <c r="I650" t="n">
        <v>0</v>
      </c>
      <c r="J650" t="n">
        <v>0</v>
      </c>
      <c r="K650" t="n">
        <v>0</v>
      </c>
      <c r="L650" t="n">
        <v>0</v>
      </c>
      <c r="M650" t="n">
        <v>0</v>
      </c>
      <c r="N650" t="n">
        <v>0</v>
      </c>
      <c r="O650" t="n">
        <v>0</v>
      </c>
      <c r="P650" t="n">
        <v>0</v>
      </c>
      <c r="Q650" t="n">
        <v>0</v>
      </c>
      <c r="R650" s="2" t="inlineStr"/>
    </row>
    <row r="651" ht="15" customHeight="1">
      <c r="A651" t="inlineStr">
        <is>
          <t>A 44519-2025</t>
        </is>
      </c>
      <c r="B651" s="1" t="n">
        <v>45916.71483796297</v>
      </c>
      <c r="C651" s="1" t="n">
        <v>45940</v>
      </c>
      <c r="D651" t="inlineStr">
        <is>
          <t>DALARNAS LÄN</t>
        </is>
      </c>
      <c r="E651" t="inlineStr">
        <is>
          <t>LEKSAND</t>
        </is>
      </c>
      <c r="G651" t="n">
        <v>3.6</v>
      </c>
      <c r="H651" t="n">
        <v>0</v>
      </c>
      <c r="I651" t="n">
        <v>0</v>
      </c>
      <c r="J651" t="n">
        <v>0</v>
      </c>
      <c r="K651" t="n">
        <v>0</v>
      </c>
      <c r="L651" t="n">
        <v>0</v>
      </c>
      <c r="M651" t="n">
        <v>0</v>
      </c>
      <c r="N651" t="n">
        <v>0</v>
      </c>
      <c r="O651" t="n">
        <v>0</v>
      </c>
      <c r="P651" t="n">
        <v>0</v>
      </c>
      <c r="Q651" t="n">
        <v>0</v>
      </c>
      <c r="R651" s="2" t="inlineStr"/>
    </row>
    <row r="652" ht="15" customHeight="1">
      <c r="A652" t="inlineStr">
        <is>
          <t>A 19622-2024</t>
        </is>
      </c>
      <c r="B652" s="1" t="n">
        <v>45432.33592592592</v>
      </c>
      <c r="C652" s="1" t="n">
        <v>45940</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50278-2023</t>
        </is>
      </c>
      <c r="B653" s="1" t="n">
        <v>45216.43444444444</v>
      </c>
      <c r="C653" s="1" t="n">
        <v>45940</v>
      </c>
      <c r="D653" t="inlineStr">
        <is>
          <t>DALARNAS LÄN</t>
        </is>
      </c>
      <c r="E653" t="inlineStr">
        <is>
          <t>LEKSAND</t>
        </is>
      </c>
      <c r="G653" t="n">
        <v>0.4</v>
      </c>
      <c r="H653" t="n">
        <v>0</v>
      </c>
      <c r="I653" t="n">
        <v>0</v>
      </c>
      <c r="J653" t="n">
        <v>0</v>
      </c>
      <c r="K653" t="n">
        <v>0</v>
      </c>
      <c r="L653" t="n">
        <v>0</v>
      </c>
      <c r="M653" t="n">
        <v>0</v>
      </c>
      <c r="N653" t="n">
        <v>0</v>
      </c>
      <c r="O653" t="n">
        <v>0</v>
      </c>
      <c r="P653" t="n">
        <v>0</v>
      </c>
      <c r="Q653" t="n">
        <v>0</v>
      </c>
      <c r="R653" s="2" t="inlineStr"/>
    </row>
    <row r="654" ht="15" customHeight="1">
      <c r="A654" t="inlineStr">
        <is>
          <t>A 40230-2023</t>
        </is>
      </c>
      <c r="B654" s="1" t="n">
        <v>45169.46887731482</v>
      </c>
      <c r="C654" s="1" t="n">
        <v>45940</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37508-2025</t>
        </is>
      </c>
      <c r="B655" s="1" t="n">
        <v>45877.66282407408</v>
      </c>
      <c r="C655" s="1" t="n">
        <v>45940</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13401-2023</t>
        </is>
      </c>
      <c r="B656" s="1" t="n">
        <v>45005</v>
      </c>
      <c r="C656" s="1" t="n">
        <v>45940</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11712-2025</t>
        </is>
      </c>
      <c r="B657" s="1" t="n">
        <v>45727</v>
      </c>
      <c r="C657" s="1" t="n">
        <v>45940</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6030-2025</t>
        </is>
      </c>
      <c r="B658" s="1" t="n">
        <v>45695</v>
      </c>
      <c r="C658" s="1" t="n">
        <v>45940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23323-2023</t>
        </is>
      </c>
      <c r="B659" s="1" t="n">
        <v>45076</v>
      </c>
      <c r="C659" s="1" t="n">
        <v>45940</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42230-2023</t>
        </is>
      </c>
      <c r="B660" s="1" t="n">
        <v>45180</v>
      </c>
      <c r="C660" s="1" t="n">
        <v>45940</v>
      </c>
      <c r="D660" t="inlineStr">
        <is>
          <t>DALARNAS LÄN</t>
        </is>
      </c>
      <c r="E660" t="inlineStr">
        <is>
          <t>LEKSAND</t>
        </is>
      </c>
      <c r="G660" t="n">
        <v>0.6</v>
      </c>
      <c r="H660" t="n">
        <v>0</v>
      </c>
      <c r="I660" t="n">
        <v>0</v>
      </c>
      <c r="J660" t="n">
        <v>0</v>
      </c>
      <c r="K660" t="n">
        <v>0</v>
      </c>
      <c r="L660" t="n">
        <v>0</v>
      </c>
      <c r="M660" t="n">
        <v>0</v>
      </c>
      <c r="N660" t="n">
        <v>0</v>
      </c>
      <c r="O660" t="n">
        <v>0</v>
      </c>
      <c r="P660" t="n">
        <v>0</v>
      </c>
      <c r="Q660" t="n">
        <v>0</v>
      </c>
      <c r="R660" s="2" t="inlineStr"/>
    </row>
    <row r="661" ht="15" customHeight="1">
      <c r="A661" t="inlineStr">
        <is>
          <t>A 44948-2025</t>
        </is>
      </c>
      <c r="B661" s="1" t="n">
        <v>45918.60555555556</v>
      </c>
      <c r="C661" s="1" t="n">
        <v>45940</v>
      </c>
      <c r="D661" t="inlineStr">
        <is>
          <t>DALARNAS LÄN</t>
        </is>
      </c>
      <c r="E661" t="inlineStr">
        <is>
          <t>LEKSAND</t>
        </is>
      </c>
      <c r="G661" t="n">
        <v>5.1</v>
      </c>
      <c r="H661" t="n">
        <v>0</v>
      </c>
      <c r="I661" t="n">
        <v>0</v>
      </c>
      <c r="J661" t="n">
        <v>0</v>
      </c>
      <c r="K661" t="n">
        <v>0</v>
      </c>
      <c r="L661" t="n">
        <v>0</v>
      </c>
      <c r="M661" t="n">
        <v>0</v>
      </c>
      <c r="N661" t="n">
        <v>0</v>
      </c>
      <c r="O661" t="n">
        <v>0</v>
      </c>
      <c r="P661" t="n">
        <v>0</v>
      </c>
      <c r="Q661" t="n">
        <v>0</v>
      </c>
      <c r="R661" s="2" t="inlineStr"/>
    </row>
    <row r="662" ht="15" customHeight="1">
      <c r="A662" t="inlineStr">
        <is>
          <t>A 45101-2025</t>
        </is>
      </c>
      <c r="B662" s="1" t="n">
        <v>45919.39679398148</v>
      </c>
      <c r="C662" s="1" t="n">
        <v>45940</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17485-2025</t>
        </is>
      </c>
      <c r="B663" s="1" t="n">
        <v>45757.49976851852</v>
      </c>
      <c r="C663" s="1" t="n">
        <v>45940</v>
      </c>
      <c r="D663" t="inlineStr">
        <is>
          <t>DALARNAS LÄN</t>
        </is>
      </c>
      <c r="E663" t="inlineStr">
        <is>
          <t>LEKSAND</t>
        </is>
      </c>
      <c r="G663" t="n">
        <v>3.7</v>
      </c>
      <c r="H663" t="n">
        <v>0</v>
      </c>
      <c r="I663" t="n">
        <v>0</v>
      </c>
      <c r="J663" t="n">
        <v>0</v>
      </c>
      <c r="K663" t="n">
        <v>0</v>
      </c>
      <c r="L663" t="n">
        <v>0</v>
      </c>
      <c r="M663" t="n">
        <v>0</v>
      </c>
      <c r="N663" t="n">
        <v>0</v>
      </c>
      <c r="O663" t="n">
        <v>0</v>
      </c>
      <c r="P663" t="n">
        <v>0</v>
      </c>
      <c r="Q663" t="n">
        <v>0</v>
      </c>
      <c r="R663" s="2" t="inlineStr"/>
    </row>
    <row r="664" ht="15" customHeight="1">
      <c r="A664" t="inlineStr">
        <is>
          <t>A 18176-2024</t>
        </is>
      </c>
      <c r="B664" s="1" t="n">
        <v>45420.63901620371</v>
      </c>
      <c r="C664" s="1" t="n">
        <v>45940</v>
      </c>
      <c r="D664" t="inlineStr">
        <is>
          <t>DALARNAS LÄN</t>
        </is>
      </c>
      <c r="E664" t="inlineStr">
        <is>
          <t>LEKSAND</t>
        </is>
      </c>
      <c r="F664" t="inlineStr">
        <is>
          <t>Bergvik skog väst AB</t>
        </is>
      </c>
      <c r="G664" t="n">
        <v>0.9</v>
      </c>
      <c r="H664" t="n">
        <v>0</v>
      </c>
      <c r="I664" t="n">
        <v>0</v>
      </c>
      <c r="J664" t="n">
        <v>0</v>
      </c>
      <c r="K664" t="n">
        <v>0</v>
      </c>
      <c r="L664" t="n">
        <v>0</v>
      </c>
      <c r="M664" t="n">
        <v>0</v>
      </c>
      <c r="N664" t="n">
        <v>0</v>
      </c>
      <c r="O664" t="n">
        <v>0</v>
      </c>
      <c r="P664" t="n">
        <v>0</v>
      </c>
      <c r="Q664" t="n">
        <v>0</v>
      </c>
      <c r="R664" s="2" t="inlineStr"/>
    </row>
    <row r="665" ht="15" customHeight="1">
      <c r="A665" t="inlineStr">
        <is>
          <t>A 45318-2025</t>
        </is>
      </c>
      <c r="B665" s="1" t="n">
        <v>45921.85230324074</v>
      </c>
      <c r="C665" s="1" t="n">
        <v>45940</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33072-2021</t>
        </is>
      </c>
      <c r="B666" s="1" t="n">
        <v>44375</v>
      </c>
      <c r="C666" s="1" t="n">
        <v>45940</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412-2024</t>
        </is>
      </c>
      <c r="B667" s="1" t="n">
        <v>45296</v>
      </c>
      <c r="C667" s="1" t="n">
        <v>45940</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45381-2025</t>
        </is>
      </c>
      <c r="B668" s="1" t="n">
        <v>45922.39989583333</v>
      </c>
      <c r="C668" s="1" t="n">
        <v>45940</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56330-2022</t>
        </is>
      </c>
      <c r="B669" s="1" t="n">
        <v>44890.62630787037</v>
      </c>
      <c r="C669" s="1" t="n">
        <v>45940</v>
      </c>
      <c r="D669" t="inlineStr">
        <is>
          <t>DALARNAS LÄN</t>
        </is>
      </c>
      <c r="E669" t="inlineStr">
        <is>
          <t>LEKSAND</t>
        </is>
      </c>
      <c r="G669" t="n">
        <v>4.9</v>
      </c>
      <c r="H669" t="n">
        <v>0</v>
      </c>
      <c r="I669" t="n">
        <v>0</v>
      </c>
      <c r="J669" t="n">
        <v>0</v>
      </c>
      <c r="K669" t="n">
        <v>0</v>
      </c>
      <c r="L669" t="n">
        <v>0</v>
      </c>
      <c r="M669" t="n">
        <v>0</v>
      </c>
      <c r="N669" t="n">
        <v>0</v>
      </c>
      <c r="O669" t="n">
        <v>0</v>
      </c>
      <c r="P669" t="n">
        <v>0</v>
      </c>
      <c r="Q669" t="n">
        <v>0</v>
      </c>
      <c r="R669" s="2" t="inlineStr"/>
    </row>
    <row r="670" ht="15" customHeight="1">
      <c r="A670" t="inlineStr">
        <is>
          <t>A 45300-2025</t>
        </is>
      </c>
      <c r="B670" s="1" t="n">
        <v>45921.30490740741</v>
      </c>
      <c r="C670" s="1" t="n">
        <v>45940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55643-2024</t>
        </is>
      </c>
      <c r="B671" s="1" t="n">
        <v>45621</v>
      </c>
      <c r="C671" s="1" t="n">
        <v>45940</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22281-2024</t>
        </is>
      </c>
      <c r="B672" s="1" t="n">
        <v>45446.54756944445</v>
      </c>
      <c r="C672" s="1" t="n">
        <v>45940</v>
      </c>
      <c r="D672" t="inlineStr">
        <is>
          <t>DALARNAS LÄN</t>
        </is>
      </c>
      <c r="E672" t="inlineStr">
        <is>
          <t>LEKSAND</t>
        </is>
      </c>
      <c r="F672" t="inlineStr">
        <is>
          <t>Bergvik skog väst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37996-2025</t>
        </is>
      </c>
      <c r="B673" s="1" t="n">
        <v>45881.8299537037</v>
      </c>
      <c r="C673" s="1" t="n">
        <v>45940</v>
      </c>
      <c r="D673" t="inlineStr">
        <is>
          <t>DALARNAS LÄN</t>
        </is>
      </c>
      <c r="E673" t="inlineStr">
        <is>
          <t>LEKSAND</t>
        </is>
      </c>
      <c r="G673" t="n">
        <v>4.2</v>
      </c>
      <c r="H673" t="n">
        <v>0</v>
      </c>
      <c r="I673" t="n">
        <v>0</v>
      </c>
      <c r="J673" t="n">
        <v>0</v>
      </c>
      <c r="K673" t="n">
        <v>0</v>
      </c>
      <c r="L673" t="n">
        <v>0</v>
      </c>
      <c r="M673" t="n">
        <v>0</v>
      </c>
      <c r="N673" t="n">
        <v>0</v>
      </c>
      <c r="O673" t="n">
        <v>0</v>
      </c>
      <c r="P673" t="n">
        <v>0</v>
      </c>
      <c r="Q673" t="n">
        <v>0</v>
      </c>
      <c r="R673" s="2" t="inlineStr"/>
    </row>
    <row r="674" ht="15" customHeight="1">
      <c r="A674" t="inlineStr">
        <is>
          <t>A 17282-2025</t>
        </is>
      </c>
      <c r="B674" s="1" t="n">
        <v>45756.57114583333</v>
      </c>
      <c r="C674" s="1" t="n">
        <v>45940</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56016-2024</t>
        </is>
      </c>
      <c r="B675" s="1" t="n">
        <v>45623.87737268519</v>
      </c>
      <c r="C675" s="1" t="n">
        <v>45940</v>
      </c>
      <c r="D675" t="inlineStr">
        <is>
          <t>DALARNAS LÄN</t>
        </is>
      </c>
      <c r="E675" t="inlineStr">
        <is>
          <t>LEKSAND</t>
        </is>
      </c>
      <c r="G675" t="n">
        <v>6.1</v>
      </c>
      <c r="H675" t="n">
        <v>0</v>
      </c>
      <c r="I675" t="n">
        <v>0</v>
      </c>
      <c r="J675" t="n">
        <v>0</v>
      </c>
      <c r="K675" t="n">
        <v>0</v>
      </c>
      <c r="L675" t="n">
        <v>0</v>
      </c>
      <c r="M675" t="n">
        <v>0</v>
      </c>
      <c r="N675" t="n">
        <v>0</v>
      </c>
      <c r="O675" t="n">
        <v>0</v>
      </c>
      <c r="P675" t="n">
        <v>0</v>
      </c>
      <c r="Q675" t="n">
        <v>0</v>
      </c>
      <c r="R675" s="2" t="inlineStr"/>
    </row>
    <row r="676" ht="15" customHeight="1">
      <c r="A676" t="inlineStr">
        <is>
          <t>A 9857-2025</t>
        </is>
      </c>
      <c r="B676" s="1" t="n">
        <v>45716.62609953704</v>
      </c>
      <c r="C676" s="1" t="n">
        <v>45940</v>
      </c>
      <c r="D676" t="inlineStr">
        <is>
          <t>DALARNAS LÄN</t>
        </is>
      </c>
      <c r="E676" t="inlineStr">
        <is>
          <t>LEKSAND</t>
        </is>
      </c>
      <c r="G676" t="n">
        <v>1.7</v>
      </c>
      <c r="H676" t="n">
        <v>0</v>
      </c>
      <c r="I676" t="n">
        <v>0</v>
      </c>
      <c r="J676" t="n">
        <v>0</v>
      </c>
      <c r="K676" t="n">
        <v>0</v>
      </c>
      <c r="L676" t="n">
        <v>0</v>
      </c>
      <c r="M676" t="n">
        <v>0</v>
      </c>
      <c r="N676" t="n">
        <v>0</v>
      </c>
      <c r="O676" t="n">
        <v>0</v>
      </c>
      <c r="P676" t="n">
        <v>0</v>
      </c>
      <c r="Q676" t="n">
        <v>0</v>
      </c>
      <c r="R676" s="2" t="inlineStr"/>
    </row>
    <row r="677" ht="15" customHeight="1">
      <c r="A677" t="inlineStr">
        <is>
          <t>A 46176-2025</t>
        </is>
      </c>
      <c r="B677" s="1" t="n">
        <v>45924.65101851852</v>
      </c>
      <c r="C677" s="1" t="n">
        <v>45940</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59673-2023</t>
        </is>
      </c>
      <c r="B678" s="1" t="n">
        <v>45255.44603009259</v>
      </c>
      <c r="C678" s="1" t="n">
        <v>45940</v>
      </c>
      <c r="D678" t="inlineStr">
        <is>
          <t>DALARNAS LÄN</t>
        </is>
      </c>
      <c r="E678" t="inlineStr">
        <is>
          <t>LEKSAND</t>
        </is>
      </c>
      <c r="G678" t="n">
        <v>12.2</v>
      </c>
      <c r="H678" t="n">
        <v>0</v>
      </c>
      <c r="I678" t="n">
        <v>0</v>
      </c>
      <c r="J678" t="n">
        <v>0</v>
      </c>
      <c r="K678" t="n">
        <v>0</v>
      </c>
      <c r="L678" t="n">
        <v>0</v>
      </c>
      <c r="M678" t="n">
        <v>0</v>
      </c>
      <c r="N678" t="n">
        <v>0</v>
      </c>
      <c r="O678" t="n">
        <v>0</v>
      </c>
      <c r="P678" t="n">
        <v>0</v>
      </c>
      <c r="Q678" t="n">
        <v>0</v>
      </c>
      <c r="R678" s="2" t="inlineStr"/>
    </row>
    <row r="679" ht="15" customHeight="1">
      <c r="A679" t="inlineStr">
        <is>
          <t>A 17726-2024</t>
        </is>
      </c>
      <c r="B679" s="1" t="n">
        <v>45418.55609953704</v>
      </c>
      <c r="C679" s="1" t="n">
        <v>45940</v>
      </c>
      <c r="D679" t="inlineStr">
        <is>
          <t>DALARNAS LÄN</t>
        </is>
      </c>
      <c r="E679" t="inlineStr">
        <is>
          <t>LEKSAND</t>
        </is>
      </c>
      <c r="G679" t="n">
        <v>5.2</v>
      </c>
      <c r="H679" t="n">
        <v>0</v>
      </c>
      <c r="I679" t="n">
        <v>0</v>
      </c>
      <c r="J679" t="n">
        <v>0</v>
      </c>
      <c r="K679" t="n">
        <v>0</v>
      </c>
      <c r="L679" t="n">
        <v>0</v>
      </c>
      <c r="M679" t="n">
        <v>0</v>
      </c>
      <c r="N679" t="n">
        <v>0</v>
      </c>
      <c r="O679" t="n">
        <v>0</v>
      </c>
      <c r="P679" t="n">
        <v>0</v>
      </c>
      <c r="Q679" t="n">
        <v>0</v>
      </c>
      <c r="R679" s="2" t="inlineStr"/>
    </row>
    <row r="680" ht="15" customHeight="1">
      <c r="A680" t="inlineStr">
        <is>
          <t>A 32-2024</t>
        </is>
      </c>
      <c r="B680" s="1" t="n">
        <v>45293</v>
      </c>
      <c r="C680" s="1" t="n">
        <v>45940</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1719-2024</t>
        </is>
      </c>
      <c r="B681" s="1" t="n">
        <v>45307</v>
      </c>
      <c r="C681" s="1" t="n">
        <v>45940</v>
      </c>
      <c r="D681" t="inlineStr">
        <is>
          <t>DALARNAS LÄN</t>
        </is>
      </c>
      <c r="E681" t="inlineStr">
        <is>
          <t>LEKSAND</t>
        </is>
      </c>
      <c r="G681" t="n">
        <v>2.8</v>
      </c>
      <c r="H681" t="n">
        <v>0</v>
      </c>
      <c r="I681" t="n">
        <v>0</v>
      </c>
      <c r="J681" t="n">
        <v>0</v>
      </c>
      <c r="K681" t="n">
        <v>0</v>
      </c>
      <c r="L681" t="n">
        <v>0</v>
      </c>
      <c r="M681" t="n">
        <v>0</v>
      </c>
      <c r="N681" t="n">
        <v>0</v>
      </c>
      <c r="O681" t="n">
        <v>0</v>
      </c>
      <c r="P681" t="n">
        <v>0</v>
      </c>
      <c r="Q681" t="n">
        <v>0</v>
      </c>
      <c r="R681" s="2" t="inlineStr"/>
    </row>
    <row r="682" ht="15" customHeight="1">
      <c r="A682" t="inlineStr">
        <is>
          <t>A 33463-2023</t>
        </is>
      </c>
      <c r="B682" s="1" t="n">
        <v>45131</v>
      </c>
      <c r="C682" s="1" t="n">
        <v>45940</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5873-2025</t>
        </is>
      </c>
      <c r="B683" s="1" t="n">
        <v>45695.36715277778</v>
      </c>
      <c r="C683" s="1" t="n">
        <v>45940</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30994-2023</t>
        </is>
      </c>
      <c r="B684" s="1" t="n">
        <v>45113</v>
      </c>
      <c r="C684" s="1" t="n">
        <v>45940</v>
      </c>
      <c r="D684" t="inlineStr">
        <is>
          <t>DALARNAS LÄN</t>
        </is>
      </c>
      <c r="E684" t="inlineStr">
        <is>
          <t>LEKSAND</t>
        </is>
      </c>
      <c r="G684" t="n">
        <v>1.1</v>
      </c>
      <c r="H684" t="n">
        <v>0</v>
      </c>
      <c r="I684" t="n">
        <v>0</v>
      </c>
      <c r="J684" t="n">
        <v>0</v>
      </c>
      <c r="K684" t="n">
        <v>0</v>
      </c>
      <c r="L684" t="n">
        <v>0</v>
      </c>
      <c r="M684" t="n">
        <v>0</v>
      </c>
      <c r="N684" t="n">
        <v>0</v>
      </c>
      <c r="O684" t="n">
        <v>0</v>
      </c>
      <c r="P684" t="n">
        <v>0</v>
      </c>
      <c r="Q684" t="n">
        <v>0</v>
      </c>
      <c r="R684" s="2" t="inlineStr"/>
    </row>
    <row r="685" ht="15" customHeight="1">
      <c r="A685" t="inlineStr">
        <is>
          <t>A 33306-2023</t>
        </is>
      </c>
      <c r="B685" s="1" t="n">
        <v>45127</v>
      </c>
      <c r="C685" s="1" t="n">
        <v>45940</v>
      </c>
      <c r="D685" t="inlineStr">
        <is>
          <t>DALARNAS LÄN</t>
        </is>
      </c>
      <c r="E685" t="inlineStr">
        <is>
          <t>LEKSAND</t>
        </is>
      </c>
      <c r="G685" t="n">
        <v>2.2</v>
      </c>
      <c r="H685" t="n">
        <v>0</v>
      </c>
      <c r="I685" t="n">
        <v>0</v>
      </c>
      <c r="J685" t="n">
        <v>0</v>
      </c>
      <c r="K685" t="n">
        <v>0</v>
      </c>
      <c r="L685" t="n">
        <v>0</v>
      </c>
      <c r="M685" t="n">
        <v>0</v>
      </c>
      <c r="N685" t="n">
        <v>0</v>
      </c>
      <c r="O685" t="n">
        <v>0</v>
      </c>
      <c r="P685" t="n">
        <v>0</v>
      </c>
      <c r="Q685" t="n">
        <v>0</v>
      </c>
      <c r="R685" s="2" t="inlineStr"/>
    </row>
    <row r="686" ht="15" customHeight="1">
      <c r="A686" t="inlineStr">
        <is>
          <t>A 33316-2023</t>
        </is>
      </c>
      <c r="B686" s="1" t="n">
        <v>45127</v>
      </c>
      <c r="C686" s="1" t="n">
        <v>45940</v>
      </c>
      <c r="D686" t="inlineStr">
        <is>
          <t>DALARNAS LÄN</t>
        </is>
      </c>
      <c r="E686" t="inlineStr">
        <is>
          <t>LEKSAND</t>
        </is>
      </c>
      <c r="G686" t="n">
        <v>8.9</v>
      </c>
      <c r="H686" t="n">
        <v>0</v>
      </c>
      <c r="I686" t="n">
        <v>0</v>
      </c>
      <c r="J686" t="n">
        <v>0</v>
      </c>
      <c r="K686" t="n">
        <v>0</v>
      </c>
      <c r="L686" t="n">
        <v>0</v>
      </c>
      <c r="M686" t="n">
        <v>0</v>
      </c>
      <c r="N686" t="n">
        <v>0</v>
      </c>
      <c r="O686" t="n">
        <v>0</v>
      </c>
      <c r="P686" t="n">
        <v>0</v>
      </c>
      <c r="Q686" t="n">
        <v>0</v>
      </c>
      <c r="R686" s="2" t="inlineStr"/>
    </row>
    <row r="687" ht="15" customHeight="1">
      <c r="A687" t="inlineStr">
        <is>
          <t>A 37832-2023</t>
        </is>
      </c>
      <c r="B687" s="1" t="n">
        <v>45160.3479050926</v>
      </c>
      <c r="C687" s="1" t="n">
        <v>45940</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19296-2024</t>
        </is>
      </c>
      <c r="B688" s="1" t="n">
        <v>45428.69438657408</v>
      </c>
      <c r="C688" s="1" t="n">
        <v>45940</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55516-2024</t>
        </is>
      </c>
      <c r="B689" s="1" t="n">
        <v>45621</v>
      </c>
      <c r="C689" s="1" t="n">
        <v>45940</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9143-2023</t>
        </is>
      </c>
      <c r="B690" s="1" t="n">
        <v>44974</v>
      </c>
      <c r="C690" s="1" t="n">
        <v>45940</v>
      </c>
      <c r="D690" t="inlineStr">
        <is>
          <t>DALARNAS LÄN</t>
        </is>
      </c>
      <c r="E690" t="inlineStr">
        <is>
          <t>LEKSAND</t>
        </is>
      </c>
      <c r="G690" t="n">
        <v>4.3</v>
      </c>
      <c r="H690" t="n">
        <v>0</v>
      </c>
      <c r="I690" t="n">
        <v>0</v>
      </c>
      <c r="J690" t="n">
        <v>0</v>
      </c>
      <c r="K690" t="n">
        <v>0</v>
      </c>
      <c r="L690" t="n">
        <v>0</v>
      </c>
      <c r="M690" t="n">
        <v>0</v>
      </c>
      <c r="N690" t="n">
        <v>0</v>
      </c>
      <c r="O690" t="n">
        <v>0</v>
      </c>
      <c r="P690" t="n">
        <v>0</v>
      </c>
      <c r="Q690" t="n">
        <v>0</v>
      </c>
      <c r="R690" s="2" t="inlineStr"/>
    </row>
    <row r="691" ht="15" customHeight="1">
      <c r="A691" t="inlineStr">
        <is>
          <t>A 12992-2022</t>
        </is>
      </c>
      <c r="B691" s="1" t="n">
        <v>44643</v>
      </c>
      <c r="C691" s="1" t="n">
        <v>45940</v>
      </c>
      <c r="D691" t="inlineStr">
        <is>
          <t>DALARNAS LÄN</t>
        </is>
      </c>
      <c r="E691" t="inlineStr">
        <is>
          <t>LEKSAND</t>
        </is>
      </c>
      <c r="G691" t="n">
        <v>1.5</v>
      </c>
      <c r="H691" t="n">
        <v>0</v>
      </c>
      <c r="I691" t="n">
        <v>0</v>
      </c>
      <c r="J691" t="n">
        <v>0</v>
      </c>
      <c r="K691" t="n">
        <v>0</v>
      </c>
      <c r="L691" t="n">
        <v>0</v>
      </c>
      <c r="M691" t="n">
        <v>0</v>
      </c>
      <c r="N691" t="n">
        <v>0</v>
      </c>
      <c r="O691" t="n">
        <v>0</v>
      </c>
      <c r="P691" t="n">
        <v>0</v>
      </c>
      <c r="Q691" t="n">
        <v>0</v>
      </c>
      <c r="R691" s="2" t="inlineStr"/>
    </row>
    <row r="692" ht="15" customHeight="1">
      <c r="A692" t="inlineStr">
        <is>
          <t>A 33310-2023</t>
        </is>
      </c>
      <c r="B692" s="1" t="n">
        <v>45127.82231481482</v>
      </c>
      <c r="C692" s="1" t="n">
        <v>45940</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46405-2025</t>
        </is>
      </c>
      <c r="B693" s="1" t="n">
        <v>45925.56306712963</v>
      </c>
      <c r="C693" s="1" t="n">
        <v>45940</v>
      </c>
      <c r="D693" t="inlineStr">
        <is>
          <t>DALARNAS LÄN</t>
        </is>
      </c>
      <c r="E693" t="inlineStr">
        <is>
          <t>LEKSAND</t>
        </is>
      </c>
      <c r="G693" t="n">
        <v>5.7</v>
      </c>
      <c r="H693" t="n">
        <v>0</v>
      </c>
      <c r="I693" t="n">
        <v>0</v>
      </c>
      <c r="J693" t="n">
        <v>0</v>
      </c>
      <c r="K693" t="n">
        <v>0</v>
      </c>
      <c r="L693" t="n">
        <v>0</v>
      </c>
      <c r="M693" t="n">
        <v>0</v>
      </c>
      <c r="N693" t="n">
        <v>0</v>
      </c>
      <c r="O693" t="n">
        <v>0</v>
      </c>
      <c r="P693" t="n">
        <v>0</v>
      </c>
      <c r="Q693" t="n">
        <v>0</v>
      </c>
      <c r="R693" s="2" t="inlineStr"/>
    </row>
    <row r="694" ht="15" customHeight="1">
      <c r="A694" t="inlineStr">
        <is>
          <t>A 46483-2025</t>
        </is>
      </c>
      <c r="B694" s="1" t="n">
        <v>45925.70248842592</v>
      </c>
      <c r="C694" s="1" t="n">
        <v>45940</v>
      </c>
      <c r="D694" t="inlineStr">
        <is>
          <t>DALARNAS LÄN</t>
        </is>
      </c>
      <c r="E694" t="inlineStr">
        <is>
          <t>LEKSAND</t>
        </is>
      </c>
      <c r="G694" t="n">
        <v>3.6</v>
      </c>
      <c r="H694" t="n">
        <v>0</v>
      </c>
      <c r="I694" t="n">
        <v>0</v>
      </c>
      <c r="J694" t="n">
        <v>0</v>
      </c>
      <c r="K694" t="n">
        <v>0</v>
      </c>
      <c r="L694" t="n">
        <v>0</v>
      </c>
      <c r="M694" t="n">
        <v>0</v>
      </c>
      <c r="N694" t="n">
        <v>0</v>
      </c>
      <c r="O694" t="n">
        <v>0</v>
      </c>
      <c r="P694" t="n">
        <v>0</v>
      </c>
      <c r="Q694" t="n">
        <v>0</v>
      </c>
      <c r="R694" s="2" t="inlineStr"/>
    </row>
    <row r="695" ht="15" customHeight="1">
      <c r="A695" t="inlineStr">
        <is>
          <t>A 54844-2021</t>
        </is>
      </c>
      <c r="B695" s="1" t="n">
        <v>44474.30614583333</v>
      </c>
      <c r="C695" s="1" t="n">
        <v>45940</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43830-2025</t>
        </is>
      </c>
      <c r="B696" s="1" t="n">
        <v>45912</v>
      </c>
      <c r="C696" s="1" t="n">
        <v>45940</v>
      </c>
      <c r="D696" t="inlineStr">
        <is>
          <t>DALARNAS LÄN</t>
        </is>
      </c>
      <c r="E696" t="inlineStr">
        <is>
          <t>LEKSAND</t>
        </is>
      </c>
      <c r="F696" t="inlineStr">
        <is>
          <t>Bergvik skog väst AB</t>
        </is>
      </c>
      <c r="G696" t="n">
        <v>3.1</v>
      </c>
      <c r="H696" t="n">
        <v>0</v>
      </c>
      <c r="I696" t="n">
        <v>0</v>
      </c>
      <c r="J696" t="n">
        <v>0</v>
      </c>
      <c r="K696" t="n">
        <v>0</v>
      </c>
      <c r="L696" t="n">
        <v>0</v>
      </c>
      <c r="M696" t="n">
        <v>0</v>
      </c>
      <c r="N696" t="n">
        <v>0</v>
      </c>
      <c r="O696" t="n">
        <v>0</v>
      </c>
      <c r="P696" t="n">
        <v>0</v>
      </c>
      <c r="Q696" t="n">
        <v>0</v>
      </c>
      <c r="R696" s="2" t="inlineStr"/>
    </row>
    <row r="697" ht="15" customHeight="1">
      <c r="A697" t="inlineStr">
        <is>
          <t>A 471-2025</t>
        </is>
      </c>
      <c r="B697" s="1" t="n">
        <v>45664.43394675926</v>
      </c>
      <c r="C697" s="1" t="n">
        <v>45940</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23892-2025</t>
        </is>
      </c>
      <c r="B698" s="1" t="n">
        <v>45793</v>
      </c>
      <c r="C698" s="1" t="n">
        <v>45940</v>
      </c>
      <c r="D698" t="inlineStr">
        <is>
          <t>DALARNAS LÄN</t>
        </is>
      </c>
      <c r="E698" t="inlineStr">
        <is>
          <t>LEKSAND</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8211-2023</t>
        </is>
      </c>
      <c r="B699" s="1" t="n">
        <v>44974</v>
      </c>
      <c r="C699" s="1" t="n">
        <v>45940</v>
      </c>
      <c r="D699" t="inlineStr">
        <is>
          <t>DALARNAS LÄN</t>
        </is>
      </c>
      <c r="E699" t="inlineStr">
        <is>
          <t>LEKSAND</t>
        </is>
      </c>
      <c r="G699" t="n">
        <v>5.2</v>
      </c>
      <c r="H699" t="n">
        <v>0</v>
      </c>
      <c r="I699" t="n">
        <v>0</v>
      </c>
      <c r="J699" t="n">
        <v>0</v>
      </c>
      <c r="K699" t="n">
        <v>0</v>
      </c>
      <c r="L699" t="n">
        <v>0</v>
      </c>
      <c r="M699" t="n">
        <v>0</v>
      </c>
      <c r="N699" t="n">
        <v>0</v>
      </c>
      <c r="O699" t="n">
        <v>0</v>
      </c>
      <c r="P699" t="n">
        <v>0</v>
      </c>
      <c r="Q699" t="n">
        <v>0</v>
      </c>
      <c r="R699" s="2" t="inlineStr"/>
    </row>
    <row r="700" ht="15" customHeight="1">
      <c r="A700" t="inlineStr">
        <is>
          <t>A 38090-2025</t>
        </is>
      </c>
      <c r="B700" s="1" t="n">
        <v>45882.48440972222</v>
      </c>
      <c r="C700" s="1" t="n">
        <v>45940</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43888-2025</t>
        </is>
      </c>
      <c r="B701" s="1" t="n">
        <v>45912</v>
      </c>
      <c r="C701" s="1" t="n">
        <v>45940</v>
      </c>
      <c r="D701" t="inlineStr">
        <is>
          <t>DALARNAS LÄN</t>
        </is>
      </c>
      <c r="E701" t="inlineStr">
        <is>
          <t>LEKSAND</t>
        </is>
      </c>
      <c r="F701" t="inlineStr">
        <is>
          <t>Bergvik skog väst AB</t>
        </is>
      </c>
      <c r="G701" t="n">
        <v>1.6</v>
      </c>
      <c r="H701" t="n">
        <v>0</v>
      </c>
      <c r="I701" t="n">
        <v>0</v>
      </c>
      <c r="J701" t="n">
        <v>0</v>
      </c>
      <c r="K701" t="n">
        <v>0</v>
      </c>
      <c r="L701" t="n">
        <v>0</v>
      </c>
      <c r="M701" t="n">
        <v>0</v>
      </c>
      <c r="N701" t="n">
        <v>0</v>
      </c>
      <c r="O701" t="n">
        <v>0</v>
      </c>
      <c r="P701" t="n">
        <v>0</v>
      </c>
      <c r="Q701" t="n">
        <v>0</v>
      </c>
      <c r="R701" s="2" t="inlineStr"/>
    </row>
    <row r="702" ht="15" customHeight="1">
      <c r="A702" t="inlineStr">
        <is>
          <t>A 52293-2024</t>
        </is>
      </c>
      <c r="B702" s="1" t="n">
        <v>45608.71297453704</v>
      </c>
      <c r="C702" s="1" t="n">
        <v>45940</v>
      </c>
      <c r="D702" t="inlineStr">
        <is>
          <t>DALARNAS LÄN</t>
        </is>
      </c>
      <c r="E702" t="inlineStr">
        <is>
          <t>LEKSAND</t>
        </is>
      </c>
      <c r="G702" t="n">
        <v>1.6</v>
      </c>
      <c r="H702" t="n">
        <v>0</v>
      </c>
      <c r="I702" t="n">
        <v>0</v>
      </c>
      <c r="J702" t="n">
        <v>0</v>
      </c>
      <c r="K702" t="n">
        <v>0</v>
      </c>
      <c r="L702" t="n">
        <v>0</v>
      </c>
      <c r="M702" t="n">
        <v>0</v>
      </c>
      <c r="N702" t="n">
        <v>0</v>
      </c>
      <c r="O702" t="n">
        <v>0</v>
      </c>
      <c r="P702" t="n">
        <v>0</v>
      </c>
      <c r="Q702" t="n">
        <v>0</v>
      </c>
      <c r="R702" s="2" t="inlineStr"/>
    </row>
    <row r="703" ht="15" customHeight="1">
      <c r="A703" t="inlineStr">
        <is>
          <t>A 1182-2025</t>
        </is>
      </c>
      <c r="B703" s="1" t="n">
        <v>45667.35712962963</v>
      </c>
      <c r="C703" s="1" t="n">
        <v>45940</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50447-2023</t>
        </is>
      </c>
      <c r="B704" s="1" t="n">
        <v>45216.72185185185</v>
      </c>
      <c r="C704" s="1" t="n">
        <v>45940</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46876-2023</t>
        </is>
      </c>
      <c r="B705" s="1" t="n">
        <v>45200</v>
      </c>
      <c r="C705" s="1" t="n">
        <v>45940</v>
      </c>
      <c r="D705" t="inlineStr">
        <is>
          <t>DALARNAS LÄN</t>
        </is>
      </c>
      <c r="E705" t="inlineStr">
        <is>
          <t>LEKSAND</t>
        </is>
      </c>
      <c r="G705" t="n">
        <v>2.4</v>
      </c>
      <c r="H705" t="n">
        <v>0</v>
      </c>
      <c r="I705" t="n">
        <v>0</v>
      </c>
      <c r="J705" t="n">
        <v>0</v>
      </c>
      <c r="K705" t="n">
        <v>0</v>
      </c>
      <c r="L705" t="n">
        <v>0</v>
      </c>
      <c r="M705" t="n">
        <v>0</v>
      </c>
      <c r="N705" t="n">
        <v>0</v>
      </c>
      <c r="O705" t="n">
        <v>0</v>
      </c>
      <c r="P705" t="n">
        <v>0</v>
      </c>
      <c r="Q705" t="n">
        <v>0</v>
      </c>
      <c r="R705" s="2" t="inlineStr"/>
    </row>
    <row r="706" ht="15" customHeight="1">
      <c r="A706" t="inlineStr">
        <is>
          <t>A 55512-2024</t>
        </is>
      </c>
      <c r="B706" s="1" t="n">
        <v>45621</v>
      </c>
      <c r="C706" s="1" t="n">
        <v>45940</v>
      </c>
      <c r="D706" t="inlineStr">
        <is>
          <t>DALARNAS LÄN</t>
        </is>
      </c>
      <c r="E706" t="inlineStr">
        <is>
          <t>LEKSAND</t>
        </is>
      </c>
      <c r="G706" t="n">
        <v>1.5</v>
      </c>
      <c r="H706" t="n">
        <v>0</v>
      </c>
      <c r="I706" t="n">
        <v>0</v>
      </c>
      <c r="J706" t="n">
        <v>0</v>
      </c>
      <c r="K706" t="n">
        <v>0</v>
      </c>
      <c r="L706" t="n">
        <v>0</v>
      </c>
      <c r="M706" t="n">
        <v>0</v>
      </c>
      <c r="N706" t="n">
        <v>0</v>
      </c>
      <c r="O706" t="n">
        <v>0</v>
      </c>
      <c r="P706" t="n">
        <v>0</v>
      </c>
      <c r="Q706" t="n">
        <v>0</v>
      </c>
      <c r="R706" s="2" t="inlineStr"/>
    </row>
    <row r="707" ht="15" customHeight="1">
      <c r="A707" t="inlineStr">
        <is>
          <t>A 43470-2024</t>
        </is>
      </c>
      <c r="B707" s="1" t="n">
        <v>45568</v>
      </c>
      <c r="C707" s="1" t="n">
        <v>45940</v>
      </c>
      <c r="D707" t="inlineStr">
        <is>
          <t>DALARNAS LÄN</t>
        </is>
      </c>
      <c r="E707" t="inlineStr">
        <is>
          <t>LEKSAND</t>
        </is>
      </c>
      <c r="G707" t="n">
        <v>3.1</v>
      </c>
      <c r="H707" t="n">
        <v>0</v>
      </c>
      <c r="I707" t="n">
        <v>0</v>
      </c>
      <c r="J707" t="n">
        <v>0</v>
      </c>
      <c r="K707" t="n">
        <v>0</v>
      </c>
      <c r="L707" t="n">
        <v>0</v>
      </c>
      <c r="M707" t="n">
        <v>0</v>
      </c>
      <c r="N707" t="n">
        <v>0</v>
      </c>
      <c r="O707" t="n">
        <v>0</v>
      </c>
      <c r="P707" t="n">
        <v>0</v>
      </c>
      <c r="Q707" t="n">
        <v>0</v>
      </c>
      <c r="R707" s="2" t="inlineStr"/>
    </row>
    <row r="708" ht="15" customHeight="1">
      <c r="A708" t="inlineStr">
        <is>
          <t>A 11606-2025</t>
        </is>
      </c>
      <c r="B708" s="1" t="n">
        <v>45727</v>
      </c>
      <c r="C708" s="1" t="n">
        <v>45940</v>
      </c>
      <c r="D708" t="inlineStr">
        <is>
          <t>DALARNAS LÄN</t>
        </is>
      </c>
      <c r="E708" t="inlineStr">
        <is>
          <t>LEKSAND</t>
        </is>
      </c>
      <c r="G708" t="n">
        <v>2.3</v>
      </c>
      <c r="H708" t="n">
        <v>0</v>
      </c>
      <c r="I708" t="n">
        <v>0</v>
      </c>
      <c r="J708" t="n">
        <v>0</v>
      </c>
      <c r="K708" t="n">
        <v>0</v>
      </c>
      <c r="L708" t="n">
        <v>0</v>
      </c>
      <c r="M708" t="n">
        <v>0</v>
      </c>
      <c r="N708" t="n">
        <v>0</v>
      </c>
      <c r="O708" t="n">
        <v>0</v>
      </c>
      <c r="P708" t="n">
        <v>0</v>
      </c>
      <c r="Q708" t="n">
        <v>0</v>
      </c>
      <c r="R708" s="2" t="inlineStr"/>
    </row>
    <row r="709" ht="15" customHeight="1">
      <c r="A709" t="inlineStr">
        <is>
          <t>A 22683-2022</t>
        </is>
      </c>
      <c r="B709" s="1" t="n">
        <v>44714</v>
      </c>
      <c r="C709" s="1" t="n">
        <v>45940</v>
      </c>
      <c r="D709" t="inlineStr">
        <is>
          <t>DALARNAS LÄN</t>
        </is>
      </c>
      <c r="E709" t="inlineStr">
        <is>
          <t>LEKSAND</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13161-2024</t>
        </is>
      </c>
      <c r="B710" s="1" t="n">
        <v>45386.38972222222</v>
      </c>
      <c r="C710" s="1" t="n">
        <v>45940</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61208-2023</t>
        </is>
      </c>
      <c r="B711" s="1" t="n">
        <v>45260</v>
      </c>
      <c r="C711" s="1" t="n">
        <v>45940</v>
      </c>
      <c r="D711" t="inlineStr">
        <is>
          <t>DALARNAS LÄN</t>
        </is>
      </c>
      <c r="E711" t="inlineStr">
        <is>
          <t>LEKSAND</t>
        </is>
      </c>
      <c r="G711" t="n">
        <v>1.7</v>
      </c>
      <c r="H711" t="n">
        <v>0</v>
      </c>
      <c r="I711" t="n">
        <v>0</v>
      </c>
      <c r="J711" t="n">
        <v>0</v>
      </c>
      <c r="K711" t="n">
        <v>0</v>
      </c>
      <c r="L711" t="n">
        <v>0</v>
      </c>
      <c r="M711" t="n">
        <v>0</v>
      </c>
      <c r="N711" t="n">
        <v>0</v>
      </c>
      <c r="O711" t="n">
        <v>0</v>
      </c>
      <c r="P711" t="n">
        <v>0</v>
      </c>
      <c r="Q711" t="n">
        <v>0</v>
      </c>
      <c r="R711" s="2" t="inlineStr"/>
    </row>
    <row r="712" ht="15" customHeight="1">
      <c r="A712" t="inlineStr">
        <is>
          <t>A 26062-2024</t>
        </is>
      </c>
      <c r="B712" s="1" t="n">
        <v>45468.3509375</v>
      </c>
      <c r="C712" s="1" t="n">
        <v>45940</v>
      </c>
      <c r="D712" t="inlineStr">
        <is>
          <t>DALARNAS LÄN</t>
        </is>
      </c>
      <c r="E712" t="inlineStr">
        <is>
          <t>LEKSAND</t>
        </is>
      </c>
      <c r="F712" t="inlineStr">
        <is>
          <t>Övriga statliga verk och myndigheter</t>
        </is>
      </c>
      <c r="G712" t="n">
        <v>6.4</v>
      </c>
      <c r="H712" t="n">
        <v>0</v>
      </c>
      <c r="I712" t="n">
        <v>0</v>
      </c>
      <c r="J712" t="n">
        <v>0</v>
      </c>
      <c r="K712" t="n">
        <v>0</v>
      </c>
      <c r="L712" t="n">
        <v>0</v>
      </c>
      <c r="M712" t="n">
        <v>0</v>
      </c>
      <c r="N712" t="n">
        <v>0</v>
      </c>
      <c r="O712" t="n">
        <v>0</v>
      </c>
      <c r="P712" t="n">
        <v>0</v>
      </c>
      <c r="Q712" t="n">
        <v>0</v>
      </c>
      <c r="R712" s="2" t="inlineStr"/>
    </row>
    <row r="713" ht="15" customHeight="1">
      <c r="A713" t="inlineStr">
        <is>
          <t>A 22517-2024</t>
        </is>
      </c>
      <c r="B713" s="1" t="n">
        <v>45447.40143518519</v>
      </c>
      <c r="C713" s="1" t="n">
        <v>45940</v>
      </c>
      <c r="D713" t="inlineStr">
        <is>
          <t>DALARNAS LÄN</t>
        </is>
      </c>
      <c r="E713" t="inlineStr">
        <is>
          <t>LEKSAND</t>
        </is>
      </c>
      <c r="G713" t="n">
        <v>0.4</v>
      </c>
      <c r="H713" t="n">
        <v>0</v>
      </c>
      <c r="I713" t="n">
        <v>0</v>
      </c>
      <c r="J713" t="n">
        <v>0</v>
      </c>
      <c r="K713" t="n">
        <v>0</v>
      </c>
      <c r="L713" t="n">
        <v>0</v>
      </c>
      <c r="M713" t="n">
        <v>0</v>
      </c>
      <c r="N713" t="n">
        <v>0</v>
      </c>
      <c r="O713" t="n">
        <v>0</v>
      </c>
      <c r="P713" t="n">
        <v>0</v>
      </c>
      <c r="Q713" t="n">
        <v>0</v>
      </c>
      <c r="R713" s="2" t="inlineStr"/>
    </row>
    <row r="714" ht="15" customHeight="1">
      <c r="A714" t="inlineStr">
        <is>
          <t>A 61953-2023</t>
        </is>
      </c>
      <c r="B714" s="1" t="n">
        <v>45266</v>
      </c>
      <c r="C714" s="1" t="n">
        <v>45940</v>
      </c>
      <c r="D714" t="inlineStr">
        <is>
          <t>DALARNAS LÄN</t>
        </is>
      </c>
      <c r="E714" t="inlineStr">
        <is>
          <t>LEKSAND</t>
        </is>
      </c>
      <c r="G714" t="n">
        <v>0.1</v>
      </c>
      <c r="H714" t="n">
        <v>0</v>
      </c>
      <c r="I714" t="n">
        <v>0</v>
      </c>
      <c r="J714" t="n">
        <v>0</v>
      </c>
      <c r="K714" t="n">
        <v>0</v>
      </c>
      <c r="L714" t="n">
        <v>0</v>
      </c>
      <c r="M714" t="n">
        <v>0</v>
      </c>
      <c r="N714" t="n">
        <v>0</v>
      </c>
      <c r="O714" t="n">
        <v>0</v>
      </c>
      <c r="P714" t="n">
        <v>0</v>
      </c>
      <c r="Q714" t="n">
        <v>0</v>
      </c>
      <c r="R714" s="2" t="inlineStr"/>
    </row>
    <row r="715" ht="15" customHeight="1">
      <c r="A715" t="inlineStr">
        <is>
          <t>A 16815-2025</t>
        </is>
      </c>
      <c r="B715" s="1" t="n">
        <v>45754</v>
      </c>
      <c r="C715" s="1" t="n">
        <v>45940</v>
      </c>
      <c r="D715" t="inlineStr">
        <is>
          <t>DALARNAS LÄN</t>
        </is>
      </c>
      <c r="E715" t="inlineStr">
        <is>
          <t>LEKSAND</t>
        </is>
      </c>
      <c r="G715" t="n">
        <v>2.8</v>
      </c>
      <c r="H715" t="n">
        <v>0</v>
      </c>
      <c r="I715" t="n">
        <v>0</v>
      </c>
      <c r="J715" t="n">
        <v>0</v>
      </c>
      <c r="K715" t="n">
        <v>0</v>
      </c>
      <c r="L715" t="n">
        <v>0</v>
      </c>
      <c r="M715" t="n">
        <v>0</v>
      </c>
      <c r="N715" t="n">
        <v>0</v>
      </c>
      <c r="O715" t="n">
        <v>0</v>
      </c>
      <c r="P715" t="n">
        <v>0</v>
      </c>
      <c r="Q715" t="n">
        <v>0</v>
      </c>
      <c r="R715" s="2" t="inlineStr"/>
    </row>
    <row r="716" ht="15" customHeight="1">
      <c r="A716" t="inlineStr">
        <is>
          <t>A 16854-2025</t>
        </is>
      </c>
      <c r="B716" s="1" t="n">
        <v>45754.72883101852</v>
      </c>
      <c r="C716" s="1" t="n">
        <v>45940</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62133-2023</t>
        </is>
      </c>
      <c r="B717" s="1" t="n">
        <v>45267.35582175926</v>
      </c>
      <c r="C717" s="1" t="n">
        <v>45940</v>
      </c>
      <c r="D717" t="inlineStr">
        <is>
          <t>DALARNAS LÄN</t>
        </is>
      </c>
      <c r="E717" t="inlineStr">
        <is>
          <t>LEKSAND</t>
        </is>
      </c>
      <c r="G717" t="n">
        <v>1.3</v>
      </c>
      <c r="H717" t="n">
        <v>0</v>
      </c>
      <c r="I717" t="n">
        <v>0</v>
      </c>
      <c r="J717" t="n">
        <v>0</v>
      </c>
      <c r="K717" t="n">
        <v>0</v>
      </c>
      <c r="L717" t="n">
        <v>0</v>
      </c>
      <c r="M717" t="n">
        <v>0</v>
      </c>
      <c r="N717" t="n">
        <v>0</v>
      </c>
      <c r="O717" t="n">
        <v>0</v>
      </c>
      <c r="P717" t="n">
        <v>0</v>
      </c>
      <c r="Q717" t="n">
        <v>0</v>
      </c>
      <c r="R717" s="2" t="inlineStr"/>
    </row>
    <row r="718" ht="15" customHeight="1">
      <c r="A718" t="inlineStr">
        <is>
          <t>A 40009-2024</t>
        </is>
      </c>
      <c r="B718" s="1" t="n">
        <v>45553.65361111111</v>
      </c>
      <c r="C718" s="1" t="n">
        <v>45940</v>
      </c>
      <c r="D718" t="inlineStr">
        <is>
          <t>DALARNAS LÄN</t>
        </is>
      </c>
      <c r="E718" t="inlineStr">
        <is>
          <t>LEKSAND</t>
        </is>
      </c>
      <c r="F718" t="inlineStr">
        <is>
          <t>Bergvik skog väst AB</t>
        </is>
      </c>
      <c r="G718" t="n">
        <v>3</v>
      </c>
      <c r="H718" t="n">
        <v>0</v>
      </c>
      <c r="I718" t="n">
        <v>0</v>
      </c>
      <c r="J718" t="n">
        <v>0</v>
      </c>
      <c r="K718" t="n">
        <v>0</v>
      </c>
      <c r="L718" t="n">
        <v>0</v>
      </c>
      <c r="M718" t="n">
        <v>0</v>
      </c>
      <c r="N718" t="n">
        <v>0</v>
      </c>
      <c r="O718" t="n">
        <v>0</v>
      </c>
      <c r="P718" t="n">
        <v>0</v>
      </c>
      <c r="Q718" t="n">
        <v>0</v>
      </c>
      <c r="R718" s="2" t="inlineStr"/>
    </row>
    <row r="719" ht="15" customHeight="1">
      <c r="A719" t="inlineStr">
        <is>
          <t>A 10967-2023</t>
        </is>
      </c>
      <c r="B719" s="1" t="n">
        <v>44991.58001157407</v>
      </c>
      <c r="C719" s="1" t="n">
        <v>45940</v>
      </c>
      <c r="D719" t="inlineStr">
        <is>
          <t>DALARNAS LÄN</t>
        </is>
      </c>
      <c r="E719" t="inlineStr">
        <is>
          <t>LEKSAND</t>
        </is>
      </c>
      <c r="G719" t="n">
        <v>0.5</v>
      </c>
      <c r="H719" t="n">
        <v>0</v>
      </c>
      <c r="I719" t="n">
        <v>0</v>
      </c>
      <c r="J719" t="n">
        <v>0</v>
      </c>
      <c r="K719" t="n">
        <v>0</v>
      </c>
      <c r="L719" t="n">
        <v>0</v>
      </c>
      <c r="M719" t="n">
        <v>0</v>
      </c>
      <c r="N719" t="n">
        <v>0</v>
      </c>
      <c r="O719" t="n">
        <v>0</v>
      </c>
      <c r="P719" t="n">
        <v>0</v>
      </c>
      <c r="Q719" t="n">
        <v>0</v>
      </c>
      <c r="R719" s="2" t="inlineStr"/>
    </row>
    <row r="720" ht="15" customHeight="1">
      <c r="A720" t="inlineStr">
        <is>
          <t>A 10974-2023</t>
        </is>
      </c>
      <c r="B720" s="1" t="n">
        <v>44991.59049768518</v>
      </c>
      <c r="C720" s="1" t="n">
        <v>45940</v>
      </c>
      <c r="D720" t="inlineStr">
        <is>
          <t>DALARNAS LÄN</t>
        </is>
      </c>
      <c r="E720" t="inlineStr">
        <is>
          <t>LEKSAND</t>
        </is>
      </c>
      <c r="G720" t="n">
        <v>0.3</v>
      </c>
      <c r="H720" t="n">
        <v>0</v>
      </c>
      <c r="I720" t="n">
        <v>0</v>
      </c>
      <c r="J720" t="n">
        <v>0</v>
      </c>
      <c r="K720" t="n">
        <v>0</v>
      </c>
      <c r="L720" t="n">
        <v>0</v>
      </c>
      <c r="M720" t="n">
        <v>0</v>
      </c>
      <c r="N720" t="n">
        <v>0</v>
      </c>
      <c r="O720" t="n">
        <v>0</v>
      </c>
      <c r="P720" t="n">
        <v>0</v>
      </c>
      <c r="Q720" t="n">
        <v>0</v>
      </c>
      <c r="R720" s="2" t="inlineStr"/>
    </row>
    <row r="721">
      <c r="A721" t="inlineStr">
        <is>
          <t>A 47203-2023</t>
        </is>
      </c>
      <c r="B721" s="1" t="n">
        <v>45202</v>
      </c>
      <c r="C721" s="1" t="n">
        <v>45940</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2025-10-10T12:38:38Z</dcterms:created>
  <dcterms:modified xmlns:dcterms="http://purl.org/dc/terms/" xmlns:xsi="http://www.w3.org/2001/XMLSchema-instance" xsi:type="dcterms:W3CDTF">2025-10-10T12:38:39Z</dcterms:modified>
</cp:coreProperties>
</file>