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45627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45627</v>
      </c>
      <c r="D3" t="inlineStr">
        <is>
          <t>DALARNAS LÄN</t>
        </is>
      </c>
      <c r="E3" t="inlineStr">
        <is>
          <t>LEKSAND</t>
        </is>
      </c>
      <c r="G3" t="n">
        <v>6</v>
      </c>
      <c r="H3" t="n">
        <v>10</v>
      </c>
      <c r="I3" t="n">
        <v>8</v>
      </c>
      <c r="J3" t="n">
        <v>9</v>
      </c>
      <c r="K3" t="n">
        <v>3</v>
      </c>
      <c r="L3" t="n">
        <v>0</v>
      </c>
      <c r="M3" t="n">
        <v>0</v>
      </c>
      <c r="N3" t="n">
        <v>0</v>
      </c>
      <c r="O3" t="n">
        <v>12</v>
      </c>
      <c r="P3" t="n">
        <v>3</v>
      </c>
      <c r="Q3" t="n">
        <v>24</v>
      </c>
      <c r="R3"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45627</v>
      </c>
      <c r="D4" t="inlineStr">
        <is>
          <t>DALARNAS LÄN</t>
        </is>
      </c>
      <c r="E4" t="inlineStr">
        <is>
          <t>LEKSAND</t>
        </is>
      </c>
      <c r="G4" t="n">
        <v>24.8</v>
      </c>
      <c r="H4" t="n">
        <v>11</v>
      </c>
      <c r="I4" t="n">
        <v>6</v>
      </c>
      <c r="J4" t="n">
        <v>10</v>
      </c>
      <c r="K4" t="n">
        <v>1</v>
      </c>
      <c r="L4" t="n">
        <v>0</v>
      </c>
      <c r="M4" t="n">
        <v>0</v>
      </c>
      <c r="N4" t="n">
        <v>0</v>
      </c>
      <c r="O4" t="n">
        <v>11</v>
      </c>
      <c r="P4" t="n">
        <v>1</v>
      </c>
      <c r="Q4" t="n">
        <v>22</v>
      </c>
      <c r="R4" s="2" t="inlineStr">
        <is>
          <t>Knärot
Garnlav
Järpe
Luddfingersvamp
Mindre hackspett
Motaggsvamp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50245-2024</t>
        </is>
      </c>
      <c r="B5" s="1" t="n">
        <v>45600</v>
      </c>
      <c r="C5" s="1" t="n">
        <v>45627</v>
      </c>
      <c r="D5" t="inlineStr">
        <is>
          <t>DALARNAS LÄN</t>
        </is>
      </c>
      <c r="E5" t="inlineStr">
        <is>
          <t>LEKSAND</t>
        </is>
      </c>
      <c r="F5" t="inlineStr">
        <is>
          <t>Övriga statliga verk och myndigheter</t>
        </is>
      </c>
      <c r="G5" t="n">
        <v>2.5</v>
      </c>
      <c r="H5" t="n">
        <v>2</v>
      </c>
      <c r="I5" t="n">
        <v>2</v>
      </c>
      <c r="J5" t="n">
        <v>7</v>
      </c>
      <c r="K5" t="n">
        <v>2</v>
      </c>
      <c r="L5" t="n">
        <v>0</v>
      </c>
      <c r="M5" t="n">
        <v>0</v>
      </c>
      <c r="N5" t="n">
        <v>0</v>
      </c>
      <c r="O5" t="n">
        <v>9</v>
      </c>
      <c r="P5" t="n">
        <v>2</v>
      </c>
      <c r="Q5" t="n">
        <v>12</v>
      </c>
      <c r="R5" s="2" t="inlineStr">
        <is>
          <t>Olivinkremla
Rynkskinn
Granticka
Gränsticka
Rosenticka
Spillkråka
Stjärntagging
Ullticka
Vedtrappmossa
Bronshjon
Vedticka
Blåsippa</t>
        </is>
      </c>
      <c r="S5">
        <f>HYPERLINK("https://klasma.github.io/Logging_2029/artfynd/A 50245-2024 artfynd.xlsx", "A 50245-2024")</f>
        <v/>
      </c>
      <c r="T5">
        <f>HYPERLINK("https://klasma.github.io/Logging_2029/kartor/A 50245-2024 karta.png", "A 50245-2024")</f>
        <v/>
      </c>
      <c r="V5">
        <f>HYPERLINK("https://klasma.github.io/Logging_2029/klagomål/A 50245-2024 FSC-klagomål.docx", "A 50245-2024")</f>
        <v/>
      </c>
      <c r="W5">
        <f>HYPERLINK("https://klasma.github.io/Logging_2029/klagomålsmail/A 50245-2024 FSC-klagomål mail.docx", "A 50245-2024")</f>
        <v/>
      </c>
      <c r="X5">
        <f>HYPERLINK("https://klasma.github.io/Logging_2029/tillsyn/A 50245-2024 tillsynsbegäran.docx", "A 50245-2024")</f>
        <v/>
      </c>
      <c r="Y5">
        <f>HYPERLINK("https://klasma.github.io/Logging_2029/tillsynsmail/A 50245-2024 tillsynsbegäran mail.docx", "A 50245-2024")</f>
        <v/>
      </c>
      <c r="Z5">
        <f>HYPERLINK("https://klasma.github.io/Logging_2029/fåglar/A 50245-2024 prioriterade fågelarter.docx", "A 50245-2024")</f>
        <v/>
      </c>
    </row>
    <row r="6" ht="15" customHeight="1">
      <c r="A6" t="inlineStr">
        <is>
          <t>A 61373-2019</t>
        </is>
      </c>
      <c r="B6" s="1" t="n">
        <v>43783</v>
      </c>
      <c r="C6" s="1" t="n">
        <v>45627</v>
      </c>
      <c r="D6" t="inlineStr">
        <is>
          <t>DALARNAS LÄN</t>
        </is>
      </c>
      <c r="E6" t="inlineStr">
        <is>
          <t>LEKSAND</t>
        </is>
      </c>
      <c r="F6" t="inlineStr">
        <is>
          <t>Bergvik skog väst AB</t>
        </is>
      </c>
      <c r="G6" t="n">
        <v>4.4</v>
      </c>
      <c r="H6" t="n">
        <v>2</v>
      </c>
      <c r="I6" t="n">
        <v>6</v>
      </c>
      <c r="J6" t="n">
        <v>4</v>
      </c>
      <c r="K6" t="n">
        <v>1</v>
      </c>
      <c r="L6" t="n">
        <v>0</v>
      </c>
      <c r="M6" t="n">
        <v>0</v>
      </c>
      <c r="N6" t="n">
        <v>0</v>
      </c>
      <c r="O6" t="n">
        <v>5</v>
      </c>
      <c r="P6" t="n">
        <v>1</v>
      </c>
      <c r="Q6" t="n">
        <v>11</v>
      </c>
      <c r="R6" s="2" t="inlineStr">
        <is>
          <t>Aspgelélav
Kolflarnlav
Rosenticka
Tretåig hackspett
Vedskivlav
Bårdlav
Dropptaggsvamp
Mindre märgborre
Plattlummer
Skinnlav
Stuplav</t>
        </is>
      </c>
      <c r="S6">
        <f>HYPERLINK("https://klasma.github.io/Logging_2029/artfynd/A 61373-2019 artfynd.xlsx", "A 61373-2019")</f>
        <v/>
      </c>
      <c r="T6">
        <f>HYPERLINK("https://klasma.github.io/Logging_2029/kartor/A 61373-2019 karta.png", "A 61373-2019")</f>
        <v/>
      </c>
      <c r="V6">
        <f>HYPERLINK("https://klasma.github.io/Logging_2029/klagomål/A 61373-2019 FSC-klagomål.docx", "A 61373-2019")</f>
        <v/>
      </c>
      <c r="W6">
        <f>HYPERLINK("https://klasma.github.io/Logging_2029/klagomålsmail/A 61373-2019 FSC-klagomål mail.docx", "A 61373-2019")</f>
        <v/>
      </c>
      <c r="X6">
        <f>HYPERLINK("https://klasma.github.io/Logging_2029/tillsyn/A 61373-2019 tillsynsbegäran.docx", "A 61373-2019")</f>
        <v/>
      </c>
      <c r="Y6">
        <f>HYPERLINK("https://klasma.github.io/Logging_2029/tillsynsmail/A 61373-2019 tillsynsbegäran mail.docx", "A 61373-2019")</f>
        <v/>
      </c>
      <c r="Z6">
        <f>HYPERLINK("https://klasma.github.io/Logging_2029/fåglar/A 61373-2019 prioriterade fågelarter.docx", "A 61373-2019")</f>
        <v/>
      </c>
    </row>
    <row r="7" ht="15" customHeight="1">
      <c r="A7" t="inlineStr">
        <is>
          <t>A 61375-2019</t>
        </is>
      </c>
      <c r="B7" s="1" t="n">
        <v>43783</v>
      </c>
      <c r="C7" s="1" t="n">
        <v>45627</v>
      </c>
      <c r="D7" t="inlineStr">
        <is>
          <t>DALARNAS LÄN</t>
        </is>
      </c>
      <c r="E7" t="inlineStr">
        <is>
          <t>LEKSAND</t>
        </is>
      </c>
      <c r="F7" t="inlineStr">
        <is>
          <t>Bergvik skog väst AB</t>
        </is>
      </c>
      <c r="G7" t="n">
        <v>15.7</v>
      </c>
      <c r="H7" t="n">
        <v>1</v>
      </c>
      <c r="I7" t="n">
        <v>6</v>
      </c>
      <c r="J7" t="n">
        <v>3</v>
      </c>
      <c r="K7" t="n">
        <v>2</v>
      </c>
      <c r="L7" t="n">
        <v>0</v>
      </c>
      <c r="M7" t="n">
        <v>0</v>
      </c>
      <c r="N7" t="n">
        <v>0</v>
      </c>
      <c r="O7" t="n">
        <v>5</v>
      </c>
      <c r="P7" t="n">
        <v>2</v>
      </c>
      <c r="Q7" t="n">
        <v>11</v>
      </c>
      <c r="R7" s="2" t="inlineStr">
        <is>
          <t>Knärot
Rynkskinn
Kolflarnlav
Nordtagging
Vedskivlav
Bollvitmossa
Bronshjon
Dropptaggsvamp
Mindre märgborre
Vedticka
Vågbandad barkbock</t>
        </is>
      </c>
      <c r="S7">
        <f>HYPERLINK("https://klasma.github.io/Logging_2029/artfynd/A 61375-2019 artfynd.xlsx", "A 61375-2019")</f>
        <v/>
      </c>
      <c r="T7">
        <f>HYPERLINK("https://klasma.github.io/Logging_2029/kartor/A 61375-2019 karta.png", "A 61375-2019")</f>
        <v/>
      </c>
      <c r="U7">
        <f>HYPERLINK("https://klasma.github.io/Logging_2029/knärot/A 61375-2019 karta knärot.png", "A 61375-2019")</f>
        <v/>
      </c>
      <c r="V7">
        <f>HYPERLINK("https://klasma.github.io/Logging_2029/klagomål/A 61375-2019 FSC-klagomål.docx", "A 61375-2019")</f>
        <v/>
      </c>
      <c r="W7">
        <f>HYPERLINK("https://klasma.github.io/Logging_2029/klagomålsmail/A 61375-2019 FSC-klagomål mail.docx", "A 61375-2019")</f>
        <v/>
      </c>
      <c r="X7">
        <f>HYPERLINK("https://klasma.github.io/Logging_2029/tillsyn/A 61375-2019 tillsynsbegäran.docx", "A 61375-2019")</f>
        <v/>
      </c>
      <c r="Y7">
        <f>HYPERLINK("https://klasma.github.io/Logging_2029/tillsynsmail/A 61375-2019 tillsynsbegäran mail.docx", "A 61375-2019")</f>
        <v/>
      </c>
    </row>
    <row r="8" ht="15" customHeight="1">
      <c r="A8" t="inlineStr">
        <is>
          <t>A 59850-2022</t>
        </is>
      </c>
      <c r="B8" s="1" t="n">
        <v>44901</v>
      </c>
      <c r="C8" s="1" t="n">
        <v>45627</v>
      </c>
      <c r="D8" t="inlineStr">
        <is>
          <t>DALARNAS LÄN</t>
        </is>
      </c>
      <c r="E8" t="inlineStr">
        <is>
          <t>LEKSAND</t>
        </is>
      </c>
      <c r="G8" t="n">
        <v>1.7</v>
      </c>
      <c r="H8" t="n">
        <v>3</v>
      </c>
      <c r="I8" t="n">
        <v>2</v>
      </c>
      <c r="J8" t="n">
        <v>5</v>
      </c>
      <c r="K8" t="n">
        <v>0</v>
      </c>
      <c r="L8" t="n">
        <v>0</v>
      </c>
      <c r="M8" t="n">
        <v>0</v>
      </c>
      <c r="N8" t="n">
        <v>0</v>
      </c>
      <c r="O8" t="n">
        <v>5</v>
      </c>
      <c r="P8" t="n">
        <v>0</v>
      </c>
      <c r="Q8" t="n">
        <v>9</v>
      </c>
      <c r="R8" s="2" t="inlineStr">
        <is>
          <t>Garnlav
Granticka
Tretåig hackspett
Ullticka
Violettgrå tagellav
Bågpraktmossa
Svavelriska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57812-2023</t>
        </is>
      </c>
      <c r="B9" s="1" t="n">
        <v>45247</v>
      </c>
      <c r="C9" s="1" t="n">
        <v>45627</v>
      </c>
      <c r="D9" t="inlineStr">
        <is>
          <t>DALARNAS LÄN</t>
        </is>
      </c>
      <c r="E9" t="inlineStr">
        <is>
          <t>LEKSAND</t>
        </is>
      </c>
      <c r="G9" t="n">
        <v>0.9</v>
      </c>
      <c r="H9" t="n">
        <v>5</v>
      </c>
      <c r="I9" t="n">
        <v>1</v>
      </c>
      <c r="J9" t="n">
        <v>5</v>
      </c>
      <c r="K9" t="n">
        <v>1</v>
      </c>
      <c r="L9" t="n">
        <v>0</v>
      </c>
      <c r="M9" t="n">
        <v>0</v>
      </c>
      <c r="N9" t="n">
        <v>0</v>
      </c>
      <c r="O9" t="n">
        <v>6</v>
      </c>
      <c r="P9" t="n">
        <v>1</v>
      </c>
      <c r="Q9" t="n">
        <v>8</v>
      </c>
      <c r="R9" s="2" t="inlineStr">
        <is>
          <t>Knärot
Garnlav
Spillkråka
Talltita
Tretåig hackspett
Ullticka
Dropptaggsvamp
Tjäder</t>
        </is>
      </c>
      <c r="S9">
        <f>HYPERLINK("https://klasma.github.io/Logging_2029/artfynd/A 57812-2023 artfynd.xlsx", "A 57812-2023")</f>
        <v/>
      </c>
      <c r="T9">
        <f>HYPERLINK("https://klasma.github.io/Logging_2029/kartor/A 57812-2023 karta.png", "A 57812-2023")</f>
        <v/>
      </c>
      <c r="U9">
        <f>HYPERLINK("https://klasma.github.io/Logging_2029/knärot/A 57812-2023 karta knärot.png", "A 57812-2023")</f>
        <v/>
      </c>
      <c r="V9">
        <f>HYPERLINK("https://klasma.github.io/Logging_2029/klagomål/A 57812-2023 FSC-klagomål.docx", "A 57812-2023")</f>
        <v/>
      </c>
      <c r="W9">
        <f>HYPERLINK("https://klasma.github.io/Logging_2029/klagomålsmail/A 57812-2023 FSC-klagomål mail.docx", "A 57812-2023")</f>
        <v/>
      </c>
      <c r="X9">
        <f>HYPERLINK("https://klasma.github.io/Logging_2029/tillsyn/A 57812-2023 tillsynsbegäran.docx", "A 57812-2023")</f>
        <v/>
      </c>
      <c r="Y9">
        <f>HYPERLINK("https://klasma.github.io/Logging_2029/tillsynsmail/A 57812-2023 tillsynsbegäran mail.docx", "A 57812-2023")</f>
        <v/>
      </c>
      <c r="Z9">
        <f>HYPERLINK("https://klasma.github.io/Logging_2029/fåglar/A 57812-2023 prioriterade fågelarter.docx", "A 57812-2023")</f>
        <v/>
      </c>
    </row>
    <row r="10" ht="15" customHeight="1">
      <c r="A10" t="inlineStr">
        <is>
          <t>A 61884-2023</t>
        </is>
      </c>
      <c r="B10" s="1" t="n">
        <v>45266</v>
      </c>
      <c r="C10" s="1" t="n">
        <v>45627</v>
      </c>
      <c r="D10" t="inlineStr">
        <is>
          <t>DALARNAS LÄN</t>
        </is>
      </c>
      <c r="E10" t="inlineStr">
        <is>
          <t>LEKSAND</t>
        </is>
      </c>
      <c r="G10" t="n">
        <v>4.4</v>
      </c>
      <c r="H10" t="n">
        <v>4</v>
      </c>
      <c r="I10" t="n">
        <v>1</v>
      </c>
      <c r="J10" t="n">
        <v>3</v>
      </c>
      <c r="K10" t="n">
        <v>0</v>
      </c>
      <c r="L10" t="n">
        <v>0</v>
      </c>
      <c r="M10" t="n">
        <v>0</v>
      </c>
      <c r="N10" t="n">
        <v>0</v>
      </c>
      <c r="O10" t="n">
        <v>3</v>
      </c>
      <c r="P10" t="n">
        <v>0</v>
      </c>
      <c r="Q10" t="n">
        <v>7</v>
      </c>
      <c r="R10" s="2" t="inlineStr">
        <is>
          <t>Rosenticka
Talltita
Ullticka
Vedticka
Kungsfågel
Tjäder
Revlummer</t>
        </is>
      </c>
      <c r="S10">
        <f>HYPERLINK("https://klasma.github.io/Logging_2029/artfynd/A 61884-2023 artfynd.xlsx", "A 61884-2023")</f>
        <v/>
      </c>
      <c r="T10">
        <f>HYPERLINK("https://klasma.github.io/Logging_2029/kartor/A 61884-2023 karta.png", "A 61884-2023")</f>
        <v/>
      </c>
      <c r="V10">
        <f>HYPERLINK("https://klasma.github.io/Logging_2029/klagomål/A 61884-2023 FSC-klagomål.docx", "A 61884-2023")</f>
        <v/>
      </c>
      <c r="W10">
        <f>HYPERLINK("https://klasma.github.io/Logging_2029/klagomålsmail/A 61884-2023 FSC-klagomål mail.docx", "A 61884-2023")</f>
        <v/>
      </c>
      <c r="X10">
        <f>HYPERLINK("https://klasma.github.io/Logging_2029/tillsyn/A 61884-2023 tillsynsbegäran.docx", "A 61884-2023")</f>
        <v/>
      </c>
      <c r="Y10">
        <f>HYPERLINK("https://klasma.github.io/Logging_2029/tillsynsmail/A 61884-2023 tillsynsbegäran mail.docx", "A 61884-2023")</f>
        <v/>
      </c>
      <c r="Z10">
        <f>HYPERLINK("https://klasma.github.io/Logging_2029/fåglar/A 61884-2023 prioriterade fågelarter.docx", "A 61884-2023")</f>
        <v/>
      </c>
    </row>
    <row r="11" ht="15" customHeight="1">
      <c r="A11" t="inlineStr">
        <is>
          <t>A 39126-2024</t>
        </is>
      </c>
      <c r="B11" s="1" t="n">
        <v>45548</v>
      </c>
      <c r="C11" s="1" t="n">
        <v>45627</v>
      </c>
      <c r="D11" t="inlineStr">
        <is>
          <t>DALARNAS LÄN</t>
        </is>
      </c>
      <c r="E11" t="inlineStr">
        <is>
          <t>LEKSAND</t>
        </is>
      </c>
      <c r="G11" t="n">
        <v>4.4</v>
      </c>
      <c r="H11" t="n">
        <v>4</v>
      </c>
      <c r="I11" t="n">
        <v>1</v>
      </c>
      <c r="J11" t="n">
        <v>3</v>
      </c>
      <c r="K11" t="n">
        <v>0</v>
      </c>
      <c r="L11" t="n">
        <v>0</v>
      </c>
      <c r="M11" t="n">
        <v>0</v>
      </c>
      <c r="N11" t="n">
        <v>0</v>
      </c>
      <c r="O11" t="n">
        <v>3</v>
      </c>
      <c r="P11" t="n">
        <v>0</v>
      </c>
      <c r="Q11" t="n">
        <v>7</v>
      </c>
      <c r="R11" s="2" t="inlineStr">
        <is>
          <t>Rosenticka
Talltita
Ullticka
Vedticka
Kungsfågel
Tjäder
Revlummer</t>
        </is>
      </c>
      <c r="S11">
        <f>HYPERLINK("https://klasma.github.io/Logging_2029/artfynd/A 39126-2024 artfynd.xlsx", "A 39126-2024")</f>
        <v/>
      </c>
      <c r="T11">
        <f>HYPERLINK("https://klasma.github.io/Logging_2029/kartor/A 39126-2024 karta.png", "A 39126-2024")</f>
        <v/>
      </c>
      <c r="V11">
        <f>HYPERLINK("https://klasma.github.io/Logging_2029/klagomål/A 39126-2024 FSC-klagomål.docx", "A 39126-2024")</f>
        <v/>
      </c>
      <c r="W11">
        <f>HYPERLINK("https://klasma.github.io/Logging_2029/klagomålsmail/A 39126-2024 FSC-klagomål mail.docx", "A 39126-2024")</f>
        <v/>
      </c>
      <c r="X11">
        <f>HYPERLINK("https://klasma.github.io/Logging_2029/tillsyn/A 39126-2024 tillsynsbegäran.docx", "A 39126-2024")</f>
        <v/>
      </c>
      <c r="Y11">
        <f>HYPERLINK("https://klasma.github.io/Logging_2029/tillsynsmail/A 39126-2024 tillsynsbegäran mail.docx", "A 39126-2024")</f>
        <v/>
      </c>
      <c r="Z11">
        <f>HYPERLINK("https://klasma.github.io/Logging_2029/fåglar/A 39126-2024 prioriterade fågelarter.docx", "A 39126-2024")</f>
        <v/>
      </c>
    </row>
    <row r="12" ht="15" customHeight="1">
      <c r="A12" t="inlineStr">
        <is>
          <t>A 11067-2023</t>
        </is>
      </c>
      <c r="B12" s="1" t="n">
        <v>44992</v>
      </c>
      <c r="C12" s="1" t="n">
        <v>45627</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45627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45627</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45627</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45627</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45627</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45627</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45627</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45627</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45627</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45627</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45627</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45627</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45627</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45627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45627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45627</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45627</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45627</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45627</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45627</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45627</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45627</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45627</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45627</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45627</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45627</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45627</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45627</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45627</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45627</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45627</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45627</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45627</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45627</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45627</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45627</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45627</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45627</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45627</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45627</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45627</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45627</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45627</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45627</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45627</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45627</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45627</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45627</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45627</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45627</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45627</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45627</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45627</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45627</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45627</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45627</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45627</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45627</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45627</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45627</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45627</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45627</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45627</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45627</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45627</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45627</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45627</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45627</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45627</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45627</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45627</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45627</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45627</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45627</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45627</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45627</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45627</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45627</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45627</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45627</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45627</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45627</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45627</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45627</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45627</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45627</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45627</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45627</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45627</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45627</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45627</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45627</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45627</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45627</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45627</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45627</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45627</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45627</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45627</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45627</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45627</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45627</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45627</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45627</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45627</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45627</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45627</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45627</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45627</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45627</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45627</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45627</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45627</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45627</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45627</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45627</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45627</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45627</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45627</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45627</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45627</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45627</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45627</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45627</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45627</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45627</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45627</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45627</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45627</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45627</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45627</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45627</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45627</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45627</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45627</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45627</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45627</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45627</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45627</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45627</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45627</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45627</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45627</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45627</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45627</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45627</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45627</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45627</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45627</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45627</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45627</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45627</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45627</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45627</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45627</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45627</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45627</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45627</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45627</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45627</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45627</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45627</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45627</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45627</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45627</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45627</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45627</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45627</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45627</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45627</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45627</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45627</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45627</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45627</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45627</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45627</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45627</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45627</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45627</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45627</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45627</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45627</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45627</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45627</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45627</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45627</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45627</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45627</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45627</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45627</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45627</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45627</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45627</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45627</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45627</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45627</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45627</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45627</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45627</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45627</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45627</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45627</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45627</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45627</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45627</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45627</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45627</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45627</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45627</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45627</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45627</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45627</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45627</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45627</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45627</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45627</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45627</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45627</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45627</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45627</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45627</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45627</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45627</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45627</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45627</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45627</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45627</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45627</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45627</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45627</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45627</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45627</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45627</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45627</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45627</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45627</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45627</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45627</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45627</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45627</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45627</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45627</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45627</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45627</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45627</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45627</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45627</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45627</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45627</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45627</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45627</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45627</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45627</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45627</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45627</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45627</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45627</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45627</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45627</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45627</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45627</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45627</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45627</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45627</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45627</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45627</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45627</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45627</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45627</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45627</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45627</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45627</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45627</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45627</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45627</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45627</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45627</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45627</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45627</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45627</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45627</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45627</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45627</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45627</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45627</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45627</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45627</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45627</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45627</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45627</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45627</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45627</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45627</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45627</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45627</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45627</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45627</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45627</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45627</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45627</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45627</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45627</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45627</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45627</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45627</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45627</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45627</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45627</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45627</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45627</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45627</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45627</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45627</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45627</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45627</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45627</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45627</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45627</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45627</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45627</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45627</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45627</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45627</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45627</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45627</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45627</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45627</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45627</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45627</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45627</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45627</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45627</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45627</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45627</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45627</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45627</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45627</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45627</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45627</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45627</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45627</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45627</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45627</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45627</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45627</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45627</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45627</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45627</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45627</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45627</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45627</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45627</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45627</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45627</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45627</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45627</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45627</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45627</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45627</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45627</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45627</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45627</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45627</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45627</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45627</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45627</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45627</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45627</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45627</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45627</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45627</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45627</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45627</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45627</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45627</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45627</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45627</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45627</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45627</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45627</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45627</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45627</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45627</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45627</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45627</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45627</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45627</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45627</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45627</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45627</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45627</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45627</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45627</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45627</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45627</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45627</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45627</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45627</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45627</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45627</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45627</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45627</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45627</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45627</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45627</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45627</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45627</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45627</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45627</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45627</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45627</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45627</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45627</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45627</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45627</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45627</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45627</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45627</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45627</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45627</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45627</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45627</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45627</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45627</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45627</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45627</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45627</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45627</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45627</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45627</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45627</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45627</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45627</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45627</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45627</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45627</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45627</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45627</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45627</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45627</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45627</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45627</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45627</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45627</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45627</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45627</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45627</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45627</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45627</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45627</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45627</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45627</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45627</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45627</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45627</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45627</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45627</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45627</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45627</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45627</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45627</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45627</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45627</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45627</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45627</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45627</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45627</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45627</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45627</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45627</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45627</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45627</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45627</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45627</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45627</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45627</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45627</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45627</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45627</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45627</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45627</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45627</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45627</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45627</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45627</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45627</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45627</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45627</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45627</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45627</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45627</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45627</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45627</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45627</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45627</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45627</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45627</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45627</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45627</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45627</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45627</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45627</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45627</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45627</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45627</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45627</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45627</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45627</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45627</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45627</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45627</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45627</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45627</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45627</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45627</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45627</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45627</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45627</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45627</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45627</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45627</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45627</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45627</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45627</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45627</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45627</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45627</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45627</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45627</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45627</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45627</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45627</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45627</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45627</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45627</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45627</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45627</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45627</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45627</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45627</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45627</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45627</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45627</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45627</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45627</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45627</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45627</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45627</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45627</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45627</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45627</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45627</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45627</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45627</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45627</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45627</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45627</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45627</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45627</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45627</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45627</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45627</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45627</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45627</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45627</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45627</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45627</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45627</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45627</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45627</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45627</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45627</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45627</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45627</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45627</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45627</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45627</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45627</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45627</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45627</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45627</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45627</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45627</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45627</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45627</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45627</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45627</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45627</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45627</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45627</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45627</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45627</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45627</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45627</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45627</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45627</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45627</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45627</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45627</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45627</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45627</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45627</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45627</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45627</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45627</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45627</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45627</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45627</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45627</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45627</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45627</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45627</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45627</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45627</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45627</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45627</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45627</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45627</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45627</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45627</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45627</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45627</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45627</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45627</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45627</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45627</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45627</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45627</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45627</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45627</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45627</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45627</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45627</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45627</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45627</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45627</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45627</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45627</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45627</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45627</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45627</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45627</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45627</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45627</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45627</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45627</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45627</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45627</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45627</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45627</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45627</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45627</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45627</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45627</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45627</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45627</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45627</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45627</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45627</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45627</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45627</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45627</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45627</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45627</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45627</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45627</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45627</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45627</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45627</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45627</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45627</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45627</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45627</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45627</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45627</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45627</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45627</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45627</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45627</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45627</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45627</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45627</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45627</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45627</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45627</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45627</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45627</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45627</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45627</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45627</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45627</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45627</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45627</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45627</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45627</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45627</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45627</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45627</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45627</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45627</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45627</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45627</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45627</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45627</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45627</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45627</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45627</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45627</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45627</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45627</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45627</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45627</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45627</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45627</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45627</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45627</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45627</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45627</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45627</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45627</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45627</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45627</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45627</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45627</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45627</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45627</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45627</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45627</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45627</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45627</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45627</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45627</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45627</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45627</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45627</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45627</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45627</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45627</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45627</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45627</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45627</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45627</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45627</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45627</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45627</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45627</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45627</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45627</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45627</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45627</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45627</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45627</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45627</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45627</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45627</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45627</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45627</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45627</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45627</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45627</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45627</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45627</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45627</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45627</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45627</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45627</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45627</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45627</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45627</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45627</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45627</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45627</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45627</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45627</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45627</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45627</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45627</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45627</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45627</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45627</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45627</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45627</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45627</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45627</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45627</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45627</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45627</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45627</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45627</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45627</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45627</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45627</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45627</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45627</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45627</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45627</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45627</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45627</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45627</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45627</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45627</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45627</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45627</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45627</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45627</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45627</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45627</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45627</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45627</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45627</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45627</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45627</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45627</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45627</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45627</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45627</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45627</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45627</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45627</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45627</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45627</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45627</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45627</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45627</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45627</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45627</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45627</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45627</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45627</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45627</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45627</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45627</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45627</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45627</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45627</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45627</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45627</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45627</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45627</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45627</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45627</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45627</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45627</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45627</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45627</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45627</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45627</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45627</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45627</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45627</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45627</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45627</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45627</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45627</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45627</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45627</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45627</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45627</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45627</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45627</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45627</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45627</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45627</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45627</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45627</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45627</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45627</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45627</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45627</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45627</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45627</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45627</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45627</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45627</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45627</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45627</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45627</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45627</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45627</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45627</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45627</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45627</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45627</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45627</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45627</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45627</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45627</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45627</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45627</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45627</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45627</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45627</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45627</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45627</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45627</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45627</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45627</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45627</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45627</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45627</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45627</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45627</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45627</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45627</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45627</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45627</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45627</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45627</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45627</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45627</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45627</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45627</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45627</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45627</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45627</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45627</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45627</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45627</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45627</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45627</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45627</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45627</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45627</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45627</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45627</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45627</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45627</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45627</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45627</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45627</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45627</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45627</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45627</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45627</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45627</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45627</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45627</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45627</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45627</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45627</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45627</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45627</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45627</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45627</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45627</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45627</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45627</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45627</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45627</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45627</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45627</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45627</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45627</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45627</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45627</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45627</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45627</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45627</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45627</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45627</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45627</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45627</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45627</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45627</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45627</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45627</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45627</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45627</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45627</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45627</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45627</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45627</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45627</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45627</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45627</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45627</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45627</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45627</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45627</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45627</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45627</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45627</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45627</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45627</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45627</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45627</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45627</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45627</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45627</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45627</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45627</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45627</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45627</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45627</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45627</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45627</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45627</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45627</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45627</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45627</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45627</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45627</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45627</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45627</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45627</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45627</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45627</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45627</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45627</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45627</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45627</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45627</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45627</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45627</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45627</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45627</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45627</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45627</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45627</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45627</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45627</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45627</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45627</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45627</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45627</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45627</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45627</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45627</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45627</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45627</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45627</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45627</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45627</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45627</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45627</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45627</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45627</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45627</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45627</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45627</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45627</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45627</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45627</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45627</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45627</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45627</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45627</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45627</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45627</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45627</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45627</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45627</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45627</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45627</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45627</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45627</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45627</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45627</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45627</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45627</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45627</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45627</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45627</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45627</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45627</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45627</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45627</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45627</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45627</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45627</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45627</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45627</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45627</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45627</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45627</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45627</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45627</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45627</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45627</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45627</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45627</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45627</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45627</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45627</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45627</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45627</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45627</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45627</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45627</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45627</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45627</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45627</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45627</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45627</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45627</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45627</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45627</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45627</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45627</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45627</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45627</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45627</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45627</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45627</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45627</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45627</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45627</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45627</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45627</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45627</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45627</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45627</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45627</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45627</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45627</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45627</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45627</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49553-2024</t>
        </is>
      </c>
      <c r="B1130" s="1" t="n">
        <v>45596</v>
      </c>
      <c r="C1130" s="1" t="n">
        <v>45627</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49499-2024</t>
        </is>
      </c>
      <c r="B1131" s="1" t="n">
        <v>45596</v>
      </c>
      <c r="C1131" s="1" t="n">
        <v>45627</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49850-2024</t>
        </is>
      </c>
      <c r="B1132" s="1" t="n">
        <v>45596</v>
      </c>
      <c r="C1132" s="1" t="n">
        <v>45627</v>
      </c>
      <c r="D1132" t="inlineStr">
        <is>
          <t>DALARNAS LÄN</t>
        </is>
      </c>
      <c r="E1132" t="inlineStr">
        <is>
          <t>LEKSAND</t>
        </is>
      </c>
      <c r="F1132" t="inlineStr">
        <is>
          <t>Övriga statliga verk och myndigheter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49506-2024</t>
        </is>
      </c>
      <c r="B1133" s="1" t="n">
        <v>45596</v>
      </c>
      <c r="C1133" s="1" t="n">
        <v>45627</v>
      </c>
      <c r="D1133" t="inlineStr">
        <is>
          <t>DALARNAS LÄN</t>
        </is>
      </c>
      <c r="E1133" t="inlineStr">
        <is>
          <t>LEKSAND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45627</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45627</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45627</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45627</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45627</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51907-2024</t>
        </is>
      </c>
      <c r="B1139" s="1" t="n">
        <v>45607</v>
      </c>
      <c r="C1139" s="1" t="n">
        <v>45627</v>
      </c>
      <c r="D1139" t="inlineStr">
        <is>
          <t>DALARNAS LÄN</t>
        </is>
      </c>
      <c r="E1139" t="inlineStr">
        <is>
          <t>LEKSAND</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51860-2024</t>
        </is>
      </c>
      <c r="B1140" s="1" t="n">
        <v>45607</v>
      </c>
      <c r="C1140" s="1" t="n">
        <v>45627</v>
      </c>
      <c r="D1140" t="inlineStr">
        <is>
          <t>DALARNAS LÄN</t>
        </is>
      </c>
      <c r="E1140" t="inlineStr">
        <is>
          <t>LEKSAND</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52059-2024</t>
        </is>
      </c>
      <c r="B1141" s="1" t="n">
        <v>45608</v>
      </c>
      <c r="C1141" s="1" t="n">
        <v>45627</v>
      </c>
      <c r="D1141" t="inlineStr">
        <is>
          <t>DALARNAS LÄN</t>
        </is>
      </c>
      <c r="E1141" t="inlineStr">
        <is>
          <t>LEKSAND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52100-2024</t>
        </is>
      </c>
      <c r="B1142" s="1" t="n">
        <v>45608</v>
      </c>
      <c r="C1142" s="1" t="n">
        <v>45627</v>
      </c>
      <c r="D1142" t="inlineStr">
        <is>
          <t>DALARNAS LÄN</t>
        </is>
      </c>
      <c r="E1142" t="inlineStr">
        <is>
          <t>LEKSAND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45627</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45627</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45627</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52755-2024</t>
        </is>
      </c>
      <c r="B1146" s="1" t="n">
        <v>45610</v>
      </c>
      <c r="C1146" s="1" t="n">
        <v>45627</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53193-2024</t>
        </is>
      </c>
      <c r="B1147" s="1" t="n">
        <v>45610</v>
      </c>
      <c r="C1147" s="1" t="n">
        <v>45627</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45627</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53313-2024</t>
        </is>
      </c>
      <c r="B1149" s="1" t="n">
        <v>45614</v>
      </c>
      <c r="C1149" s="1" t="n">
        <v>45627</v>
      </c>
      <c r="D1149" t="inlineStr">
        <is>
          <t>DALARNAS LÄN</t>
        </is>
      </c>
      <c r="E1149" t="inlineStr">
        <is>
          <t>LEKSAND</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53633-2024</t>
        </is>
      </c>
      <c r="B1150" s="1" t="n">
        <v>45614</v>
      </c>
      <c r="C1150" s="1" t="n">
        <v>45627</v>
      </c>
      <c r="D1150" t="inlineStr">
        <is>
          <t>DALARNAS LÄN</t>
        </is>
      </c>
      <c r="E1150" t="inlineStr">
        <is>
          <t>LEKSAND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53625-2024</t>
        </is>
      </c>
      <c r="B1151" s="1" t="n">
        <v>45614</v>
      </c>
      <c r="C1151" s="1" t="n">
        <v>45627</v>
      </c>
      <c r="D1151" t="inlineStr">
        <is>
          <t>DALARNAS LÄN</t>
        </is>
      </c>
      <c r="E1151" t="inlineStr">
        <is>
          <t>LEKSAND</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53634-2024</t>
        </is>
      </c>
      <c r="B1152" s="1" t="n">
        <v>45614</v>
      </c>
      <c r="C1152" s="1" t="n">
        <v>45627</v>
      </c>
      <c r="D1152" t="inlineStr">
        <is>
          <t>DALARNAS LÄN</t>
        </is>
      </c>
      <c r="E1152" t="inlineStr">
        <is>
          <t>LEKSAND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45627</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53981-2024</t>
        </is>
      </c>
      <c r="B1154" s="1" t="n">
        <v>45615</v>
      </c>
      <c r="C1154" s="1" t="n">
        <v>45627</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53992-2024</t>
        </is>
      </c>
      <c r="B1155" s="1" t="n">
        <v>45616</v>
      </c>
      <c r="C1155" s="1" t="n">
        <v>45627</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54910-2024</t>
        </is>
      </c>
      <c r="B1156" s="1" t="n">
        <v>45618</v>
      </c>
      <c r="C1156" s="1" t="n">
        <v>45627</v>
      </c>
      <c r="D1156" t="inlineStr">
        <is>
          <t>DALARNAS LÄN</t>
        </is>
      </c>
      <c r="E1156" t="inlineStr">
        <is>
          <t>LEKSAND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54914-2024</t>
        </is>
      </c>
      <c r="B1157" s="1" t="n">
        <v>45618</v>
      </c>
      <c r="C1157" s="1" t="n">
        <v>45627</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54917-2024</t>
        </is>
      </c>
      <c r="B1158" s="1" t="n">
        <v>45618</v>
      </c>
      <c r="C1158" s="1" t="n">
        <v>45627</v>
      </c>
      <c r="D1158" t="inlineStr">
        <is>
          <t>DALARNAS LÄN</t>
        </is>
      </c>
      <c r="E1158" t="inlineStr">
        <is>
          <t>LEKSAND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54911-2024</t>
        </is>
      </c>
      <c r="B1159" s="1" t="n">
        <v>45618</v>
      </c>
      <c r="C1159" s="1" t="n">
        <v>45627</v>
      </c>
      <c r="D1159" t="inlineStr">
        <is>
          <t>DALARNAS LÄN</t>
        </is>
      </c>
      <c r="E1159" t="inlineStr">
        <is>
          <t>LEKSAND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55029-2024</t>
        </is>
      </c>
      <c r="B1160" s="1" t="n">
        <v>45621</v>
      </c>
      <c r="C1160" s="1" t="n">
        <v>45627</v>
      </c>
      <c r="D1160" t="inlineStr">
        <is>
          <t>DALARNAS LÄN</t>
        </is>
      </c>
      <c r="E1160" t="inlineStr">
        <is>
          <t>LEKSAND</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55516-2024</t>
        </is>
      </c>
      <c r="B1161" s="1" t="n">
        <v>45621</v>
      </c>
      <c r="C1161" s="1" t="n">
        <v>45627</v>
      </c>
      <c r="D1161" t="inlineStr">
        <is>
          <t>DALARNAS LÄN</t>
        </is>
      </c>
      <c r="E1161" t="inlineStr">
        <is>
          <t>LEKSAND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55512-2024</t>
        </is>
      </c>
      <c r="B1162" s="1" t="n">
        <v>45621</v>
      </c>
      <c r="C1162" s="1" t="n">
        <v>45627</v>
      </c>
      <c r="D1162" t="inlineStr">
        <is>
          <t>DALARNAS LÄN</t>
        </is>
      </c>
      <c r="E1162" t="inlineStr">
        <is>
          <t>LEKSAND</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45627</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55643-2024</t>
        </is>
      </c>
      <c r="B1164" s="1" t="n">
        <v>45621</v>
      </c>
      <c r="C1164" s="1" t="n">
        <v>45627</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55268-2024</t>
        </is>
      </c>
      <c r="B1165" s="1" t="n">
        <v>45621</v>
      </c>
      <c r="C1165" s="1" t="n">
        <v>45627</v>
      </c>
      <c r="D1165" t="inlineStr">
        <is>
          <t>DALARNAS LÄN</t>
        </is>
      </c>
      <c r="E1165" t="inlineStr">
        <is>
          <t>LEKSAND</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55520-2024</t>
        </is>
      </c>
      <c r="B1166" s="1" t="n">
        <v>45621</v>
      </c>
      <c r="C1166" s="1" t="n">
        <v>45627</v>
      </c>
      <c r="D1166" t="inlineStr">
        <is>
          <t>DALARNAS LÄN</t>
        </is>
      </c>
      <c r="E1166" t="inlineStr">
        <is>
          <t>LEKSAND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55706-2024</t>
        </is>
      </c>
      <c r="B1167" s="1" t="n">
        <v>45622</v>
      </c>
      <c r="C1167" s="1" t="n">
        <v>45627</v>
      </c>
      <c r="D1167" t="inlineStr">
        <is>
          <t>DALARNAS LÄN</t>
        </is>
      </c>
      <c r="E1167" t="inlineStr">
        <is>
          <t>LEKSAND</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55689-2024</t>
        </is>
      </c>
      <c r="B1168" s="1" t="n">
        <v>45622</v>
      </c>
      <c r="C1168" s="1" t="n">
        <v>45627</v>
      </c>
      <c r="D1168" t="inlineStr">
        <is>
          <t>DALARNAS LÄN</t>
        </is>
      </c>
      <c r="E1168" t="inlineStr">
        <is>
          <t>LEKSAND</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56016-2024</t>
        </is>
      </c>
      <c r="B1169" s="1" t="n">
        <v>45623</v>
      </c>
      <c r="C1169" s="1" t="n">
        <v>45627</v>
      </c>
      <c r="D1169" t="inlineStr">
        <is>
          <t>DALARNAS LÄN</t>
        </is>
      </c>
      <c r="E1169" t="inlineStr">
        <is>
          <t>LEKSAND</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55926-2024</t>
        </is>
      </c>
      <c r="B1170" s="1" t="n">
        <v>45623</v>
      </c>
      <c r="C1170" s="1" t="n">
        <v>45627</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56059-2024</t>
        </is>
      </c>
      <c r="B1171" s="1" t="n">
        <v>45624</v>
      </c>
      <c r="C1171" s="1" t="n">
        <v>45627</v>
      </c>
      <c r="D1171" t="inlineStr">
        <is>
          <t>DALARNAS LÄN</t>
        </is>
      </c>
      <c r="E1171" t="inlineStr">
        <is>
          <t>LEKSAND</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56283-2024</t>
        </is>
      </c>
      <c r="B1172" s="1" t="n">
        <v>45624</v>
      </c>
      <c r="C1172" s="1" t="n">
        <v>45627</v>
      </c>
      <c r="D1172" t="inlineStr">
        <is>
          <t>DALARNAS LÄN</t>
        </is>
      </c>
      <c r="E1172" t="inlineStr">
        <is>
          <t>LEKSAND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56299-2024</t>
        </is>
      </c>
      <c r="B1173" s="1" t="n">
        <v>45624</v>
      </c>
      <c r="C1173" s="1" t="n">
        <v>45627</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56610-2024</t>
        </is>
      </c>
      <c r="B1174" s="1" t="n">
        <v>45625</v>
      </c>
      <c r="C1174" s="1" t="n">
        <v>45627</v>
      </c>
      <c r="D1174" t="inlineStr">
        <is>
          <t>DALARNAS LÄN</t>
        </is>
      </c>
      <c r="E1174" t="inlineStr">
        <is>
          <t>LEKSAND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56641-2024</t>
        </is>
      </c>
      <c r="B1175" s="1" t="n">
        <v>45625</v>
      </c>
      <c r="C1175" s="1" t="n">
        <v>45627</v>
      </c>
      <c r="D1175" t="inlineStr">
        <is>
          <t>DALARNAS LÄN</t>
        </is>
      </c>
      <c r="E1175" t="inlineStr">
        <is>
          <t>LEKSAND</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56591-2024</t>
        </is>
      </c>
      <c r="B1176" s="1" t="n">
        <v>45625</v>
      </c>
      <c r="C1176" s="1" t="n">
        <v>45627</v>
      </c>
      <c r="D1176" t="inlineStr">
        <is>
          <t>DALARNAS LÄN</t>
        </is>
      </c>
      <c r="E1176" t="inlineStr">
        <is>
          <t>LEKSAND</t>
        </is>
      </c>
      <c r="G1176" t="n">
        <v>4.8</v>
      </c>
      <c r="H1176" t="n">
        <v>0</v>
      </c>
      <c r="I1176" t="n">
        <v>0</v>
      </c>
      <c r="J1176" t="n">
        <v>0</v>
      </c>
      <c r="K1176" t="n">
        <v>0</v>
      </c>
      <c r="L1176" t="n">
        <v>0</v>
      </c>
      <c r="M1176" t="n">
        <v>0</v>
      </c>
      <c r="N1176" t="n">
        <v>0</v>
      </c>
      <c r="O1176" t="n">
        <v>0</v>
      </c>
      <c r="P1176" t="n">
        <v>0</v>
      </c>
      <c r="Q1176" t="n">
        <v>0</v>
      </c>
      <c r="R1176" s="2" t="inlineStr"/>
    </row>
    <row r="1177">
      <c r="A1177" t="inlineStr">
        <is>
          <t>A 56608-2024</t>
        </is>
      </c>
      <c r="B1177" s="1" t="n">
        <v>45625</v>
      </c>
      <c r="C1177" s="1" t="n">
        <v>45627</v>
      </c>
      <c r="D1177" t="inlineStr">
        <is>
          <t>DALARNAS LÄN</t>
        </is>
      </c>
      <c r="E1177" t="inlineStr">
        <is>
          <t>LEKSAND</t>
        </is>
      </c>
      <c r="G1177" t="n">
        <v>0.9</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2024-12-01T15:30:29Z</dcterms:created>
  <dcterms:modified xmlns:dcterms="http://purl.org/dc/terms/" xmlns:xsi="http://www.w3.org/2001/XMLSchema-instance" xsi:type="dcterms:W3CDTF">2024-12-01T15:30:30Z</dcterms:modified>
</cp:coreProperties>
</file>