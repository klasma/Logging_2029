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45969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45969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45969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45969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45969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45969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45969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45969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48616-2025</t>
        </is>
      </c>
      <c r="B15" s="1" t="n">
        <v>45936.48783564815</v>
      </c>
      <c r="C15" s="1" t="n">
        <v>45969</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45969</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45969</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45969</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45969</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45969</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45969</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45969</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45969</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45969</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45969</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45969</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45969</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45969</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45969</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45969</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53633-2024</t>
        </is>
      </c>
      <c r="B31" s="1" t="n">
        <v>45614.83726851852</v>
      </c>
      <c r="C31" s="1" t="n">
        <v>45969</v>
      </c>
      <c r="D31" t="inlineStr">
        <is>
          <t>DALARNAS LÄN</t>
        </is>
      </c>
      <c r="E31" t="inlineStr">
        <is>
          <t>LEKSAND</t>
        </is>
      </c>
      <c r="G31" t="n">
        <v>1.6</v>
      </c>
      <c r="H31" t="n">
        <v>1</v>
      </c>
      <c r="I31" t="n">
        <v>0</v>
      </c>
      <c r="J31" t="n">
        <v>1</v>
      </c>
      <c r="K31" t="n">
        <v>0</v>
      </c>
      <c r="L31" t="n">
        <v>0</v>
      </c>
      <c r="M31" t="n">
        <v>0</v>
      </c>
      <c r="N31" t="n">
        <v>0</v>
      </c>
      <c r="O31" t="n">
        <v>1</v>
      </c>
      <c r="P31" t="n">
        <v>0</v>
      </c>
      <c r="Q31" t="n">
        <v>1</v>
      </c>
      <c r="R31" s="2" t="inlineStr">
        <is>
          <t>Tretåig hackspett</t>
        </is>
      </c>
      <c r="S31">
        <f>HYPERLINK("https://klasma.github.io/Logging_2029/artfynd/A 53633-2024 artfynd.xlsx", "A 53633-2024")</f>
        <v/>
      </c>
      <c r="T31">
        <f>HYPERLINK("https://klasma.github.io/Logging_2029/kartor/A 53633-2024 karta.png", "A 53633-2024")</f>
        <v/>
      </c>
      <c r="V31">
        <f>HYPERLINK("https://klasma.github.io/Logging_2029/klagomål/A 53633-2024 FSC-klagomål.docx", "A 53633-2024")</f>
        <v/>
      </c>
      <c r="W31">
        <f>HYPERLINK("https://klasma.github.io/Logging_2029/klagomålsmail/A 53633-2024 FSC-klagomål mail.docx", "A 53633-2024")</f>
        <v/>
      </c>
      <c r="X31">
        <f>HYPERLINK("https://klasma.github.io/Logging_2029/tillsyn/A 53633-2024 tillsynsbegäran.docx", "A 53633-2024")</f>
        <v/>
      </c>
      <c r="Y31">
        <f>HYPERLINK("https://klasma.github.io/Logging_2029/tillsynsmail/A 53633-2024 tillsynsbegäran mail.docx", "A 53633-2024")</f>
        <v/>
      </c>
      <c r="Z31">
        <f>HYPERLINK("https://klasma.github.io/Logging_2029/fåglar/A 53633-2024 prioriterade fågelarter.docx", "A 53633-2024")</f>
        <v/>
      </c>
    </row>
    <row r="32" ht="15" customHeight="1">
      <c r="A32" t="inlineStr">
        <is>
          <t>A 6029-2025</t>
        </is>
      </c>
      <c r="B32" s="1" t="n">
        <v>45695</v>
      </c>
      <c r="C32" s="1" t="n">
        <v>45969</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41873-2022</t>
        </is>
      </c>
      <c r="B33" s="1" t="n">
        <v>44829</v>
      </c>
      <c r="C33" s="1" t="n">
        <v>45969</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4974-2025</t>
        </is>
      </c>
      <c r="B34" s="1" t="n">
        <v>45690.8478587963</v>
      </c>
      <c r="C34" s="1" t="n">
        <v>45969</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16333-2023</t>
        </is>
      </c>
      <c r="B35" s="1" t="n">
        <v>45028</v>
      </c>
      <c r="C35" s="1" t="n">
        <v>45969</v>
      </c>
      <c r="D35" t="inlineStr">
        <is>
          <t>DALARNAS LÄN</t>
        </is>
      </c>
      <c r="E35" t="inlineStr">
        <is>
          <t>LEKSAND</t>
        </is>
      </c>
      <c r="G35" t="n">
        <v>1.5</v>
      </c>
      <c r="H35" t="n">
        <v>0</v>
      </c>
      <c r="I35" t="n">
        <v>1</v>
      </c>
      <c r="J35" t="n">
        <v>0</v>
      </c>
      <c r="K35" t="n">
        <v>0</v>
      </c>
      <c r="L35" t="n">
        <v>0</v>
      </c>
      <c r="M35" t="n">
        <v>0</v>
      </c>
      <c r="N35" t="n">
        <v>0</v>
      </c>
      <c r="O35" t="n">
        <v>0</v>
      </c>
      <c r="P35" t="n">
        <v>0</v>
      </c>
      <c r="Q35" t="n">
        <v>1</v>
      </c>
      <c r="R35" s="2" t="inlineStr">
        <is>
          <t>Läderskål</t>
        </is>
      </c>
      <c r="S35">
        <f>HYPERLINK("https://klasma.github.io/Logging_2029/artfynd/A 16333-2023 artfynd.xlsx", "A 16333-2023")</f>
        <v/>
      </c>
      <c r="T35">
        <f>HYPERLINK("https://klasma.github.io/Logging_2029/kartor/A 16333-2023 karta.png", "A 16333-2023")</f>
        <v/>
      </c>
      <c r="V35">
        <f>HYPERLINK("https://klasma.github.io/Logging_2029/klagomål/A 16333-2023 FSC-klagomål.docx", "A 16333-2023")</f>
        <v/>
      </c>
      <c r="W35">
        <f>HYPERLINK("https://klasma.github.io/Logging_2029/klagomålsmail/A 16333-2023 FSC-klagomål mail.docx", "A 16333-2023")</f>
        <v/>
      </c>
      <c r="X35">
        <f>HYPERLINK("https://klasma.github.io/Logging_2029/tillsyn/A 16333-2023 tillsynsbegäran.docx", "A 16333-2023")</f>
        <v/>
      </c>
      <c r="Y35">
        <f>HYPERLINK("https://klasma.github.io/Logging_2029/tillsynsmail/A 16333-2023 tillsynsbegäran mail.docx", "A 16333-2023")</f>
        <v/>
      </c>
    </row>
    <row r="36" ht="15" customHeight="1">
      <c r="A36" t="inlineStr">
        <is>
          <t>A 26287-2023</t>
        </is>
      </c>
      <c r="B36" s="1" t="n">
        <v>45091</v>
      </c>
      <c r="C36" s="1" t="n">
        <v>45969</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164-2024</t>
        </is>
      </c>
      <c r="B37" s="1" t="n">
        <v>45294.49954861111</v>
      </c>
      <c r="C37" s="1" t="n">
        <v>45969</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16735-2025</t>
        </is>
      </c>
      <c r="B38" s="1" t="n">
        <v>45754.54314814815</v>
      </c>
      <c r="C38" s="1" t="n">
        <v>45969</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47601-2025</t>
        </is>
      </c>
      <c r="B39" s="1" t="n">
        <v>45931.46008101852</v>
      </c>
      <c r="C39" s="1" t="n">
        <v>45969</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23137-2022</t>
        </is>
      </c>
      <c r="B40" s="1" t="n">
        <v>44719</v>
      </c>
      <c r="C40" s="1" t="n">
        <v>45969</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11218-2023</t>
        </is>
      </c>
      <c r="B41" s="1" t="n">
        <v>44992.62401620371</v>
      </c>
      <c r="C41" s="1" t="n">
        <v>45969</v>
      </c>
      <c r="D41" t="inlineStr">
        <is>
          <t>DALARNAS LÄN</t>
        </is>
      </c>
      <c r="E41" t="inlineStr">
        <is>
          <t>LEKSAND</t>
        </is>
      </c>
      <c r="G41" t="n">
        <v>2.6</v>
      </c>
      <c r="H41" t="n">
        <v>1</v>
      </c>
      <c r="I41" t="n">
        <v>0</v>
      </c>
      <c r="J41" t="n">
        <v>0</v>
      </c>
      <c r="K41" t="n">
        <v>1</v>
      </c>
      <c r="L41" t="n">
        <v>0</v>
      </c>
      <c r="M41" t="n">
        <v>0</v>
      </c>
      <c r="N41" t="n">
        <v>0</v>
      </c>
      <c r="O41" t="n">
        <v>1</v>
      </c>
      <c r="P41" t="n">
        <v>1</v>
      </c>
      <c r="Q41" t="n">
        <v>1</v>
      </c>
      <c r="R41" s="2" t="inlineStr">
        <is>
          <t>Knärot</t>
        </is>
      </c>
      <c r="S41">
        <f>HYPERLINK("https://klasma.github.io/Logging_2029/artfynd/A 11218-2023 artfynd.xlsx", "A 11218-2023")</f>
        <v/>
      </c>
      <c r="T41">
        <f>HYPERLINK("https://klasma.github.io/Logging_2029/kartor/A 11218-2023 karta.png", "A 11218-2023")</f>
        <v/>
      </c>
      <c r="U41">
        <f>HYPERLINK("https://klasma.github.io/Logging_2029/knärot/A 11218-2023 karta knärot.png", "A 11218-2023")</f>
        <v/>
      </c>
      <c r="V41">
        <f>HYPERLINK("https://klasma.github.io/Logging_2029/klagomål/A 11218-2023 FSC-klagomål.docx", "A 11218-2023")</f>
        <v/>
      </c>
      <c r="W41">
        <f>HYPERLINK("https://klasma.github.io/Logging_2029/klagomålsmail/A 11218-2023 FSC-klagomål mail.docx", "A 11218-2023")</f>
        <v/>
      </c>
      <c r="X41">
        <f>HYPERLINK("https://klasma.github.io/Logging_2029/tillsyn/A 11218-2023 tillsynsbegäran.docx", "A 11218-2023")</f>
        <v/>
      </c>
      <c r="Y41">
        <f>HYPERLINK("https://klasma.github.io/Logging_2029/tillsynsmail/A 11218-2023 tillsynsbegäran mail.docx", "A 11218-2023")</f>
        <v/>
      </c>
    </row>
    <row r="42" ht="15" customHeight="1">
      <c r="A42" t="inlineStr">
        <is>
          <t>A 31124-2024</t>
        </is>
      </c>
      <c r="B42" s="1" t="n">
        <v>45502.62886574074</v>
      </c>
      <c r="C42" s="1" t="n">
        <v>45969</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45969</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45969</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59205-2023</t>
        </is>
      </c>
      <c r="B45" s="1" t="n">
        <v>45251</v>
      </c>
      <c r="C45" s="1" t="n">
        <v>45969</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31951-2025</t>
        </is>
      </c>
      <c r="B46" s="1" t="n">
        <v>45835.33481481481</v>
      </c>
      <c r="C46" s="1" t="n">
        <v>45969</v>
      </c>
      <c r="D46" t="inlineStr">
        <is>
          <t>DALARNAS LÄN</t>
        </is>
      </c>
      <c r="E46" t="inlineStr">
        <is>
          <t>LEKSAND</t>
        </is>
      </c>
      <c r="G46" t="n">
        <v>6.6</v>
      </c>
      <c r="H46" t="n">
        <v>1</v>
      </c>
      <c r="I46" t="n">
        <v>0</v>
      </c>
      <c r="J46" t="n">
        <v>0</v>
      </c>
      <c r="K46" t="n">
        <v>0</v>
      </c>
      <c r="L46" t="n">
        <v>0</v>
      </c>
      <c r="M46" t="n">
        <v>0</v>
      </c>
      <c r="N46" t="n">
        <v>0</v>
      </c>
      <c r="O46" t="n">
        <v>0</v>
      </c>
      <c r="P46" t="n">
        <v>0</v>
      </c>
      <c r="Q46" t="n">
        <v>1</v>
      </c>
      <c r="R46" s="2" t="inlineStr">
        <is>
          <t>Tjäder</t>
        </is>
      </c>
      <c r="S46">
        <f>HYPERLINK("https://klasma.github.io/Logging_2029/artfynd/A 31951-2025 artfynd.xlsx", "A 31951-2025")</f>
        <v/>
      </c>
      <c r="T46">
        <f>HYPERLINK("https://klasma.github.io/Logging_2029/kartor/A 31951-2025 karta.png", "A 31951-2025")</f>
        <v/>
      </c>
      <c r="V46">
        <f>HYPERLINK("https://klasma.github.io/Logging_2029/klagomål/A 31951-2025 FSC-klagomål.docx", "A 31951-2025")</f>
        <v/>
      </c>
      <c r="W46">
        <f>HYPERLINK("https://klasma.github.io/Logging_2029/klagomålsmail/A 31951-2025 FSC-klagomål mail.docx", "A 31951-2025")</f>
        <v/>
      </c>
      <c r="X46">
        <f>HYPERLINK("https://klasma.github.io/Logging_2029/tillsyn/A 31951-2025 tillsynsbegäran.docx", "A 31951-2025")</f>
        <v/>
      </c>
      <c r="Y46">
        <f>HYPERLINK("https://klasma.github.io/Logging_2029/tillsynsmail/A 31951-2025 tillsynsbegäran mail.docx", "A 31951-2025")</f>
        <v/>
      </c>
      <c r="Z46">
        <f>HYPERLINK("https://klasma.github.io/Logging_2029/fåglar/A 31951-2025 prioriterade fågelarter.docx", "A 31951-2025")</f>
        <v/>
      </c>
    </row>
    <row r="47" ht="15" customHeight="1">
      <c r="A47" t="inlineStr">
        <is>
          <t>A 36778-2025</t>
        </is>
      </c>
      <c r="B47" s="1" t="n">
        <v>45873</v>
      </c>
      <c r="C47" s="1" t="n">
        <v>45969</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34993-2025</t>
        </is>
      </c>
      <c r="B48" s="1" t="n">
        <v>45849.82383101852</v>
      </c>
      <c r="C48" s="1" t="n">
        <v>45969</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45969</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45375-2025</t>
        </is>
      </c>
      <c r="B50" s="1" t="n">
        <v>45922.39347222223</v>
      </c>
      <c r="C50" s="1" t="n">
        <v>45969</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1078-2021</t>
        </is>
      </c>
      <c r="B51" s="1" t="n">
        <v>44207</v>
      </c>
      <c r="C51" s="1" t="n">
        <v>45969</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45969</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45969</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45969</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45969</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45969</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45969</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45969</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45969</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45969</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45969</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45969</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45969</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45969</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45969</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45969</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45969</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45969</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45969</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45969</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45969</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45969</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45969</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45969</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45969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45969</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45969</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45969</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45969</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45969</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45969</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45969</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45969</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45969</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45969</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45969</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45969</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45969</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45969</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45969</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45969</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45969</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45969</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32635-2021</t>
        </is>
      </c>
      <c r="B94" s="1" t="n">
        <v>44374</v>
      </c>
      <c r="C94" s="1" t="n">
        <v>45969</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45969</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45969</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45969</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45969</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45969</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45969</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45969</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45969</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45969</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30449-2022</t>
        </is>
      </c>
      <c r="B104" s="1" t="n">
        <v>44761.59276620371</v>
      </c>
      <c r="C104" s="1" t="n">
        <v>45969</v>
      </c>
      <c r="D104" t="inlineStr">
        <is>
          <t>DALARNAS LÄN</t>
        </is>
      </c>
      <c r="E104" t="inlineStr">
        <is>
          <t>LEKSAND</t>
        </is>
      </c>
      <c r="G104" t="n">
        <v>5.7</v>
      </c>
      <c r="H104" t="n">
        <v>0</v>
      </c>
      <c r="I104" t="n">
        <v>0</v>
      </c>
      <c r="J104" t="n">
        <v>0</v>
      </c>
      <c r="K104" t="n">
        <v>0</v>
      </c>
      <c r="L104" t="n">
        <v>0</v>
      </c>
      <c r="M104" t="n">
        <v>0</v>
      </c>
      <c r="N104" t="n">
        <v>0</v>
      </c>
      <c r="O104" t="n">
        <v>0</v>
      </c>
      <c r="P104" t="n">
        <v>0</v>
      </c>
      <c r="Q104" t="n">
        <v>0</v>
      </c>
      <c r="R104" s="2" t="inlineStr"/>
    </row>
    <row r="105" ht="15" customHeight="1">
      <c r="A105" t="inlineStr">
        <is>
          <t>A 19559-2023</t>
        </is>
      </c>
      <c r="B105" s="1" t="n">
        <v>45050</v>
      </c>
      <c r="C105" s="1" t="n">
        <v>45969</v>
      </c>
      <c r="D105" t="inlineStr">
        <is>
          <t>DALARNAS LÄN</t>
        </is>
      </c>
      <c r="E105" t="inlineStr">
        <is>
          <t>LEKSAND</t>
        </is>
      </c>
      <c r="G105" t="n">
        <v>0.1</v>
      </c>
      <c r="H105" t="n">
        <v>0</v>
      </c>
      <c r="I105" t="n">
        <v>0</v>
      </c>
      <c r="J105" t="n">
        <v>0</v>
      </c>
      <c r="K105" t="n">
        <v>0</v>
      </c>
      <c r="L105" t="n">
        <v>0</v>
      </c>
      <c r="M105" t="n">
        <v>0</v>
      </c>
      <c r="N105" t="n">
        <v>0</v>
      </c>
      <c r="O105" t="n">
        <v>0</v>
      </c>
      <c r="P105" t="n">
        <v>0</v>
      </c>
      <c r="Q105" t="n">
        <v>0</v>
      </c>
      <c r="R105" s="2" t="inlineStr"/>
    </row>
    <row r="106" ht="15" customHeight="1">
      <c r="A106" t="inlineStr">
        <is>
          <t>A 8046-2024</t>
        </is>
      </c>
      <c r="B106" s="1" t="n">
        <v>45351.31555555556</v>
      </c>
      <c r="C106" s="1" t="n">
        <v>45969</v>
      </c>
      <c r="D106" t="inlineStr">
        <is>
          <t>DALARNAS LÄN</t>
        </is>
      </c>
      <c r="E106" t="inlineStr">
        <is>
          <t>LEKSAND</t>
        </is>
      </c>
      <c r="G106" t="n">
        <v>2.9</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44393.55643518519</v>
      </c>
      <c r="C107" s="1" t="n">
        <v>45969</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45969</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45969</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14797-2025</t>
        </is>
      </c>
      <c r="B110" s="1" t="n">
        <v>45742.90363425926</v>
      </c>
      <c r="C110" s="1" t="n">
        <v>45969</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46672-2022</t>
        </is>
      </c>
      <c r="B111" s="1" t="n">
        <v>44851</v>
      </c>
      <c r="C111" s="1" t="n">
        <v>45969</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45969</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45969</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45969</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45969</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5583-2024</t>
        </is>
      </c>
      <c r="B116" s="1" t="n">
        <v>45334</v>
      </c>
      <c r="C116" s="1" t="n">
        <v>45969</v>
      </c>
      <c r="D116" t="inlineStr">
        <is>
          <t>DALARNAS LÄN</t>
        </is>
      </c>
      <c r="E116" t="inlineStr">
        <is>
          <t>LEKSAND</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31871-2022</t>
        </is>
      </c>
      <c r="B117" s="1" t="n">
        <v>44777.37854166667</v>
      </c>
      <c r="C117" s="1" t="n">
        <v>45969</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14140-2022</t>
        </is>
      </c>
      <c r="B118" s="1" t="n">
        <v>44651</v>
      </c>
      <c r="C118" s="1" t="n">
        <v>45969</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45969</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24005-2024</t>
        </is>
      </c>
      <c r="B120" s="1" t="n">
        <v>45456.39239583333</v>
      </c>
      <c r="C120" s="1" t="n">
        <v>45969</v>
      </c>
      <c r="D120" t="inlineStr">
        <is>
          <t>DALARNAS LÄN</t>
        </is>
      </c>
      <c r="E120" t="inlineStr">
        <is>
          <t>LEKSAND</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1984-2025</t>
        </is>
      </c>
      <c r="B121" s="1" t="n">
        <v>45670</v>
      </c>
      <c r="C121" s="1" t="n">
        <v>45969</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59199-2024</t>
        </is>
      </c>
      <c r="B122" s="1" t="n">
        <v>45637</v>
      </c>
      <c r="C122" s="1" t="n">
        <v>45969</v>
      </c>
      <c r="D122" t="inlineStr">
        <is>
          <t>DALARNAS LÄN</t>
        </is>
      </c>
      <c r="E122" t="inlineStr">
        <is>
          <t>LEKSAND</t>
        </is>
      </c>
      <c r="G122" t="n">
        <v>5.4</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45969</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45969</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33310-2023</t>
        </is>
      </c>
      <c r="B125" s="1" t="n">
        <v>45127.82231481482</v>
      </c>
      <c r="C125" s="1" t="n">
        <v>45969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57899-2024</t>
        </is>
      </c>
      <c r="B126" s="1" t="n">
        <v>45630</v>
      </c>
      <c r="C126" s="1" t="n">
        <v>45969</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45969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11110-2023</t>
        </is>
      </c>
      <c r="B128" s="1" t="n">
        <v>44992</v>
      </c>
      <c r="C128" s="1" t="n">
        <v>45969</v>
      </c>
      <c r="D128" t="inlineStr">
        <is>
          <t>DALARNAS LÄN</t>
        </is>
      </c>
      <c r="E128" t="inlineStr">
        <is>
          <t>LEKSAND</t>
        </is>
      </c>
      <c r="G128" t="n">
        <v>11.2</v>
      </c>
      <c r="H128" t="n">
        <v>0</v>
      </c>
      <c r="I128" t="n">
        <v>0</v>
      </c>
      <c r="J128" t="n">
        <v>0</v>
      </c>
      <c r="K128" t="n">
        <v>0</v>
      </c>
      <c r="L128" t="n">
        <v>0</v>
      </c>
      <c r="M128" t="n">
        <v>0</v>
      </c>
      <c r="N128" t="n">
        <v>0</v>
      </c>
      <c r="O128" t="n">
        <v>0</v>
      </c>
      <c r="P128" t="n">
        <v>0</v>
      </c>
      <c r="Q128" t="n">
        <v>0</v>
      </c>
      <c r="R128" s="2" t="inlineStr"/>
    </row>
    <row r="129" ht="15" customHeight="1">
      <c r="A129" t="inlineStr">
        <is>
          <t>A 56753-2023</t>
        </is>
      </c>
      <c r="B129" s="1" t="n">
        <v>45244.37094907407</v>
      </c>
      <c r="C129" s="1" t="n">
        <v>45969</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10743-2024</t>
        </is>
      </c>
      <c r="B130" s="1" t="n">
        <v>45369.52167824074</v>
      </c>
      <c r="C130" s="1" t="n">
        <v>45969</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12290-2024</t>
        </is>
      </c>
      <c r="B131" s="1" t="n">
        <v>45378.57877314815</v>
      </c>
      <c r="C131" s="1" t="n">
        <v>45969</v>
      </c>
      <c r="D131" t="inlineStr">
        <is>
          <t>DALARNAS LÄN</t>
        </is>
      </c>
      <c r="E131" t="inlineStr">
        <is>
          <t>LEKSAND</t>
        </is>
      </c>
      <c r="G131" t="n">
        <v>2.5</v>
      </c>
      <c r="H131" t="n">
        <v>0</v>
      </c>
      <c r="I131" t="n">
        <v>0</v>
      </c>
      <c r="J131" t="n">
        <v>0</v>
      </c>
      <c r="K131" t="n">
        <v>0</v>
      </c>
      <c r="L131" t="n">
        <v>0</v>
      </c>
      <c r="M131" t="n">
        <v>0</v>
      </c>
      <c r="N131" t="n">
        <v>0</v>
      </c>
      <c r="O131" t="n">
        <v>0</v>
      </c>
      <c r="P131" t="n">
        <v>0</v>
      </c>
      <c r="Q131" t="n">
        <v>0</v>
      </c>
      <c r="R131" s="2" t="inlineStr"/>
    </row>
    <row r="132" ht="15" customHeight="1">
      <c r="A132" t="inlineStr">
        <is>
          <t>A 45155-2021</t>
        </is>
      </c>
      <c r="B132" s="1" t="n">
        <v>44439</v>
      </c>
      <c r="C132" s="1" t="n">
        <v>45969</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57933-2024</t>
        </is>
      </c>
      <c r="B133" s="1" t="n">
        <v>45630</v>
      </c>
      <c r="C133" s="1" t="n">
        <v>45969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49581-2022</t>
        </is>
      </c>
      <c r="B134" s="1" t="n">
        <v>44862.36287037037</v>
      </c>
      <c r="C134" s="1" t="n">
        <v>45969</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56153-2021</t>
        </is>
      </c>
      <c r="B135" s="1" t="n">
        <v>44477</v>
      </c>
      <c r="C135" s="1" t="n">
        <v>45969</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35080-2022</t>
        </is>
      </c>
      <c r="B136" s="1" t="n">
        <v>44797</v>
      </c>
      <c r="C136" s="1" t="n">
        <v>45969</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70098-2021</t>
        </is>
      </c>
      <c r="B137" s="1" t="n">
        <v>44533</v>
      </c>
      <c r="C137" s="1" t="n">
        <v>45969</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11403-2023</t>
        </is>
      </c>
      <c r="B138" s="1" t="n">
        <v>44993</v>
      </c>
      <c r="C138" s="1" t="n">
        <v>45969</v>
      </c>
      <c r="D138" t="inlineStr">
        <is>
          <t>DALARNAS LÄN</t>
        </is>
      </c>
      <c r="E138" t="inlineStr">
        <is>
          <t>LEKSAND</t>
        </is>
      </c>
      <c r="G138" t="n">
        <v>0.1</v>
      </c>
      <c r="H138" t="n">
        <v>0</v>
      </c>
      <c r="I138" t="n">
        <v>0</v>
      </c>
      <c r="J138" t="n">
        <v>0</v>
      </c>
      <c r="K138" t="n">
        <v>0</v>
      </c>
      <c r="L138" t="n">
        <v>0</v>
      </c>
      <c r="M138" t="n">
        <v>0</v>
      </c>
      <c r="N138" t="n">
        <v>0</v>
      </c>
      <c r="O138" t="n">
        <v>0</v>
      </c>
      <c r="P138" t="n">
        <v>0</v>
      </c>
      <c r="Q138" t="n">
        <v>0</v>
      </c>
      <c r="R138" s="2" t="inlineStr"/>
    </row>
    <row r="139" ht="15" customHeight="1">
      <c r="A139" t="inlineStr">
        <is>
          <t>A 22683-2022</t>
        </is>
      </c>
      <c r="B139" s="1" t="n">
        <v>44714</v>
      </c>
      <c r="C139" s="1" t="n">
        <v>45969</v>
      </c>
      <c r="D139" t="inlineStr">
        <is>
          <t>DALARNAS LÄN</t>
        </is>
      </c>
      <c r="E139" t="inlineStr">
        <is>
          <t>LEKSAND</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52755-2024</t>
        </is>
      </c>
      <c r="B140" s="1" t="n">
        <v>45610.50217592593</v>
      </c>
      <c r="C140" s="1" t="n">
        <v>45969</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6758-2024</t>
        </is>
      </c>
      <c r="B141" s="1" t="n">
        <v>45342.46857638889</v>
      </c>
      <c r="C141" s="1" t="n">
        <v>45969</v>
      </c>
      <c r="D141" t="inlineStr">
        <is>
          <t>DALARNAS LÄN</t>
        </is>
      </c>
      <c r="E141" t="inlineStr">
        <is>
          <t>LEKSAND</t>
        </is>
      </c>
      <c r="F141" t="inlineStr">
        <is>
          <t>Bergvik skog väst AB</t>
        </is>
      </c>
      <c r="G141" t="n">
        <v>6.2</v>
      </c>
      <c r="H141" t="n">
        <v>0</v>
      </c>
      <c r="I141" t="n">
        <v>0</v>
      </c>
      <c r="J141" t="n">
        <v>0</v>
      </c>
      <c r="K141" t="n">
        <v>0</v>
      </c>
      <c r="L141" t="n">
        <v>0</v>
      </c>
      <c r="M141" t="n">
        <v>0</v>
      </c>
      <c r="N141" t="n">
        <v>0</v>
      </c>
      <c r="O141" t="n">
        <v>0</v>
      </c>
      <c r="P141" t="n">
        <v>0</v>
      </c>
      <c r="Q141" t="n">
        <v>0</v>
      </c>
      <c r="R141" s="2" t="inlineStr"/>
    </row>
    <row r="142" ht="15" customHeight="1">
      <c r="A142" t="inlineStr">
        <is>
          <t>A 14616-2024</t>
        </is>
      </c>
      <c r="B142" s="1" t="n">
        <v>45397.2624537037</v>
      </c>
      <c r="C142" s="1" t="n">
        <v>45969</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6846-2023</t>
        </is>
      </c>
      <c r="B143" s="1" t="n">
        <v>44967.43953703704</v>
      </c>
      <c r="C143" s="1" t="n">
        <v>45969</v>
      </c>
      <c r="D143" t="inlineStr">
        <is>
          <t>DALARNAS LÄN</t>
        </is>
      </c>
      <c r="E143" t="inlineStr">
        <is>
          <t>LEKSAND</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45969</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10367-2023</t>
        </is>
      </c>
      <c r="B145" s="1" t="n">
        <v>44987</v>
      </c>
      <c r="C145" s="1" t="n">
        <v>45969</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25025-2023</t>
        </is>
      </c>
      <c r="B146" s="1" t="n">
        <v>45085.92146990741</v>
      </c>
      <c r="C146" s="1" t="n">
        <v>45969</v>
      </c>
      <c r="D146" t="inlineStr">
        <is>
          <t>DALARNAS LÄN</t>
        </is>
      </c>
      <c r="E146" t="inlineStr">
        <is>
          <t>LEKSAND</t>
        </is>
      </c>
      <c r="G146" t="n">
        <v>3</v>
      </c>
      <c r="H146" t="n">
        <v>0</v>
      </c>
      <c r="I146" t="n">
        <v>0</v>
      </c>
      <c r="J146" t="n">
        <v>0</v>
      </c>
      <c r="K146" t="n">
        <v>0</v>
      </c>
      <c r="L146" t="n">
        <v>0</v>
      </c>
      <c r="M146" t="n">
        <v>0</v>
      </c>
      <c r="N146" t="n">
        <v>0</v>
      </c>
      <c r="O146" t="n">
        <v>0</v>
      </c>
      <c r="P146" t="n">
        <v>0</v>
      </c>
      <c r="Q146" t="n">
        <v>0</v>
      </c>
      <c r="R146" s="2" t="inlineStr"/>
    </row>
    <row r="147" ht="15" customHeight="1">
      <c r="A147" t="inlineStr">
        <is>
          <t>A 25038-2023</t>
        </is>
      </c>
      <c r="B147" s="1" t="n">
        <v>45085</v>
      </c>
      <c r="C147" s="1" t="n">
        <v>45969</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1946-2024</t>
        </is>
      </c>
      <c r="B148" s="1" t="n">
        <v>45308</v>
      </c>
      <c r="C148" s="1" t="n">
        <v>45969</v>
      </c>
      <c r="D148" t="inlineStr">
        <is>
          <t>DALARNAS LÄN</t>
        </is>
      </c>
      <c r="E148" t="inlineStr">
        <is>
          <t>LEKSAND</t>
        </is>
      </c>
      <c r="G148" t="n">
        <v>2.3</v>
      </c>
      <c r="H148" t="n">
        <v>0</v>
      </c>
      <c r="I148" t="n">
        <v>0</v>
      </c>
      <c r="J148" t="n">
        <v>0</v>
      </c>
      <c r="K148" t="n">
        <v>0</v>
      </c>
      <c r="L148" t="n">
        <v>0</v>
      </c>
      <c r="M148" t="n">
        <v>0</v>
      </c>
      <c r="N148" t="n">
        <v>0</v>
      </c>
      <c r="O148" t="n">
        <v>0</v>
      </c>
      <c r="P148" t="n">
        <v>0</v>
      </c>
      <c r="Q148" t="n">
        <v>0</v>
      </c>
      <c r="R148" s="2" t="inlineStr"/>
    </row>
    <row r="149" ht="15" customHeight="1">
      <c r="A149" t="inlineStr">
        <is>
          <t>A 6030-2025</t>
        </is>
      </c>
      <c r="B149" s="1" t="n">
        <v>45695</v>
      </c>
      <c r="C149" s="1" t="n">
        <v>45969</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51857-2022</t>
        </is>
      </c>
      <c r="B150" s="1" t="n">
        <v>44867</v>
      </c>
      <c r="C150" s="1" t="n">
        <v>45969</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45969</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15968-2025</t>
        </is>
      </c>
      <c r="B152" s="1" t="n">
        <v>45749.54818287037</v>
      </c>
      <c r="C152" s="1" t="n">
        <v>45969</v>
      </c>
      <c r="D152" t="inlineStr">
        <is>
          <t>DALARNAS LÄN</t>
        </is>
      </c>
      <c r="E152" t="inlineStr">
        <is>
          <t>LEKSAND</t>
        </is>
      </c>
      <c r="G152" t="n">
        <v>3.2</v>
      </c>
      <c r="H152" t="n">
        <v>0</v>
      </c>
      <c r="I152" t="n">
        <v>0</v>
      </c>
      <c r="J152" t="n">
        <v>0</v>
      </c>
      <c r="K152" t="n">
        <v>0</v>
      </c>
      <c r="L152" t="n">
        <v>0</v>
      </c>
      <c r="M152" t="n">
        <v>0</v>
      </c>
      <c r="N152" t="n">
        <v>0</v>
      </c>
      <c r="O152" t="n">
        <v>0</v>
      </c>
      <c r="P152" t="n">
        <v>0</v>
      </c>
      <c r="Q152" t="n">
        <v>0</v>
      </c>
      <c r="R152" s="2" t="inlineStr"/>
    </row>
    <row r="153" ht="15" customHeight="1">
      <c r="A153" t="inlineStr">
        <is>
          <t>A 16005-2025</t>
        </is>
      </c>
      <c r="B153" s="1" t="n">
        <v>45749.59765046297</v>
      </c>
      <c r="C153" s="1" t="n">
        <v>45969</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53981-2024</t>
        </is>
      </c>
      <c r="B154" s="1" t="n">
        <v>45615</v>
      </c>
      <c r="C154" s="1" t="n">
        <v>45969</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45969</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45969</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17589-2025</t>
        </is>
      </c>
      <c r="B157" s="1" t="n">
        <v>45757.67844907408</v>
      </c>
      <c r="C157" s="1" t="n">
        <v>45969</v>
      </c>
      <c r="D157" t="inlineStr">
        <is>
          <t>DALARNAS LÄN</t>
        </is>
      </c>
      <c r="E157" t="inlineStr">
        <is>
          <t>LEKSAND</t>
        </is>
      </c>
      <c r="G157" t="n">
        <v>5.8</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45969</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17533-2023</t>
        </is>
      </c>
      <c r="B159" s="1" t="n">
        <v>45036</v>
      </c>
      <c r="C159" s="1" t="n">
        <v>45969</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49397-2024</t>
        </is>
      </c>
      <c r="B160" s="1" t="n">
        <v>45595</v>
      </c>
      <c r="C160" s="1" t="n">
        <v>45969</v>
      </c>
      <c r="D160" t="inlineStr">
        <is>
          <t>DALARNAS LÄN</t>
        </is>
      </c>
      <c r="E160" t="inlineStr">
        <is>
          <t>LEKSAND</t>
        </is>
      </c>
      <c r="G160" t="n">
        <v>4.3</v>
      </c>
      <c r="H160" t="n">
        <v>0</v>
      </c>
      <c r="I160" t="n">
        <v>0</v>
      </c>
      <c r="J160" t="n">
        <v>0</v>
      </c>
      <c r="K160" t="n">
        <v>0</v>
      </c>
      <c r="L160" t="n">
        <v>0</v>
      </c>
      <c r="M160" t="n">
        <v>0</v>
      </c>
      <c r="N160" t="n">
        <v>0</v>
      </c>
      <c r="O160" t="n">
        <v>0</v>
      </c>
      <c r="P160" t="n">
        <v>0</v>
      </c>
      <c r="Q160" t="n">
        <v>0</v>
      </c>
      <c r="R160" s="2" t="inlineStr"/>
    </row>
    <row r="161" ht="15" customHeight="1">
      <c r="A161" t="inlineStr">
        <is>
          <t>A 11740-2025</t>
        </is>
      </c>
      <c r="B161" s="1" t="n">
        <v>45727.62582175926</v>
      </c>
      <c r="C161" s="1" t="n">
        <v>45969</v>
      </c>
      <c r="D161" t="inlineStr">
        <is>
          <t>DALARNAS LÄN</t>
        </is>
      </c>
      <c r="E161" t="inlineStr">
        <is>
          <t>LEKSAND</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412-2024</t>
        </is>
      </c>
      <c r="B162" s="1" t="n">
        <v>45296</v>
      </c>
      <c r="C162" s="1" t="n">
        <v>45969</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59673-2023</t>
        </is>
      </c>
      <c r="B163" s="1" t="n">
        <v>45255.44603009259</v>
      </c>
      <c r="C163" s="1" t="n">
        <v>45969</v>
      </c>
      <c r="D163" t="inlineStr">
        <is>
          <t>DALARNAS LÄN</t>
        </is>
      </c>
      <c r="E163" t="inlineStr">
        <is>
          <t>LEKSAND</t>
        </is>
      </c>
      <c r="G163" t="n">
        <v>12.2</v>
      </c>
      <c r="H163" t="n">
        <v>0</v>
      </c>
      <c r="I163" t="n">
        <v>0</v>
      </c>
      <c r="J163" t="n">
        <v>0</v>
      </c>
      <c r="K163" t="n">
        <v>0</v>
      </c>
      <c r="L163" t="n">
        <v>0</v>
      </c>
      <c r="M163" t="n">
        <v>0</v>
      </c>
      <c r="N163" t="n">
        <v>0</v>
      </c>
      <c r="O163" t="n">
        <v>0</v>
      </c>
      <c r="P163" t="n">
        <v>0</v>
      </c>
      <c r="Q163" t="n">
        <v>0</v>
      </c>
      <c r="R163" s="2" t="inlineStr"/>
    </row>
    <row r="164" ht="15" customHeight="1">
      <c r="A164" t="inlineStr">
        <is>
          <t>A 23068-2024</t>
        </is>
      </c>
      <c r="B164" s="1" t="n">
        <v>45450.45521990741</v>
      </c>
      <c r="C164" s="1" t="n">
        <v>45969</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22281-2024</t>
        </is>
      </c>
      <c r="B165" s="1" t="n">
        <v>45446.54756944445</v>
      </c>
      <c r="C165" s="1" t="n">
        <v>45969</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6027-2025</t>
        </is>
      </c>
      <c r="B166" s="1" t="n">
        <v>45695</v>
      </c>
      <c r="C166" s="1" t="n">
        <v>45969</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19296-2024</t>
        </is>
      </c>
      <c r="B167" s="1" t="n">
        <v>45428.69438657408</v>
      </c>
      <c r="C167" s="1" t="n">
        <v>45969</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53717-2023</t>
        </is>
      </c>
      <c r="B168" s="1" t="n">
        <v>45230</v>
      </c>
      <c r="C168" s="1" t="n">
        <v>45969</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45969</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43470-2024</t>
        </is>
      </c>
      <c r="B170" s="1" t="n">
        <v>45568</v>
      </c>
      <c r="C170" s="1" t="n">
        <v>45969</v>
      </c>
      <c r="D170" t="inlineStr">
        <is>
          <t>DALARNAS LÄN</t>
        </is>
      </c>
      <c r="E170" t="inlineStr">
        <is>
          <t>LEKSAND</t>
        </is>
      </c>
      <c r="G170" t="n">
        <v>3.1</v>
      </c>
      <c r="H170" t="n">
        <v>0</v>
      </c>
      <c r="I170" t="n">
        <v>0</v>
      </c>
      <c r="J170" t="n">
        <v>0</v>
      </c>
      <c r="K170" t="n">
        <v>0</v>
      </c>
      <c r="L170" t="n">
        <v>0</v>
      </c>
      <c r="M170" t="n">
        <v>0</v>
      </c>
      <c r="N170" t="n">
        <v>0</v>
      </c>
      <c r="O170" t="n">
        <v>0</v>
      </c>
      <c r="P170" t="n">
        <v>0</v>
      </c>
      <c r="Q170" t="n">
        <v>0</v>
      </c>
      <c r="R170" s="2" t="inlineStr"/>
    </row>
    <row r="171" ht="15" customHeight="1">
      <c r="A171" t="inlineStr">
        <is>
          <t>A 40755-2024</t>
        </is>
      </c>
      <c r="B171" s="1" t="n">
        <v>45558.45815972222</v>
      </c>
      <c r="C171" s="1" t="n">
        <v>45969</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23615-2024</t>
        </is>
      </c>
      <c r="B172" s="1" t="n">
        <v>45454.43050925926</v>
      </c>
      <c r="C172" s="1" t="n">
        <v>45969</v>
      </c>
      <c r="D172" t="inlineStr">
        <is>
          <t>DALARNAS LÄN</t>
        </is>
      </c>
      <c r="E172" t="inlineStr">
        <is>
          <t>LEKSAND</t>
        </is>
      </c>
      <c r="G172" t="n">
        <v>1.7</v>
      </c>
      <c r="H172" t="n">
        <v>0</v>
      </c>
      <c r="I172" t="n">
        <v>0</v>
      </c>
      <c r="J172" t="n">
        <v>0</v>
      </c>
      <c r="K172" t="n">
        <v>0</v>
      </c>
      <c r="L172" t="n">
        <v>0</v>
      </c>
      <c r="M172" t="n">
        <v>0</v>
      </c>
      <c r="N172" t="n">
        <v>0</v>
      </c>
      <c r="O172" t="n">
        <v>0</v>
      </c>
      <c r="P172" t="n">
        <v>0</v>
      </c>
      <c r="Q172" t="n">
        <v>0</v>
      </c>
      <c r="R172" s="2" t="inlineStr"/>
    </row>
    <row r="173" ht="15" customHeight="1">
      <c r="A173" t="inlineStr">
        <is>
          <t>A 60873-2023</t>
        </is>
      </c>
      <c r="B173" s="1" t="n">
        <v>45261.03266203704</v>
      </c>
      <c r="C173" s="1" t="n">
        <v>45969</v>
      </c>
      <c r="D173" t="inlineStr">
        <is>
          <t>DALARNAS LÄN</t>
        </is>
      </c>
      <c r="E173" t="inlineStr">
        <is>
          <t>LEKSAND</t>
        </is>
      </c>
      <c r="G173" t="n">
        <v>5.2</v>
      </c>
      <c r="H173" t="n">
        <v>0</v>
      </c>
      <c r="I173" t="n">
        <v>0</v>
      </c>
      <c r="J173" t="n">
        <v>0</v>
      </c>
      <c r="K173" t="n">
        <v>0</v>
      </c>
      <c r="L173" t="n">
        <v>0</v>
      </c>
      <c r="M173" t="n">
        <v>0</v>
      </c>
      <c r="N173" t="n">
        <v>0</v>
      </c>
      <c r="O173" t="n">
        <v>0</v>
      </c>
      <c r="P173" t="n">
        <v>0</v>
      </c>
      <c r="Q173" t="n">
        <v>0</v>
      </c>
      <c r="R173" s="2" t="inlineStr"/>
    </row>
    <row r="174" ht="15" customHeight="1">
      <c r="A174" t="inlineStr">
        <is>
          <t>A 44491-2023</t>
        </is>
      </c>
      <c r="B174" s="1" t="n">
        <v>45183</v>
      </c>
      <c r="C174" s="1" t="n">
        <v>45969</v>
      </c>
      <c r="D174" t="inlineStr">
        <is>
          <t>DALARNAS LÄN</t>
        </is>
      </c>
      <c r="E174" t="inlineStr">
        <is>
          <t>LEKSAND</t>
        </is>
      </c>
      <c r="G174" t="n">
        <v>2.6</v>
      </c>
      <c r="H174" t="n">
        <v>0</v>
      </c>
      <c r="I174" t="n">
        <v>0</v>
      </c>
      <c r="J174" t="n">
        <v>0</v>
      </c>
      <c r="K174" t="n">
        <v>0</v>
      </c>
      <c r="L174" t="n">
        <v>0</v>
      </c>
      <c r="M174" t="n">
        <v>0</v>
      </c>
      <c r="N174" t="n">
        <v>0</v>
      </c>
      <c r="O174" t="n">
        <v>0</v>
      </c>
      <c r="P174" t="n">
        <v>0</v>
      </c>
      <c r="Q174" t="n">
        <v>0</v>
      </c>
      <c r="R174" s="2" t="inlineStr"/>
    </row>
    <row r="175" ht="15" customHeight="1">
      <c r="A175" t="inlineStr">
        <is>
          <t>A 54914-2024</t>
        </is>
      </c>
      <c r="B175" s="1" t="n">
        <v>45618.69380787037</v>
      </c>
      <c r="C175" s="1" t="n">
        <v>45969</v>
      </c>
      <c r="D175" t="inlineStr">
        <is>
          <t>DALARNAS LÄN</t>
        </is>
      </c>
      <c r="E175" t="inlineStr">
        <is>
          <t>LEKSAND</t>
        </is>
      </c>
      <c r="G175" t="n">
        <v>1.7</v>
      </c>
      <c r="H175" t="n">
        <v>0</v>
      </c>
      <c r="I175" t="n">
        <v>0</v>
      </c>
      <c r="J175" t="n">
        <v>0</v>
      </c>
      <c r="K175" t="n">
        <v>0</v>
      </c>
      <c r="L175" t="n">
        <v>0</v>
      </c>
      <c r="M175" t="n">
        <v>0</v>
      </c>
      <c r="N175" t="n">
        <v>0</v>
      </c>
      <c r="O175" t="n">
        <v>0</v>
      </c>
      <c r="P175" t="n">
        <v>0</v>
      </c>
      <c r="Q175" t="n">
        <v>0</v>
      </c>
      <c r="R175" s="2" t="inlineStr"/>
    </row>
    <row r="176" ht="15" customHeight="1">
      <c r="A176" t="inlineStr">
        <is>
          <t>A 33001-2023</t>
        </is>
      </c>
      <c r="B176" s="1" t="n">
        <v>45125</v>
      </c>
      <c r="C176" s="1" t="n">
        <v>45969</v>
      </c>
      <c r="D176" t="inlineStr">
        <is>
          <t>DALARNAS LÄN</t>
        </is>
      </c>
      <c r="E176" t="inlineStr">
        <is>
          <t>LEKSAND</t>
        </is>
      </c>
      <c r="F176" t="inlineStr">
        <is>
          <t>Bergvik skog väst AB</t>
        </is>
      </c>
      <c r="G176" t="n">
        <v>3</v>
      </c>
      <c r="H176" t="n">
        <v>0</v>
      </c>
      <c r="I176" t="n">
        <v>0</v>
      </c>
      <c r="J176" t="n">
        <v>0</v>
      </c>
      <c r="K176" t="n">
        <v>0</v>
      </c>
      <c r="L176" t="n">
        <v>0</v>
      </c>
      <c r="M176" t="n">
        <v>0</v>
      </c>
      <c r="N176" t="n">
        <v>0</v>
      </c>
      <c r="O176" t="n">
        <v>0</v>
      </c>
      <c r="P176" t="n">
        <v>0</v>
      </c>
      <c r="Q176" t="n">
        <v>0</v>
      </c>
      <c r="R176" s="2" t="inlineStr"/>
    </row>
    <row r="177" ht="15" customHeight="1">
      <c r="A177" t="inlineStr">
        <is>
          <t>A 38498-2025</t>
        </is>
      </c>
      <c r="B177" s="1" t="n">
        <v>45884.3706712963</v>
      </c>
      <c r="C177" s="1" t="n">
        <v>45969</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5738-2023</t>
        </is>
      </c>
      <c r="B178" s="1" t="n">
        <v>44962</v>
      </c>
      <c r="C178" s="1" t="n">
        <v>45969</v>
      </c>
      <c r="D178" t="inlineStr">
        <is>
          <t>DALARNAS LÄN</t>
        </is>
      </c>
      <c r="E178" t="inlineStr">
        <is>
          <t>LEKSAND</t>
        </is>
      </c>
      <c r="G178" t="n">
        <v>0.2</v>
      </c>
      <c r="H178" t="n">
        <v>0</v>
      </c>
      <c r="I178" t="n">
        <v>0</v>
      </c>
      <c r="J178" t="n">
        <v>0</v>
      </c>
      <c r="K178" t="n">
        <v>0</v>
      </c>
      <c r="L178" t="n">
        <v>0</v>
      </c>
      <c r="M178" t="n">
        <v>0</v>
      </c>
      <c r="N178" t="n">
        <v>0</v>
      </c>
      <c r="O178" t="n">
        <v>0</v>
      </c>
      <c r="P178" t="n">
        <v>0</v>
      </c>
      <c r="Q178" t="n">
        <v>0</v>
      </c>
      <c r="R178" s="2" t="inlineStr"/>
    </row>
    <row r="179" ht="15" customHeight="1">
      <c r="A179" t="inlineStr">
        <is>
          <t>A 5570-2024</t>
        </is>
      </c>
      <c r="B179" s="1" t="n">
        <v>45334</v>
      </c>
      <c r="C179" s="1" t="n">
        <v>45969</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43693-2022</t>
        </is>
      </c>
      <c r="B180" s="1" t="n">
        <v>44837.6369212963</v>
      </c>
      <c r="C180" s="1" t="n">
        <v>45969</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43735-2022</t>
        </is>
      </c>
      <c r="B181" s="1" t="n">
        <v>44837.70210648148</v>
      </c>
      <c r="C181" s="1" t="n">
        <v>45969</v>
      </c>
      <c r="D181" t="inlineStr">
        <is>
          <t>DALARNAS LÄN</t>
        </is>
      </c>
      <c r="E181" t="inlineStr">
        <is>
          <t>LEKSAND</t>
        </is>
      </c>
      <c r="G181" t="n">
        <v>2.9</v>
      </c>
      <c r="H181" t="n">
        <v>0</v>
      </c>
      <c r="I181" t="n">
        <v>0</v>
      </c>
      <c r="J181" t="n">
        <v>0</v>
      </c>
      <c r="K181" t="n">
        <v>0</v>
      </c>
      <c r="L181" t="n">
        <v>0</v>
      </c>
      <c r="M181" t="n">
        <v>0</v>
      </c>
      <c r="N181" t="n">
        <v>0</v>
      </c>
      <c r="O181" t="n">
        <v>0</v>
      </c>
      <c r="P181" t="n">
        <v>0</v>
      </c>
      <c r="Q181" t="n">
        <v>0</v>
      </c>
      <c r="R181" s="2" t="inlineStr"/>
    </row>
    <row r="182" ht="15" customHeight="1">
      <c r="A182" t="inlineStr">
        <is>
          <t>A 17726-2024</t>
        </is>
      </c>
      <c r="B182" s="1" t="n">
        <v>45418.55609953704</v>
      </c>
      <c r="C182" s="1" t="n">
        <v>45969</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33674-2023</t>
        </is>
      </c>
      <c r="B183" s="1" t="n">
        <v>45132</v>
      </c>
      <c r="C183" s="1" t="n">
        <v>45969</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2517-2024</t>
        </is>
      </c>
      <c r="B184" s="1" t="n">
        <v>45313</v>
      </c>
      <c r="C184" s="1" t="n">
        <v>45969</v>
      </c>
      <c r="D184" t="inlineStr">
        <is>
          <t>DALARNAS LÄN</t>
        </is>
      </c>
      <c r="E184" t="inlineStr">
        <is>
          <t>LEKSAND</t>
        </is>
      </c>
      <c r="F184" t="inlineStr">
        <is>
          <t>Bergvik skog väst AB</t>
        </is>
      </c>
      <c r="G184" t="n">
        <v>4</v>
      </c>
      <c r="H184" t="n">
        <v>0</v>
      </c>
      <c r="I184" t="n">
        <v>0</v>
      </c>
      <c r="J184" t="n">
        <v>0</v>
      </c>
      <c r="K184" t="n">
        <v>0</v>
      </c>
      <c r="L184" t="n">
        <v>0</v>
      </c>
      <c r="M184" t="n">
        <v>0</v>
      </c>
      <c r="N184" t="n">
        <v>0</v>
      </c>
      <c r="O184" t="n">
        <v>0</v>
      </c>
      <c r="P184" t="n">
        <v>0</v>
      </c>
      <c r="Q184" t="n">
        <v>0</v>
      </c>
      <c r="R184" s="2" t="inlineStr"/>
    </row>
    <row r="185" ht="15" customHeight="1">
      <c r="A185" t="inlineStr">
        <is>
          <t>A 167-2023</t>
        </is>
      </c>
      <c r="B185" s="1" t="n">
        <v>44918</v>
      </c>
      <c r="C185" s="1" t="n">
        <v>45969</v>
      </c>
      <c r="D185" t="inlineStr">
        <is>
          <t>DALARNAS LÄN</t>
        </is>
      </c>
      <c r="E185" t="inlineStr">
        <is>
          <t>LEKSAND</t>
        </is>
      </c>
      <c r="G185" t="n">
        <v>0.5</v>
      </c>
      <c r="H185" t="n">
        <v>0</v>
      </c>
      <c r="I185" t="n">
        <v>0</v>
      </c>
      <c r="J185" t="n">
        <v>0</v>
      </c>
      <c r="K185" t="n">
        <v>0</v>
      </c>
      <c r="L185" t="n">
        <v>0</v>
      </c>
      <c r="M185" t="n">
        <v>0</v>
      </c>
      <c r="N185" t="n">
        <v>0</v>
      </c>
      <c r="O185" t="n">
        <v>0</v>
      </c>
      <c r="P185" t="n">
        <v>0</v>
      </c>
      <c r="Q185" t="n">
        <v>0</v>
      </c>
      <c r="R185" s="2" t="inlineStr"/>
    </row>
    <row r="186" ht="15" customHeight="1">
      <c r="A186" t="inlineStr">
        <is>
          <t>A 56950-2024</t>
        </is>
      </c>
      <c r="B186" s="1" t="n">
        <v>45625</v>
      </c>
      <c r="C186" s="1" t="n">
        <v>45969</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60692-2023</t>
        </is>
      </c>
      <c r="B187" s="1" t="n">
        <v>45260.50008101852</v>
      </c>
      <c r="C187" s="1" t="n">
        <v>45969</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47640-2024</t>
        </is>
      </c>
      <c r="B188" s="1" t="n">
        <v>45588.36508101852</v>
      </c>
      <c r="C188" s="1" t="n">
        <v>45969</v>
      </c>
      <c r="D188" t="inlineStr">
        <is>
          <t>DALARNAS LÄN</t>
        </is>
      </c>
      <c r="E188" t="inlineStr">
        <is>
          <t>LEKSAND</t>
        </is>
      </c>
      <c r="G188" t="n">
        <v>9.1</v>
      </c>
      <c r="H188" t="n">
        <v>0</v>
      </c>
      <c r="I188" t="n">
        <v>0</v>
      </c>
      <c r="J188" t="n">
        <v>0</v>
      </c>
      <c r="K188" t="n">
        <v>0</v>
      </c>
      <c r="L188" t="n">
        <v>0</v>
      </c>
      <c r="M188" t="n">
        <v>0</v>
      </c>
      <c r="N188" t="n">
        <v>0</v>
      </c>
      <c r="O188" t="n">
        <v>0</v>
      </c>
      <c r="P188" t="n">
        <v>0</v>
      </c>
      <c r="Q188" t="n">
        <v>0</v>
      </c>
      <c r="R188" s="2" t="inlineStr"/>
    </row>
    <row r="189" ht="15" customHeight="1">
      <c r="A189" t="inlineStr">
        <is>
          <t>A 46949-2025</t>
        </is>
      </c>
      <c r="B189" s="1" t="n">
        <v>45929.46811342592</v>
      </c>
      <c r="C189" s="1" t="n">
        <v>45969</v>
      </c>
      <c r="D189" t="inlineStr">
        <is>
          <t>DALARNAS LÄN</t>
        </is>
      </c>
      <c r="E189" t="inlineStr">
        <is>
          <t>LEKSAND</t>
        </is>
      </c>
      <c r="G189" t="n">
        <v>5</v>
      </c>
      <c r="H189" t="n">
        <v>0</v>
      </c>
      <c r="I189" t="n">
        <v>0</v>
      </c>
      <c r="J189" t="n">
        <v>0</v>
      </c>
      <c r="K189" t="n">
        <v>0</v>
      </c>
      <c r="L189" t="n">
        <v>0</v>
      </c>
      <c r="M189" t="n">
        <v>0</v>
      </c>
      <c r="N189" t="n">
        <v>0</v>
      </c>
      <c r="O189" t="n">
        <v>0</v>
      </c>
      <c r="P189" t="n">
        <v>0</v>
      </c>
      <c r="Q189" t="n">
        <v>0</v>
      </c>
      <c r="R189" s="2" t="inlineStr"/>
    </row>
    <row r="190" ht="15" customHeight="1">
      <c r="A190" t="inlineStr">
        <is>
          <t>A 16135-2023</t>
        </is>
      </c>
      <c r="B190" s="1" t="n">
        <v>45027.63717592593</v>
      </c>
      <c r="C190" s="1" t="n">
        <v>45969</v>
      </c>
      <c r="D190" t="inlineStr">
        <is>
          <t>DALARNAS LÄN</t>
        </is>
      </c>
      <c r="E190" t="inlineStr">
        <is>
          <t>LEKSAND</t>
        </is>
      </c>
      <c r="G190" t="n">
        <v>4.9</v>
      </c>
      <c r="H190" t="n">
        <v>0</v>
      </c>
      <c r="I190" t="n">
        <v>0</v>
      </c>
      <c r="J190" t="n">
        <v>0</v>
      </c>
      <c r="K190" t="n">
        <v>0</v>
      </c>
      <c r="L190" t="n">
        <v>0</v>
      </c>
      <c r="M190" t="n">
        <v>0</v>
      </c>
      <c r="N190" t="n">
        <v>0</v>
      </c>
      <c r="O190" t="n">
        <v>0</v>
      </c>
      <c r="P190" t="n">
        <v>0</v>
      </c>
      <c r="Q190" t="n">
        <v>0</v>
      </c>
      <c r="R190" s="2" t="inlineStr"/>
    </row>
    <row r="191" ht="15" customHeight="1">
      <c r="A191" t="inlineStr">
        <is>
          <t>A 30198-2024</t>
        </is>
      </c>
      <c r="B191" s="1" t="n">
        <v>45490.34765046297</v>
      </c>
      <c r="C191" s="1" t="n">
        <v>45969</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10373-2023</t>
        </is>
      </c>
      <c r="B192" s="1" t="n">
        <v>44987</v>
      </c>
      <c r="C192" s="1" t="n">
        <v>45969</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9938-2023</t>
        </is>
      </c>
      <c r="B193" s="1" t="n">
        <v>44985</v>
      </c>
      <c r="C193" s="1" t="n">
        <v>45969</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59103-2024</t>
        </is>
      </c>
      <c r="B194" s="1" t="n">
        <v>45637.34184027778</v>
      </c>
      <c r="C194" s="1" t="n">
        <v>45969</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30204-2024</t>
        </is>
      </c>
      <c r="B195" s="1" t="n">
        <v>45490.35402777778</v>
      </c>
      <c r="C195" s="1" t="n">
        <v>45969</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19618-2024</t>
        </is>
      </c>
      <c r="B196" s="1" t="n">
        <v>45432.32896990741</v>
      </c>
      <c r="C196" s="1" t="n">
        <v>45969</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70099-2021</t>
        </is>
      </c>
      <c r="B197" s="1" t="n">
        <v>44533</v>
      </c>
      <c r="C197" s="1" t="n">
        <v>45969</v>
      </c>
      <c r="D197" t="inlineStr">
        <is>
          <t>DALARNAS LÄN</t>
        </is>
      </c>
      <c r="E197" t="inlineStr">
        <is>
          <t>LEKSAND</t>
        </is>
      </c>
      <c r="G197" t="n">
        <v>2.8</v>
      </c>
      <c r="H197" t="n">
        <v>0</v>
      </c>
      <c r="I197" t="n">
        <v>0</v>
      </c>
      <c r="J197" t="n">
        <v>0</v>
      </c>
      <c r="K197" t="n">
        <v>0</v>
      </c>
      <c r="L197" t="n">
        <v>0</v>
      </c>
      <c r="M197" t="n">
        <v>0</v>
      </c>
      <c r="N197" t="n">
        <v>0</v>
      </c>
      <c r="O197" t="n">
        <v>0</v>
      </c>
      <c r="P197" t="n">
        <v>0</v>
      </c>
      <c r="Q197" t="n">
        <v>0</v>
      </c>
      <c r="R197" s="2" t="inlineStr"/>
    </row>
    <row r="198" ht="15" customHeight="1">
      <c r="A198" t="inlineStr">
        <is>
          <t>A 23283-2024</t>
        </is>
      </c>
      <c r="B198" s="1" t="n">
        <v>45453</v>
      </c>
      <c r="C198" s="1" t="n">
        <v>45969</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13401-2023</t>
        </is>
      </c>
      <c r="B199" s="1" t="n">
        <v>45005</v>
      </c>
      <c r="C199" s="1" t="n">
        <v>45969</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60113-2022</t>
        </is>
      </c>
      <c r="B200" s="1" t="n">
        <v>44909</v>
      </c>
      <c r="C200" s="1" t="n">
        <v>45969</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15173-2025</t>
        </is>
      </c>
      <c r="B201" s="1" t="n">
        <v>45744.50858796296</v>
      </c>
      <c r="C201" s="1" t="n">
        <v>45969</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30611-2023</t>
        </is>
      </c>
      <c r="B202" s="1" t="n">
        <v>45112</v>
      </c>
      <c r="C202" s="1" t="n">
        <v>45969</v>
      </c>
      <c r="D202" t="inlineStr">
        <is>
          <t>DALARNAS LÄN</t>
        </is>
      </c>
      <c r="E202" t="inlineStr">
        <is>
          <t>LEKSAND</t>
        </is>
      </c>
      <c r="G202" t="n">
        <v>3.1</v>
      </c>
      <c r="H202" t="n">
        <v>0</v>
      </c>
      <c r="I202" t="n">
        <v>0</v>
      </c>
      <c r="J202" t="n">
        <v>0</v>
      </c>
      <c r="K202" t="n">
        <v>0</v>
      </c>
      <c r="L202" t="n">
        <v>0</v>
      </c>
      <c r="M202" t="n">
        <v>0</v>
      </c>
      <c r="N202" t="n">
        <v>0</v>
      </c>
      <c r="O202" t="n">
        <v>0</v>
      </c>
      <c r="P202" t="n">
        <v>0</v>
      </c>
      <c r="Q202" t="n">
        <v>0</v>
      </c>
      <c r="R202" s="2" t="inlineStr"/>
    </row>
    <row r="203" ht="15" customHeight="1">
      <c r="A203" t="inlineStr">
        <is>
          <t>A 31254-2023</t>
        </is>
      </c>
      <c r="B203" s="1" t="n">
        <v>45114</v>
      </c>
      <c r="C203" s="1" t="n">
        <v>45969</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62306-2023</t>
        </is>
      </c>
      <c r="B204" s="1" t="n">
        <v>45266</v>
      </c>
      <c r="C204" s="1" t="n">
        <v>45969</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45969</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32688-2024</t>
        </is>
      </c>
      <c r="B206" s="1" t="n">
        <v>45515.83091435185</v>
      </c>
      <c r="C206" s="1" t="n">
        <v>45969</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33566-2023</t>
        </is>
      </c>
      <c r="B207" s="1" t="n">
        <v>45131.64390046296</v>
      </c>
      <c r="C207" s="1" t="n">
        <v>45969</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30175-2023</t>
        </is>
      </c>
      <c r="B208" s="1" t="n">
        <v>45110</v>
      </c>
      <c r="C208" s="1" t="n">
        <v>45969</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28921-2023</t>
        </is>
      </c>
      <c r="B209" s="1" t="n">
        <v>45104</v>
      </c>
      <c r="C209" s="1" t="n">
        <v>45969</v>
      </c>
      <c r="D209" t="inlineStr">
        <is>
          <t>DALARNAS LÄN</t>
        </is>
      </c>
      <c r="E209" t="inlineStr">
        <is>
          <t>LEKSAND</t>
        </is>
      </c>
      <c r="G209" t="n">
        <v>4.4</v>
      </c>
      <c r="H209" t="n">
        <v>0</v>
      </c>
      <c r="I209" t="n">
        <v>0</v>
      </c>
      <c r="J209" t="n">
        <v>0</v>
      </c>
      <c r="K209" t="n">
        <v>0</v>
      </c>
      <c r="L209" t="n">
        <v>0</v>
      </c>
      <c r="M209" t="n">
        <v>0</v>
      </c>
      <c r="N209" t="n">
        <v>0</v>
      </c>
      <c r="O209" t="n">
        <v>0</v>
      </c>
      <c r="P209" t="n">
        <v>0</v>
      </c>
      <c r="Q209" t="n">
        <v>0</v>
      </c>
      <c r="R209" s="2" t="inlineStr"/>
    </row>
    <row r="210" ht="15" customHeight="1">
      <c r="A210" t="inlineStr">
        <is>
          <t>A 16592-2023</t>
        </is>
      </c>
      <c r="B210" s="1" t="n">
        <v>45030</v>
      </c>
      <c r="C210" s="1" t="n">
        <v>45969</v>
      </c>
      <c r="D210" t="inlineStr">
        <is>
          <t>DALARNAS LÄN</t>
        </is>
      </c>
      <c r="E210" t="inlineStr">
        <is>
          <t>LEKSAND</t>
        </is>
      </c>
      <c r="G210" t="n">
        <v>11.5</v>
      </c>
      <c r="H210" t="n">
        <v>0</v>
      </c>
      <c r="I210" t="n">
        <v>0</v>
      </c>
      <c r="J210" t="n">
        <v>0</v>
      </c>
      <c r="K210" t="n">
        <v>0</v>
      </c>
      <c r="L210" t="n">
        <v>0</v>
      </c>
      <c r="M210" t="n">
        <v>0</v>
      </c>
      <c r="N210" t="n">
        <v>0</v>
      </c>
      <c r="O210" t="n">
        <v>0</v>
      </c>
      <c r="P210" t="n">
        <v>0</v>
      </c>
      <c r="Q210" t="n">
        <v>0</v>
      </c>
      <c r="R210" s="2" t="inlineStr"/>
    </row>
    <row r="211" ht="15" customHeight="1">
      <c r="A211" t="inlineStr">
        <is>
          <t>A 4121-2024</t>
        </is>
      </c>
      <c r="B211" s="1" t="n">
        <v>45323</v>
      </c>
      <c r="C211" s="1" t="n">
        <v>45969</v>
      </c>
      <c r="D211" t="inlineStr">
        <is>
          <t>DALARNAS LÄN</t>
        </is>
      </c>
      <c r="E211" t="inlineStr">
        <is>
          <t>LEKSAND</t>
        </is>
      </c>
      <c r="G211" t="n">
        <v>1.3</v>
      </c>
      <c r="H211" t="n">
        <v>0</v>
      </c>
      <c r="I211" t="n">
        <v>0</v>
      </c>
      <c r="J211" t="n">
        <v>0</v>
      </c>
      <c r="K211" t="n">
        <v>0</v>
      </c>
      <c r="L211" t="n">
        <v>0</v>
      </c>
      <c r="M211" t="n">
        <v>0</v>
      </c>
      <c r="N211" t="n">
        <v>0</v>
      </c>
      <c r="O211" t="n">
        <v>0</v>
      </c>
      <c r="P211" t="n">
        <v>0</v>
      </c>
      <c r="Q211" t="n">
        <v>0</v>
      </c>
      <c r="R211" s="2" t="inlineStr"/>
    </row>
    <row r="212" ht="15" customHeight="1">
      <c r="A212" t="inlineStr">
        <is>
          <t>A 72575-2021</t>
        </is>
      </c>
      <c r="B212" s="1" t="n">
        <v>44546</v>
      </c>
      <c r="C212" s="1" t="n">
        <v>45969</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72581-2021</t>
        </is>
      </c>
      <c r="B213" s="1" t="n">
        <v>44546.46354166666</v>
      </c>
      <c r="C213" s="1" t="n">
        <v>45969</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7395-2025</t>
        </is>
      </c>
      <c r="B214" s="1" t="n">
        <v>45705.34516203704</v>
      </c>
      <c r="C214" s="1" t="n">
        <v>45969</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31971-2024</t>
        </is>
      </c>
      <c r="B215" s="1" t="n">
        <v>45510.55171296297</v>
      </c>
      <c r="C215" s="1" t="n">
        <v>45969</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7897-2025</t>
        </is>
      </c>
      <c r="B216" s="1" t="n">
        <v>45707.30969907407</v>
      </c>
      <c r="C216" s="1" t="n">
        <v>45969</v>
      </c>
      <c r="D216" t="inlineStr">
        <is>
          <t>DALARNAS LÄN</t>
        </is>
      </c>
      <c r="E216" t="inlineStr">
        <is>
          <t>LEKSAND</t>
        </is>
      </c>
      <c r="G216" t="n">
        <v>3.1</v>
      </c>
      <c r="H216" t="n">
        <v>0</v>
      </c>
      <c r="I216" t="n">
        <v>0</v>
      </c>
      <c r="J216" t="n">
        <v>0</v>
      </c>
      <c r="K216" t="n">
        <v>0</v>
      </c>
      <c r="L216" t="n">
        <v>0</v>
      </c>
      <c r="M216" t="n">
        <v>0</v>
      </c>
      <c r="N216" t="n">
        <v>0</v>
      </c>
      <c r="O216" t="n">
        <v>0</v>
      </c>
      <c r="P216" t="n">
        <v>0</v>
      </c>
      <c r="Q216" t="n">
        <v>0</v>
      </c>
      <c r="R216" s="2" t="inlineStr"/>
    </row>
    <row r="217" ht="15" customHeight="1">
      <c r="A217" t="inlineStr">
        <is>
          <t>A 61614-2023</t>
        </is>
      </c>
      <c r="B217" s="1" t="n">
        <v>45261</v>
      </c>
      <c r="C217" s="1" t="n">
        <v>45969</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26062-2024</t>
        </is>
      </c>
      <c r="B218" s="1" t="n">
        <v>45468.3509375</v>
      </c>
      <c r="C218" s="1" t="n">
        <v>45969</v>
      </c>
      <c r="D218" t="inlineStr">
        <is>
          <t>DALARNAS LÄN</t>
        </is>
      </c>
      <c r="E218" t="inlineStr">
        <is>
          <t>LEKSAND</t>
        </is>
      </c>
      <c r="F218" t="inlineStr">
        <is>
          <t>Övriga statliga verk och myndigheter</t>
        </is>
      </c>
      <c r="G218" t="n">
        <v>6.4</v>
      </c>
      <c r="H218" t="n">
        <v>0</v>
      </c>
      <c r="I218" t="n">
        <v>0</v>
      </c>
      <c r="J218" t="n">
        <v>0</v>
      </c>
      <c r="K218" t="n">
        <v>0</v>
      </c>
      <c r="L218" t="n">
        <v>0</v>
      </c>
      <c r="M218" t="n">
        <v>0</v>
      </c>
      <c r="N218" t="n">
        <v>0</v>
      </c>
      <c r="O218" t="n">
        <v>0</v>
      </c>
      <c r="P218" t="n">
        <v>0</v>
      </c>
      <c r="Q218" t="n">
        <v>0</v>
      </c>
      <c r="R218" s="2" t="inlineStr"/>
    </row>
    <row r="219" ht="15" customHeight="1">
      <c r="A219" t="inlineStr">
        <is>
          <t>A 8940-2023</t>
        </is>
      </c>
      <c r="B219" s="1" t="n">
        <v>44974</v>
      </c>
      <c r="C219" s="1" t="n">
        <v>45969</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61546-2021</t>
        </is>
      </c>
      <c r="B220" s="1" t="n">
        <v>44501</v>
      </c>
      <c r="C220" s="1" t="n">
        <v>45969</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9459-2023</t>
        </is>
      </c>
      <c r="B221" s="1" t="n">
        <v>44977</v>
      </c>
      <c r="C221" s="1" t="n">
        <v>45969</v>
      </c>
      <c r="D221" t="inlineStr">
        <is>
          <t>DALARNAS LÄN</t>
        </is>
      </c>
      <c r="E221" t="inlineStr">
        <is>
          <t>LEKSAND</t>
        </is>
      </c>
      <c r="G221" t="n">
        <v>1.1</v>
      </c>
      <c r="H221" t="n">
        <v>0</v>
      </c>
      <c r="I221" t="n">
        <v>0</v>
      </c>
      <c r="J221" t="n">
        <v>0</v>
      </c>
      <c r="K221" t="n">
        <v>0</v>
      </c>
      <c r="L221" t="n">
        <v>0</v>
      </c>
      <c r="M221" t="n">
        <v>0</v>
      </c>
      <c r="N221" t="n">
        <v>0</v>
      </c>
      <c r="O221" t="n">
        <v>0</v>
      </c>
      <c r="P221" t="n">
        <v>0</v>
      </c>
      <c r="Q221" t="n">
        <v>0</v>
      </c>
      <c r="R221" s="2" t="inlineStr"/>
    </row>
    <row r="222" ht="15" customHeight="1">
      <c r="A222" t="inlineStr">
        <is>
          <t>A 34585-2024</t>
        </is>
      </c>
      <c r="B222" s="1" t="n">
        <v>45526.37697916666</v>
      </c>
      <c r="C222" s="1" t="n">
        <v>45969</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56941-2024</t>
        </is>
      </c>
      <c r="B223" s="1" t="n">
        <v>45625</v>
      </c>
      <c r="C223" s="1" t="n">
        <v>45969</v>
      </c>
      <c r="D223" t="inlineStr">
        <is>
          <t>DALARNAS LÄN</t>
        </is>
      </c>
      <c r="E223" t="inlineStr">
        <is>
          <t>LEKSAND</t>
        </is>
      </c>
      <c r="G223" t="n">
        <v>1.8</v>
      </c>
      <c r="H223" t="n">
        <v>0</v>
      </c>
      <c r="I223" t="n">
        <v>0</v>
      </c>
      <c r="J223" t="n">
        <v>0</v>
      </c>
      <c r="K223" t="n">
        <v>0</v>
      </c>
      <c r="L223" t="n">
        <v>0</v>
      </c>
      <c r="M223" t="n">
        <v>0</v>
      </c>
      <c r="N223" t="n">
        <v>0</v>
      </c>
      <c r="O223" t="n">
        <v>0</v>
      </c>
      <c r="P223" t="n">
        <v>0</v>
      </c>
      <c r="Q223" t="n">
        <v>0</v>
      </c>
      <c r="R223" s="2" t="inlineStr"/>
    </row>
    <row r="224" ht="15" customHeight="1">
      <c r="A224" t="inlineStr">
        <is>
          <t>A 7653-2025</t>
        </is>
      </c>
      <c r="B224" s="1" t="n">
        <v>45705.95238425926</v>
      </c>
      <c r="C224" s="1" t="n">
        <v>45969</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63514-2023</t>
        </is>
      </c>
      <c r="B225" s="1" t="n">
        <v>45274</v>
      </c>
      <c r="C225" s="1" t="n">
        <v>45969</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41853-2023</t>
        </is>
      </c>
      <c r="B226" s="1" t="n">
        <v>45176.62483796296</v>
      </c>
      <c r="C226" s="1" t="n">
        <v>45969</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48721-2023</t>
        </is>
      </c>
      <c r="B227" s="1" t="n">
        <v>45203</v>
      </c>
      <c r="C227" s="1" t="n">
        <v>45969</v>
      </c>
      <c r="D227" t="inlineStr">
        <is>
          <t>DALARNAS LÄN</t>
        </is>
      </c>
      <c r="E227" t="inlineStr">
        <is>
          <t>LEKSAND</t>
        </is>
      </c>
      <c r="G227" t="n">
        <v>2.9</v>
      </c>
      <c r="H227" t="n">
        <v>0</v>
      </c>
      <c r="I227" t="n">
        <v>0</v>
      </c>
      <c r="J227" t="n">
        <v>0</v>
      </c>
      <c r="K227" t="n">
        <v>0</v>
      </c>
      <c r="L227" t="n">
        <v>0</v>
      </c>
      <c r="M227" t="n">
        <v>0</v>
      </c>
      <c r="N227" t="n">
        <v>0</v>
      </c>
      <c r="O227" t="n">
        <v>0</v>
      </c>
      <c r="P227" t="n">
        <v>0</v>
      </c>
      <c r="Q227" t="n">
        <v>0</v>
      </c>
      <c r="R227" s="2" t="inlineStr"/>
    </row>
    <row r="228" ht="15" customHeight="1">
      <c r="A228" t="inlineStr">
        <is>
          <t>A 62116-2024</t>
        </is>
      </c>
      <c r="B228" s="1" t="n">
        <v>45646</v>
      </c>
      <c r="C228" s="1" t="n">
        <v>45969</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33463-2023</t>
        </is>
      </c>
      <c r="B229" s="1" t="n">
        <v>45131</v>
      </c>
      <c r="C229" s="1" t="n">
        <v>45969</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8755-2023</t>
        </is>
      </c>
      <c r="B230" s="1" t="n">
        <v>44978</v>
      </c>
      <c r="C230" s="1" t="n">
        <v>45969</v>
      </c>
      <c r="D230" t="inlineStr">
        <is>
          <t>DALARNAS LÄN</t>
        </is>
      </c>
      <c r="E230" t="inlineStr">
        <is>
          <t>LEKSAND</t>
        </is>
      </c>
      <c r="G230" t="n">
        <v>2.3</v>
      </c>
      <c r="H230" t="n">
        <v>0</v>
      </c>
      <c r="I230" t="n">
        <v>0</v>
      </c>
      <c r="J230" t="n">
        <v>0</v>
      </c>
      <c r="K230" t="n">
        <v>0</v>
      </c>
      <c r="L230" t="n">
        <v>0</v>
      </c>
      <c r="M230" t="n">
        <v>0</v>
      </c>
      <c r="N230" t="n">
        <v>0</v>
      </c>
      <c r="O230" t="n">
        <v>0</v>
      </c>
      <c r="P230" t="n">
        <v>0</v>
      </c>
      <c r="Q230" t="n">
        <v>0</v>
      </c>
      <c r="R230" s="2" t="inlineStr"/>
    </row>
    <row r="231" ht="15" customHeight="1">
      <c r="A231" t="inlineStr">
        <is>
          <t>A 59840-2024</t>
        </is>
      </c>
      <c r="B231" s="1" t="n">
        <v>45638</v>
      </c>
      <c r="C231" s="1" t="n">
        <v>45969</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15986-2025</t>
        </is>
      </c>
      <c r="B232" s="1" t="n">
        <v>45749.57331018519</v>
      </c>
      <c r="C232" s="1" t="n">
        <v>45969</v>
      </c>
      <c r="D232" t="inlineStr">
        <is>
          <t>DALARNAS LÄN</t>
        </is>
      </c>
      <c r="E232" t="inlineStr">
        <is>
          <t>LEKSAND</t>
        </is>
      </c>
      <c r="G232" t="n">
        <v>2.7</v>
      </c>
      <c r="H232" t="n">
        <v>0</v>
      </c>
      <c r="I232" t="n">
        <v>0</v>
      </c>
      <c r="J232" t="n">
        <v>0</v>
      </c>
      <c r="K232" t="n">
        <v>0</v>
      </c>
      <c r="L232" t="n">
        <v>0</v>
      </c>
      <c r="M232" t="n">
        <v>0</v>
      </c>
      <c r="N232" t="n">
        <v>0</v>
      </c>
      <c r="O232" t="n">
        <v>0</v>
      </c>
      <c r="P232" t="n">
        <v>0</v>
      </c>
      <c r="Q232" t="n">
        <v>0</v>
      </c>
      <c r="R232" s="2" t="inlineStr"/>
    </row>
    <row r="233" ht="15" customHeight="1">
      <c r="A233" t="inlineStr">
        <is>
          <t>A 62295-2023</t>
        </is>
      </c>
      <c r="B233" s="1" t="n">
        <v>45267</v>
      </c>
      <c r="C233" s="1" t="n">
        <v>45969</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7928-2023</t>
        </is>
      </c>
      <c r="B234" s="1" t="n">
        <v>44973</v>
      </c>
      <c r="C234" s="1" t="n">
        <v>45969</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10967-2023</t>
        </is>
      </c>
      <c r="B235" s="1" t="n">
        <v>44991.58001157407</v>
      </c>
      <c r="C235" s="1" t="n">
        <v>45969</v>
      </c>
      <c r="D235" t="inlineStr">
        <is>
          <t>DALARNAS LÄN</t>
        </is>
      </c>
      <c r="E235" t="inlineStr">
        <is>
          <t>LEKSAND</t>
        </is>
      </c>
      <c r="G235" t="n">
        <v>0.5</v>
      </c>
      <c r="H235" t="n">
        <v>0</v>
      </c>
      <c r="I235" t="n">
        <v>0</v>
      </c>
      <c r="J235" t="n">
        <v>0</v>
      </c>
      <c r="K235" t="n">
        <v>0</v>
      </c>
      <c r="L235" t="n">
        <v>0</v>
      </c>
      <c r="M235" t="n">
        <v>0</v>
      </c>
      <c r="N235" t="n">
        <v>0</v>
      </c>
      <c r="O235" t="n">
        <v>0</v>
      </c>
      <c r="P235" t="n">
        <v>0</v>
      </c>
      <c r="Q235" t="n">
        <v>0</v>
      </c>
      <c r="R235" s="2" t="inlineStr"/>
    </row>
    <row r="236" ht="15" customHeight="1">
      <c r="A236" t="inlineStr">
        <is>
          <t>A 10974-2023</t>
        </is>
      </c>
      <c r="B236" s="1" t="n">
        <v>44991.59049768518</v>
      </c>
      <c r="C236" s="1" t="n">
        <v>45969</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10771-2024</t>
        </is>
      </c>
      <c r="B237" s="1" t="n">
        <v>45369.57342592593</v>
      </c>
      <c r="C237" s="1" t="n">
        <v>45969</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55516-2024</t>
        </is>
      </c>
      <c r="B238" s="1" t="n">
        <v>45621</v>
      </c>
      <c r="C238" s="1" t="n">
        <v>45969</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30860-2024</t>
        </is>
      </c>
      <c r="B239" s="1" t="n">
        <v>45497.69108796296</v>
      </c>
      <c r="C239" s="1" t="n">
        <v>45969</v>
      </c>
      <c r="D239" t="inlineStr">
        <is>
          <t>DALARNAS LÄN</t>
        </is>
      </c>
      <c r="E239" t="inlineStr">
        <is>
          <t>LEKSAND</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30864-2024</t>
        </is>
      </c>
      <c r="B240" s="1" t="n">
        <v>45497.71550925926</v>
      </c>
      <c r="C240" s="1" t="n">
        <v>45969</v>
      </c>
      <c r="D240" t="inlineStr">
        <is>
          <t>DALARNAS LÄN</t>
        </is>
      </c>
      <c r="E240" t="inlineStr">
        <is>
          <t>LEKSAND</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30858-2024</t>
        </is>
      </c>
      <c r="B241" s="1" t="n">
        <v>45497.67601851852</v>
      </c>
      <c r="C241" s="1" t="n">
        <v>45969</v>
      </c>
      <c r="D241" t="inlineStr">
        <is>
          <t>DALARNAS LÄN</t>
        </is>
      </c>
      <c r="E241" t="inlineStr">
        <is>
          <t>LEKSAND</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38721-2025</t>
        </is>
      </c>
      <c r="B242" s="1" t="n">
        <v>45886.83605324074</v>
      </c>
      <c r="C242" s="1" t="n">
        <v>45969</v>
      </c>
      <c r="D242" t="inlineStr">
        <is>
          <t>DALARNAS LÄN</t>
        </is>
      </c>
      <c r="E242" t="inlineStr">
        <is>
          <t>LEKSAND</t>
        </is>
      </c>
      <c r="G242" t="n">
        <v>1.3</v>
      </c>
      <c r="H242" t="n">
        <v>0</v>
      </c>
      <c r="I242" t="n">
        <v>0</v>
      </c>
      <c r="J242" t="n">
        <v>0</v>
      </c>
      <c r="K242" t="n">
        <v>0</v>
      </c>
      <c r="L242" t="n">
        <v>0</v>
      </c>
      <c r="M242" t="n">
        <v>0</v>
      </c>
      <c r="N242" t="n">
        <v>0</v>
      </c>
      <c r="O242" t="n">
        <v>0</v>
      </c>
      <c r="P242" t="n">
        <v>0</v>
      </c>
      <c r="Q242" t="n">
        <v>0</v>
      </c>
      <c r="R242" s="2" t="inlineStr"/>
    </row>
    <row r="243" ht="15" customHeight="1">
      <c r="A243" t="inlineStr">
        <is>
          <t>A 5582-2024</t>
        </is>
      </c>
      <c r="B243" s="1" t="n">
        <v>45334</v>
      </c>
      <c r="C243" s="1" t="n">
        <v>45969</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5584-2024</t>
        </is>
      </c>
      <c r="B244" s="1" t="n">
        <v>45334</v>
      </c>
      <c r="C244" s="1" t="n">
        <v>45969</v>
      </c>
      <c r="D244" t="inlineStr">
        <is>
          <t>DALARNAS LÄN</t>
        </is>
      </c>
      <c r="E244" t="inlineStr">
        <is>
          <t>LEKSAND</t>
        </is>
      </c>
      <c r="F244" t="inlineStr">
        <is>
          <t>Kyrkan</t>
        </is>
      </c>
      <c r="G244" t="n">
        <v>0.4</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44628.52340277778</v>
      </c>
      <c r="C245" s="1" t="n">
        <v>45969</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46834-2023</t>
        </is>
      </c>
      <c r="B246" s="1" t="n">
        <v>45199.35668981481</v>
      </c>
      <c r="C246" s="1" t="n">
        <v>45969</v>
      </c>
      <c r="D246" t="inlineStr">
        <is>
          <t>DALARNAS LÄN</t>
        </is>
      </c>
      <c r="E246" t="inlineStr">
        <is>
          <t>LEKSAND</t>
        </is>
      </c>
      <c r="G246" t="n">
        <v>16.3</v>
      </c>
      <c r="H246" t="n">
        <v>0</v>
      </c>
      <c r="I246" t="n">
        <v>0</v>
      </c>
      <c r="J246" t="n">
        <v>0</v>
      </c>
      <c r="K246" t="n">
        <v>0</v>
      </c>
      <c r="L246" t="n">
        <v>0</v>
      </c>
      <c r="M246" t="n">
        <v>0</v>
      </c>
      <c r="N246" t="n">
        <v>0</v>
      </c>
      <c r="O246" t="n">
        <v>0</v>
      </c>
      <c r="P246" t="n">
        <v>0</v>
      </c>
      <c r="Q246" t="n">
        <v>0</v>
      </c>
      <c r="R246" s="2" t="inlineStr"/>
    </row>
    <row r="247" ht="15" customHeight="1">
      <c r="A247" t="inlineStr">
        <is>
          <t>A 12582-2025</t>
        </is>
      </c>
      <c r="B247" s="1" t="n">
        <v>45732.62988425926</v>
      </c>
      <c r="C247" s="1" t="n">
        <v>45969</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1182-2025</t>
        </is>
      </c>
      <c r="B248" s="1" t="n">
        <v>45667.35712962963</v>
      </c>
      <c r="C248" s="1" t="n">
        <v>45969</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1519-2024</t>
        </is>
      </c>
      <c r="B249" s="1" t="n">
        <v>45306</v>
      </c>
      <c r="C249" s="1" t="n">
        <v>45969</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1983-2025</t>
        </is>
      </c>
      <c r="B250" s="1" t="n">
        <v>45670</v>
      </c>
      <c r="C250" s="1" t="n">
        <v>45969</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21402-2023</t>
        </is>
      </c>
      <c r="B251" s="1" t="n">
        <v>45061</v>
      </c>
      <c r="C251" s="1" t="n">
        <v>45969</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44543.59780092593</v>
      </c>
      <c r="C252" s="1" t="n">
        <v>45969</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45969</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32-2024</t>
        </is>
      </c>
      <c r="B254" s="1" t="n">
        <v>45293</v>
      </c>
      <c r="C254" s="1" t="n">
        <v>45969</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43142-2024</t>
        </is>
      </c>
      <c r="B255" s="1" t="n">
        <v>45567.62144675926</v>
      </c>
      <c r="C255" s="1" t="n">
        <v>45969</v>
      </c>
      <c r="D255" t="inlineStr">
        <is>
          <t>DALARNAS LÄN</t>
        </is>
      </c>
      <c r="E255" t="inlineStr">
        <is>
          <t>LEKSAND</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47673-2023</t>
        </is>
      </c>
      <c r="B256" s="1" t="n">
        <v>45203</v>
      </c>
      <c r="C256" s="1" t="n">
        <v>45969</v>
      </c>
      <c r="D256" t="inlineStr">
        <is>
          <t>DALARNAS LÄN</t>
        </is>
      </c>
      <c r="E256" t="inlineStr">
        <is>
          <t>LEKSAND</t>
        </is>
      </c>
      <c r="G256" t="n">
        <v>2</v>
      </c>
      <c r="H256" t="n">
        <v>0</v>
      </c>
      <c r="I256" t="n">
        <v>0</v>
      </c>
      <c r="J256" t="n">
        <v>0</v>
      </c>
      <c r="K256" t="n">
        <v>0</v>
      </c>
      <c r="L256" t="n">
        <v>0</v>
      </c>
      <c r="M256" t="n">
        <v>0</v>
      </c>
      <c r="N256" t="n">
        <v>0</v>
      </c>
      <c r="O256" t="n">
        <v>0</v>
      </c>
      <c r="P256" t="n">
        <v>0</v>
      </c>
      <c r="Q256" t="n">
        <v>0</v>
      </c>
      <c r="R256" s="2" t="inlineStr"/>
    </row>
    <row r="257" ht="15" customHeight="1">
      <c r="A257" t="inlineStr">
        <is>
          <t>A 36932-2023</t>
        </is>
      </c>
      <c r="B257" s="1" t="n">
        <v>45154</v>
      </c>
      <c r="C257" s="1" t="n">
        <v>45969</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23663-2024</t>
        </is>
      </c>
      <c r="B258" s="1" t="n">
        <v>45454.57049768518</v>
      </c>
      <c r="C258" s="1" t="n">
        <v>45969</v>
      </c>
      <c r="D258" t="inlineStr">
        <is>
          <t>DALARNAS LÄN</t>
        </is>
      </c>
      <c r="E258" t="inlineStr">
        <is>
          <t>LEKSAND</t>
        </is>
      </c>
      <c r="G258" t="n">
        <v>2.5</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45969</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33180-2024</t>
        </is>
      </c>
      <c r="B260" s="1" t="n">
        <v>45518.44481481481</v>
      </c>
      <c r="C260" s="1" t="n">
        <v>45969</v>
      </c>
      <c r="D260" t="inlineStr">
        <is>
          <t>DALARNAS LÄN</t>
        </is>
      </c>
      <c r="E260" t="inlineStr">
        <is>
          <t>LEKSAND</t>
        </is>
      </c>
      <c r="G260" t="n">
        <v>7.6</v>
      </c>
      <c r="H260" t="n">
        <v>0</v>
      </c>
      <c r="I260" t="n">
        <v>0</v>
      </c>
      <c r="J260" t="n">
        <v>0</v>
      </c>
      <c r="K260" t="n">
        <v>0</v>
      </c>
      <c r="L260" t="n">
        <v>0</v>
      </c>
      <c r="M260" t="n">
        <v>0</v>
      </c>
      <c r="N260" t="n">
        <v>0</v>
      </c>
      <c r="O260" t="n">
        <v>0</v>
      </c>
      <c r="P260" t="n">
        <v>0</v>
      </c>
      <c r="Q260" t="n">
        <v>0</v>
      </c>
      <c r="R260" s="2" t="inlineStr"/>
    </row>
    <row r="261" ht="15" customHeight="1">
      <c r="A261" t="inlineStr">
        <is>
          <t>A 58244-2024</t>
        </is>
      </c>
      <c r="B261" s="1" t="n">
        <v>45631</v>
      </c>
      <c r="C261" s="1" t="n">
        <v>45969</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62161-2024</t>
        </is>
      </c>
      <c r="B262" s="1" t="n">
        <v>45656.86009259259</v>
      </c>
      <c r="C262" s="1" t="n">
        <v>45969</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60715-2022</t>
        </is>
      </c>
      <c r="B263" s="1" t="n">
        <v>44912</v>
      </c>
      <c r="C263" s="1" t="n">
        <v>45969</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11606-2025</t>
        </is>
      </c>
      <c r="B264" s="1" t="n">
        <v>45727</v>
      </c>
      <c r="C264" s="1" t="n">
        <v>45969</v>
      </c>
      <c r="D264" t="inlineStr">
        <is>
          <t>DALARNAS LÄN</t>
        </is>
      </c>
      <c r="E264" t="inlineStr">
        <is>
          <t>LEKSAND</t>
        </is>
      </c>
      <c r="G264" t="n">
        <v>2.3</v>
      </c>
      <c r="H264" t="n">
        <v>0</v>
      </c>
      <c r="I264" t="n">
        <v>0</v>
      </c>
      <c r="J264" t="n">
        <v>0</v>
      </c>
      <c r="K264" t="n">
        <v>0</v>
      </c>
      <c r="L264" t="n">
        <v>0</v>
      </c>
      <c r="M264" t="n">
        <v>0</v>
      </c>
      <c r="N264" t="n">
        <v>0</v>
      </c>
      <c r="O264" t="n">
        <v>0</v>
      </c>
      <c r="P264" t="n">
        <v>0</v>
      </c>
      <c r="Q264" t="n">
        <v>0</v>
      </c>
      <c r="R264" s="2" t="inlineStr"/>
    </row>
    <row r="265" ht="15" customHeight="1">
      <c r="A265" t="inlineStr">
        <is>
          <t>A 11092-2023</t>
        </is>
      </c>
      <c r="B265" s="1" t="n">
        <v>44992</v>
      </c>
      <c r="C265" s="1" t="n">
        <v>45969</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15882-2023</t>
        </is>
      </c>
      <c r="B266" s="1" t="n">
        <v>45022</v>
      </c>
      <c r="C266" s="1" t="n">
        <v>45969</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21954-2023</t>
        </is>
      </c>
      <c r="B267" s="1" t="n">
        <v>45068</v>
      </c>
      <c r="C267" s="1" t="n">
        <v>45969</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1775-2022</t>
        </is>
      </c>
      <c r="B268" s="1" t="n">
        <v>44574</v>
      </c>
      <c r="C268" s="1" t="n">
        <v>45969</v>
      </c>
      <c r="D268" t="inlineStr">
        <is>
          <t>DALARNAS LÄN</t>
        </is>
      </c>
      <c r="E268" t="inlineStr">
        <is>
          <t>LEKSAND</t>
        </is>
      </c>
      <c r="G268" t="n">
        <v>2</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45969</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47068-2025</t>
        </is>
      </c>
      <c r="B270" s="1" t="n">
        <v>45929.63511574074</v>
      </c>
      <c r="C270" s="1" t="n">
        <v>45969</v>
      </c>
      <c r="D270" t="inlineStr">
        <is>
          <t>DALARNAS LÄN</t>
        </is>
      </c>
      <c r="E270" t="inlineStr">
        <is>
          <t>LEKSAND</t>
        </is>
      </c>
      <c r="G270" t="n">
        <v>3.4</v>
      </c>
      <c r="H270" t="n">
        <v>0</v>
      </c>
      <c r="I270" t="n">
        <v>0</v>
      </c>
      <c r="J270" t="n">
        <v>0</v>
      </c>
      <c r="K270" t="n">
        <v>0</v>
      </c>
      <c r="L270" t="n">
        <v>0</v>
      </c>
      <c r="M270" t="n">
        <v>0</v>
      </c>
      <c r="N270" t="n">
        <v>0</v>
      </c>
      <c r="O270" t="n">
        <v>0</v>
      </c>
      <c r="P270" t="n">
        <v>0</v>
      </c>
      <c r="Q270" t="n">
        <v>0</v>
      </c>
      <c r="R270" s="2" t="inlineStr"/>
    </row>
    <row r="271" ht="15" customHeight="1">
      <c r="A271" t="inlineStr">
        <is>
          <t>A 1443-2024</t>
        </is>
      </c>
      <c r="B271" s="1" t="n">
        <v>45303</v>
      </c>
      <c r="C271" s="1" t="n">
        <v>45969</v>
      </c>
      <c r="D271" t="inlineStr">
        <is>
          <t>DALARNAS LÄN</t>
        </is>
      </c>
      <c r="E271" t="inlineStr">
        <is>
          <t>LEKSAND</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1457-2024</t>
        </is>
      </c>
      <c r="B272" s="1" t="n">
        <v>45303</v>
      </c>
      <c r="C272" s="1" t="n">
        <v>45969</v>
      </c>
      <c r="D272" t="inlineStr">
        <is>
          <t>DALARNAS LÄN</t>
        </is>
      </c>
      <c r="E272" t="inlineStr">
        <is>
          <t>LEKSAND</t>
        </is>
      </c>
      <c r="G272" t="n">
        <v>4.4</v>
      </c>
      <c r="H272" t="n">
        <v>0</v>
      </c>
      <c r="I272" t="n">
        <v>0</v>
      </c>
      <c r="J272" t="n">
        <v>0</v>
      </c>
      <c r="K272" t="n">
        <v>0</v>
      </c>
      <c r="L272" t="n">
        <v>0</v>
      </c>
      <c r="M272" t="n">
        <v>0</v>
      </c>
      <c r="N272" t="n">
        <v>0</v>
      </c>
      <c r="O272" t="n">
        <v>0</v>
      </c>
      <c r="P272" t="n">
        <v>0</v>
      </c>
      <c r="Q272" t="n">
        <v>0</v>
      </c>
      <c r="R272" s="2" t="inlineStr"/>
    </row>
    <row r="273" ht="15" customHeight="1">
      <c r="A273" t="inlineStr">
        <is>
          <t>A 8743-2023</t>
        </is>
      </c>
      <c r="B273" s="1" t="n">
        <v>44978</v>
      </c>
      <c r="C273" s="1" t="n">
        <v>45969</v>
      </c>
      <c r="D273" t="inlineStr">
        <is>
          <t>DALARNAS LÄN</t>
        </is>
      </c>
      <c r="E273" t="inlineStr">
        <is>
          <t>LEKSAND</t>
        </is>
      </c>
      <c r="G273" t="n">
        <v>3</v>
      </c>
      <c r="H273" t="n">
        <v>0</v>
      </c>
      <c r="I273" t="n">
        <v>0</v>
      </c>
      <c r="J273" t="n">
        <v>0</v>
      </c>
      <c r="K273" t="n">
        <v>0</v>
      </c>
      <c r="L273" t="n">
        <v>0</v>
      </c>
      <c r="M273" t="n">
        <v>0</v>
      </c>
      <c r="N273" t="n">
        <v>0</v>
      </c>
      <c r="O273" t="n">
        <v>0</v>
      </c>
      <c r="P273" t="n">
        <v>0</v>
      </c>
      <c r="Q273" t="n">
        <v>0</v>
      </c>
      <c r="R273" s="2" t="inlineStr"/>
    </row>
    <row r="274" ht="15" customHeight="1">
      <c r="A274" t="inlineStr">
        <is>
          <t>A 46978-2025</t>
        </is>
      </c>
      <c r="B274" s="1" t="n">
        <v>45929.51811342593</v>
      </c>
      <c r="C274" s="1" t="n">
        <v>45969</v>
      </c>
      <c r="D274" t="inlineStr">
        <is>
          <t>DALARNAS LÄN</t>
        </is>
      </c>
      <c r="E274" t="inlineStr">
        <is>
          <t>LEKSAND</t>
        </is>
      </c>
      <c r="G274" t="n">
        <v>2</v>
      </c>
      <c r="H274" t="n">
        <v>0</v>
      </c>
      <c r="I274" t="n">
        <v>0</v>
      </c>
      <c r="J274" t="n">
        <v>0</v>
      </c>
      <c r="K274" t="n">
        <v>0</v>
      </c>
      <c r="L274" t="n">
        <v>0</v>
      </c>
      <c r="M274" t="n">
        <v>0</v>
      </c>
      <c r="N274" t="n">
        <v>0</v>
      </c>
      <c r="O274" t="n">
        <v>0</v>
      </c>
      <c r="P274" t="n">
        <v>0</v>
      </c>
      <c r="Q274" t="n">
        <v>0</v>
      </c>
      <c r="R274" s="2" t="inlineStr"/>
    </row>
    <row r="275" ht="15" customHeight="1">
      <c r="A275" t="inlineStr">
        <is>
          <t>A 1215-2024</t>
        </is>
      </c>
      <c r="B275" s="1" t="n">
        <v>45302</v>
      </c>
      <c r="C275" s="1" t="n">
        <v>45969</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57665-2023</t>
        </is>
      </c>
      <c r="B276" s="1" t="n">
        <v>45246</v>
      </c>
      <c r="C276" s="1" t="n">
        <v>45969</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63544-2023</t>
        </is>
      </c>
      <c r="B277" s="1" t="n">
        <v>45275</v>
      </c>
      <c r="C277" s="1" t="n">
        <v>45969</v>
      </c>
      <c r="D277" t="inlineStr">
        <is>
          <t>DALARNAS LÄN</t>
        </is>
      </c>
      <c r="E277" t="inlineStr">
        <is>
          <t>LEKSAND</t>
        </is>
      </c>
      <c r="G277" t="n">
        <v>0.3</v>
      </c>
      <c r="H277" t="n">
        <v>0</v>
      </c>
      <c r="I277" t="n">
        <v>0</v>
      </c>
      <c r="J277" t="n">
        <v>0</v>
      </c>
      <c r="K277" t="n">
        <v>0</v>
      </c>
      <c r="L277" t="n">
        <v>0</v>
      </c>
      <c r="M277" t="n">
        <v>0</v>
      </c>
      <c r="N277" t="n">
        <v>0</v>
      </c>
      <c r="O277" t="n">
        <v>0</v>
      </c>
      <c r="P277" t="n">
        <v>0</v>
      </c>
      <c r="Q277" t="n">
        <v>0</v>
      </c>
      <c r="R277" s="2" t="inlineStr"/>
    </row>
    <row r="278" ht="15" customHeight="1">
      <c r="A278" t="inlineStr">
        <is>
          <t>A 53464-2024</t>
        </is>
      </c>
      <c r="B278" s="1" t="n">
        <v>45611</v>
      </c>
      <c r="C278" s="1" t="n">
        <v>45969</v>
      </c>
      <c r="D278" t="inlineStr">
        <is>
          <t>DALARNAS LÄN</t>
        </is>
      </c>
      <c r="E278" t="inlineStr">
        <is>
          <t>LEKSAND</t>
        </is>
      </c>
      <c r="G278" t="n">
        <v>1.7</v>
      </c>
      <c r="H278" t="n">
        <v>0</v>
      </c>
      <c r="I278" t="n">
        <v>0</v>
      </c>
      <c r="J278" t="n">
        <v>0</v>
      </c>
      <c r="K278" t="n">
        <v>0</v>
      </c>
      <c r="L278" t="n">
        <v>0</v>
      </c>
      <c r="M278" t="n">
        <v>0</v>
      </c>
      <c r="N278" t="n">
        <v>0</v>
      </c>
      <c r="O278" t="n">
        <v>0</v>
      </c>
      <c r="P278" t="n">
        <v>0</v>
      </c>
      <c r="Q278" t="n">
        <v>0</v>
      </c>
      <c r="R278" s="2" t="inlineStr"/>
    </row>
    <row r="279" ht="15" customHeight="1">
      <c r="A279" t="inlineStr">
        <is>
          <t>A 56330-2022</t>
        </is>
      </c>
      <c r="B279" s="1" t="n">
        <v>44890.62630787037</v>
      </c>
      <c r="C279" s="1" t="n">
        <v>45969</v>
      </c>
      <c r="D279" t="inlineStr">
        <is>
          <t>DALARNAS LÄN</t>
        </is>
      </c>
      <c r="E279" t="inlineStr">
        <is>
          <t>LEKSAND</t>
        </is>
      </c>
      <c r="G279" t="n">
        <v>4.9</v>
      </c>
      <c r="H279" t="n">
        <v>0</v>
      </c>
      <c r="I279" t="n">
        <v>0</v>
      </c>
      <c r="J279" t="n">
        <v>0</v>
      </c>
      <c r="K279" t="n">
        <v>0</v>
      </c>
      <c r="L279" t="n">
        <v>0</v>
      </c>
      <c r="M279" t="n">
        <v>0</v>
      </c>
      <c r="N279" t="n">
        <v>0</v>
      </c>
      <c r="O279" t="n">
        <v>0</v>
      </c>
      <c r="P279" t="n">
        <v>0</v>
      </c>
      <c r="Q279" t="n">
        <v>0</v>
      </c>
      <c r="R279" s="2" t="inlineStr"/>
    </row>
    <row r="280" ht="15" customHeight="1">
      <c r="A280" t="inlineStr">
        <is>
          <t>A 2140-2024</t>
        </is>
      </c>
      <c r="B280" s="1" t="n">
        <v>45309</v>
      </c>
      <c r="C280" s="1" t="n">
        <v>45969</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51480-2022</t>
        </is>
      </c>
      <c r="B281" s="1" t="n">
        <v>44869.57961805556</v>
      </c>
      <c r="C281" s="1" t="n">
        <v>45969</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39546-2025</t>
        </is>
      </c>
      <c r="B282" s="1" t="n">
        <v>45890.45706018519</v>
      </c>
      <c r="C282" s="1" t="n">
        <v>45969</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39572-2025</t>
        </is>
      </c>
      <c r="B283" s="1" t="n">
        <v>45890</v>
      </c>
      <c r="C283" s="1" t="n">
        <v>45969</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47976-2025</t>
        </is>
      </c>
      <c r="B284" s="1" t="n">
        <v>45932.60846064815</v>
      </c>
      <c r="C284" s="1" t="n">
        <v>45969</v>
      </c>
      <c r="D284" t="inlineStr">
        <is>
          <t>DALARNAS LÄN</t>
        </is>
      </c>
      <c r="E284" t="inlineStr">
        <is>
          <t>LEKSAND</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47977-2025</t>
        </is>
      </c>
      <c r="B285" s="1" t="n">
        <v>45932.60920138889</v>
      </c>
      <c r="C285" s="1" t="n">
        <v>45969</v>
      </c>
      <c r="D285" t="inlineStr">
        <is>
          <t>DALARNAS LÄN</t>
        </is>
      </c>
      <c r="E285" t="inlineStr">
        <is>
          <t>LEKSAND</t>
        </is>
      </c>
      <c r="F285" t="inlineStr">
        <is>
          <t>Bergvik skog väst AB</t>
        </is>
      </c>
      <c r="G285" t="n">
        <v>0.2</v>
      </c>
      <c r="H285" t="n">
        <v>0</v>
      </c>
      <c r="I285" t="n">
        <v>0</v>
      </c>
      <c r="J285" t="n">
        <v>0</v>
      </c>
      <c r="K285" t="n">
        <v>0</v>
      </c>
      <c r="L285" t="n">
        <v>0</v>
      </c>
      <c r="M285" t="n">
        <v>0</v>
      </c>
      <c r="N285" t="n">
        <v>0</v>
      </c>
      <c r="O285" t="n">
        <v>0</v>
      </c>
      <c r="P285" t="n">
        <v>0</v>
      </c>
      <c r="Q285" t="n">
        <v>0</v>
      </c>
      <c r="R285" s="2" t="inlineStr"/>
    </row>
    <row r="286" ht="15" customHeight="1">
      <c r="A286" t="inlineStr">
        <is>
          <t>A 2694-2025</t>
        </is>
      </c>
      <c r="B286" s="1" t="n">
        <v>45677.38246527778</v>
      </c>
      <c r="C286" s="1" t="n">
        <v>45969</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18176-2024</t>
        </is>
      </c>
      <c r="B287" s="1" t="n">
        <v>45420.63901620371</v>
      </c>
      <c r="C287" s="1" t="n">
        <v>45969</v>
      </c>
      <c r="D287" t="inlineStr">
        <is>
          <t>DALARNAS LÄN</t>
        </is>
      </c>
      <c r="E287" t="inlineStr">
        <is>
          <t>LEKSAND</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55268-2024</t>
        </is>
      </c>
      <c r="B288" s="1" t="n">
        <v>45621.61266203703</v>
      </c>
      <c r="C288" s="1" t="n">
        <v>45969</v>
      </c>
      <c r="D288" t="inlineStr">
        <is>
          <t>DALARNAS LÄN</t>
        </is>
      </c>
      <c r="E288" t="inlineStr">
        <is>
          <t>LEKSAND</t>
        </is>
      </c>
      <c r="G288" t="n">
        <v>4.2</v>
      </c>
      <c r="H288" t="n">
        <v>0</v>
      </c>
      <c r="I288" t="n">
        <v>0</v>
      </c>
      <c r="J288" t="n">
        <v>0</v>
      </c>
      <c r="K288" t="n">
        <v>0</v>
      </c>
      <c r="L288" t="n">
        <v>0</v>
      </c>
      <c r="M288" t="n">
        <v>0</v>
      </c>
      <c r="N288" t="n">
        <v>0</v>
      </c>
      <c r="O288" t="n">
        <v>0</v>
      </c>
      <c r="P288" t="n">
        <v>0</v>
      </c>
      <c r="Q288" t="n">
        <v>0</v>
      </c>
      <c r="R288" s="2" t="inlineStr"/>
    </row>
    <row r="289" ht="15" customHeight="1">
      <c r="A289" t="inlineStr">
        <is>
          <t>A 39569-2025</t>
        </is>
      </c>
      <c r="B289" s="1" t="n">
        <v>45890</v>
      </c>
      <c r="C289" s="1" t="n">
        <v>45969</v>
      </c>
      <c r="D289" t="inlineStr">
        <is>
          <t>DALARNAS LÄN</t>
        </is>
      </c>
      <c r="E289" t="inlineStr">
        <is>
          <t>LEKSAND</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62130-2024</t>
        </is>
      </c>
      <c r="B290" s="1" t="n">
        <v>45656.61827546296</v>
      </c>
      <c r="C290" s="1" t="n">
        <v>45969</v>
      </c>
      <c r="D290" t="inlineStr">
        <is>
          <t>DALARNAS LÄN</t>
        </is>
      </c>
      <c r="E290" t="inlineStr">
        <is>
          <t>LEKSAND</t>
        </is>
      </c>
      <c r="G290" t="n">
        <v>11.4</v>
      </c>
      <c r="H290" t="n">
        <v>0</v>
      </c>
      <c r="I290" t="n">
        <v>0</v>
      </c>
      <c r="J290" t="n">
        <v>0</v>
      </c>
      <c r="K290" t="n">
        <v>0</v>
      </c>
      <c r="L290" t="n">
        <v>0</v>
      </c>
      <c r="M290" t="n">
        <v>0</v>
      </c>
      <c r="N290" t="n">
        <v>0</v>
      </c>
      <c r="O290" t="n">
        <v>0</v>
      </c>
      <c r="P290" t="n">
        <v>0</v>
      </c>
      <c r="Q290" t="n">
        <v>0</v>
      </c>
      <c r="R290" s="2" t="inlineStr"/>
    </row>
    <row r="291" ht="15" customHeight="1">
      <c r="A291" t="inlineStr">
        <is>
          <t>A 43237-2024</t>
        </is>
      </c>
      <c r="B291" s="1" t="n">
        <v>45567</v>
      </c>
      <c r="C291" s="1" t="n">
        <v>45969</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30998-2023</t>
        </is>
      </c>
      <c r="B292" s="1" t="n">
        <v>45113.54193287037</v>
      </c>
      <c r="C292" s="1" t="n">
        <v>45969</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45969</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17485-2025</t>
        </is>
      </c>
      <c r="B294" s="1" t="n">
        <v>45757.49976851852</v>
      </c>
      <c r="C294" s="1" t="n">
        <v>45969</v>
      </c>
      <c r="D294" t="inlineStr">
        <is>
          <t>DALARNAS LÄN</t>
        </is>
      </c>
      <c r="E294" t="inlineStr">
        <is>
          <t>LEKSAND</t>
        </is>
      </c>
      <c r="G294" t="n">
        <v>3.7</v>
      </c>
      <c r="H294" t="n">
        <v>0</v>
      </c>
      <c r="I294" t="n">
        <v>0</v>
      </c>
      <c r="J294" t="n">
        <v>0</v>
      </c>
      <c r="K294" t="n">
        <v>0</v>
      </c>
      <c r="L294" t="n">
        <v>0</v>
      </c>
      <c r="M294" t="n">
        <v>0</v>
      </c>
      <c r="N294" t="n">
        <v>0</v>
      </c>
      <c r="O294" t="n">
        <v>0</v>
      </c>
      <c r="P294" t="n">
        <v>0</v>
      </c>
      <c r="Q294" t="n">
        <v>0</v>
      </c>
      <c r="R294" s="2" t="inlineStr"/>
    </row>
    <row r="295" ht="15" customHeight="1">
      <c r="A295" t="inlineStr">
        <is>
          <t>A 28032-2024</t>
        </is>
      </c>
      <c r="B295" s="1" t="n">
        <v>45476.49346064815</v>
      </c>
      <c r="C295" s="1" t="n">
        <v>45969</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19550-2023</t>
        </is>
      </c>
      <c r="B296" s="1" t="n">
        <v>45049</v>
      </c>
      <c r="C296" s="1" t="n">
        <v>45969</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33593-2024</t>
        </is>
      </c>
      <c r="B297" s="1" t="n">
        <v>45520.36055555556</v>
      </c>
      <c r="C297" s="1" t="n">
        <v>45969</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30595-2023</t>
        </is>
      </c>
      <c r="B298" s="1" t="n">
        <v>45112</v>
      </c>
      <c r="C298" s="1" t="n">
        <v>45969</v>
      </c>
      <c r="D298" t="inlineStr">
        <is>
          <t>DALARNAS LÄN</t>
        </is>
      </c>
      <c r="E298" t="inlineStr">
        <is>
          <t>LEKSAND</t>
        </is>
      </c>
      <c r="G298" t="n">
        <v>1.1</v>
      </c>
      <c r="H298" t="n">
        <v>0</v>
      </c>
      <c r="I298" t="n">
        <v>0</v>
      </c>
      <c r="J298" t="n">
        <v>0</v>
      </c>
      <c r="K298" t="n">
        <v>0</v>
      </c>
      <c r="L298" t="n">
        <v>0</v>
      </c>
      <c r="M298" t="n">
        <v>0</v>
      </c>
      <c r="N298" t="n">
        <v>0</v>
      </c>
      <c r="O298" t="n">
        <v>0</v>
      </c>
      <c r="P298" t="n">
        <v>0</v>
      </c>
      <c r="Q298" t="n">
        <v>0</v>
      </c>
      <c r="R298" s="2" t="inlineStr"/>
    </row>
    <row r="299" ht="15" customHeight="1">
      <c r="A299" t="inlineStr">
        <is>
          <t>A 6519-2025</t>
        </is>
      </c>
      <c r="B299" s="1" t="n">
        <v>45699</v>
      </c>
      <c r="C299" s="1" t="n">
        <v>45969</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9143-2023</t>
        </is>
      </c>
      <c r="B300" s="1" t="n">
        <v>44974</v>
      </c>
      <c r="C300" s="1" t="n">
        <v>45969</v>
      </c>
      <c r="D300" t="inlineStr">
        <is>
          <t>DALARNAS LÄN</t>
        </is>
      </c>
      <c r="E300" t="inlineStr">
        <is>
          <t>LEKSAND</t>
        </is>
      </c>
      <c r="G300" t="n">
        <v>4.3</v>
      </c>
      <c r="H300" t="n">
        <v>0</v>
      </c>
      <c r="I300" t="n">
        <v>0</v>
      </c>
      <c r="J300" t="n">
        <v>0</v>
      </c>
      <c r="K300" t="n">
        <v>0</v>
      </c>
      <c r="L300" t="n">
        <v>0</v>
      </c>
      <c r="M300" t="n">
        <v>0</v>
      </c>
      <c r="N300" t="n">
        <v>0</v>
      </c>
      <c r="O300" t="n">
        <v>0</v>
      </c>
      <c r="P300" t="n">
        <v>0</v>
      </c>
      <c r="Q300" t="n">
        <v>0</v>
      </c>
      <c r="R300" s="2" t="inlineStr"/>
    </row>
    <row r="301" ht="15" customHeight="1">
      <c r="A301" t="inlineStr">
        <is>
          <t>A 47203-2023</t>
        </is>
      </c>
      <c r="B301" s="1" t="n">
        <v>45202</v>
      </c>
      <c r="C301" s="1" t="n">
        <v>45969</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56943-2024</t>
        </is>
      </c>
      <c r="B302" s="1" t="n">
        <v>45625</v>
      </c>
      <c r="C302" s="1" t="n">
        <v>45969</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9105-2024</t>
        </is>
      </c>
      <c r="B303" s="1" t="n">
        <v>45357</v>
      </c>
      <c r="C303" s="1" t="n">
        <v>45969</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15257-2025</t>
        </is>
      </c>
      <c r="B304" s="1" t="n">
        <v>45744</v>
      </c>
      <c r="C304" s="1" t="n">
        <v>45969</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50447-2023</t>
        </is>
      </c>
      <c r="B305" s="1" t="n">
        <v>45216.72185185185</v>
      </c>
      <c r="C305" s="1" t="n">
        <v>45969</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60945-2024</t>
        </is>
      </c>
      <c r="B306" s="1" t="n">
        <v>45645.37893518519</v>
      </c>
      <c r="C306" s="1" t="n">
        <v>45969</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24142-2021</t>
        </is>
      </c>
      <c r="B307" s="1" t="n">
        <v>44336</v>
      </c>
      <c r="C307" s="1" t="n">
        <v>45969</v>
      </c>
      <c r="D307" t="inlineStr">
        <is>
          <t>DALARNAS LÄN</t>
        </is>
      </c>
      <c r="E307" t="inlineStr">
        <is>
          <t>LEKSAND</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36262-2023</t>
        </is>
      </c>
      <c r="B308" s="1" t="n">
        <v>45151.9096875</v>
      </c>
      <c r="C308" s="1" t="n">
        <v>45969</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61787-2022</t>
        </is>
      </c>
      <c r="B309" s="1" t="n">
        <v>44917</v>
      </c>
      <c r="C309" s="1" t="n">
        <v>45969</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16815-2025</t>
        </is>
      </c>
      <c r="B310" s="1" t="n">
        <v>45754</v>
      </c>
      <c r="C310" s="1" t="n">
        <v>45969</v>
      </c>
      <c r="D310" t="inlineStr">
        <is>
          <t>DALARNAS LÄN</t>
        </is>
      </c>
      <c r="E310" t="inlineStr">
        <is>
          <t>LEKSAND</t>
        </is>
      </c>
      <c r="G310" t="n">
        <v>2.8</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45969</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61208-2023</t>
        </is>
      </c>
      <c r="B312" s="1" t="n">
        <v>45260</v>
      </c>
      <c r="C312" s="1" t="n">
        <v>45969</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52977-2022</t>
        </is>
      </c>
      <c r="B313" s="1" t="n">
        <v>44875</v>
      </c>
      <c r="C313" s="1" t="n">
        <v>45969</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39921-2024</t>
        </is>
      </c>
      <c r="B314" s="1" t="n">
        <v>45553</v>
      </c>
      <c r="C314" s="1" t="n">
        <v>45969</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60095-2022</t>
        </is>
      </c>
      <c r="B315" s="1" t="n">
        <v>44909</v>
      </c>
      <c r="C315" s="1" t="n">
        <v>45969</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25921-2024</t>
        </is>
      </c>
      <c r="B316" s="1" t="n">
        <v>45467.6053587963</v>
      </c>
      <c r="C316" s="1" t="n">
        <v>45969</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38117-2023</t>
        </is>
      </c>
      <c r="B317" s="1" t="n">
        <v>45161</v>
      </c>
      <c r="C317" s="1" t="n">
        <v>45969</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41015-2024</t>
        </is>
      </c>
      <c r="B318" s="1" t="n">
        <v>45559.32537037037</v>
      </c>
      <c r="C318" s="1" t="n">
        <v>45969</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11418-2023</t>
        </is>
      </c>
      <c r="B319" s="1" t="n">
        <v>44993</v>
      </c>
      <c r="C319" s="1" t="n">
        <v>45969</v>
      </c>
      <c r="D319" t="inlineStr">
        <is>
          <t>DALARNAS LÄN</t>
        </is>
      </c>
      <c r="E319" t="inlineStr">
        <is>
          <t>LEKSAND</t>
        </is>
      </c>
      <c r="G319" t="n">
        <v>2.7</v>
      </c>
      <c r="H319" t="n">
        <v>0</v>
      </c>
      <c r="I319" t="n">
        <v>0</v>
      </c>
      <c r="J319" t="n">
        <v>0</v>
      </c>
      <c r="K319" t="n">
        <v>0</v>
      </c>
      <c r="L319" t="n">
        <v>0</v>
      </c>
      <c r="M319" t="n">
        <v>0</v>
      </c>
      <c r="N319" t="n">
        <v>0</v>
      </c>
      <c r="O319" t="n">
        <v>0</v>
      </c>
      <c r="P319" t="n">
        <v>0</v>
      </c>
      <c r="Q319" t="n">
        <v>0</v>
      </c>
      <c r="R319" s="2" t="inlineStr"/>
    </row>
    <row r="320" ht="15" customHeight="1">
      <c r="A320" t="inlineStr">
        <is>
          <t>A 6050-2023</t>
        </is>
      </c>
      <c r="B320" s="1" t="n">
        <v>44959</v>
      </c>
      <c r="C320" s="1" t="n">
        <v>45969</v>
      </c>
      <c r="D320" t="inlineStr">
        <is>
          <t>DALARNAS LÄN</t>
        </is>
      </c>
      <c r="E320" t="inlineStr">
        <is>
          <t>LEKSAND</t>
        </is>
      </c>
      <c r="G320" t="n">
        <v>6.2</v>
      </c>
      <c r="H320" t="n">
        <v>0</v>
      </c>
      <c r="I320" t="n">
        <v>0</v>
      </c>
      <c r="J320" t="n">
        <v>0</v>
      </c>
      <c r="K320" t="n">
        <v>0</v>
      </c>
      <c r="L320" t="n">
        <v>0</v>
      </c>
      <c r="M320" t="n">
        <v>0</v>
      </c>
      <c r="N320" t="n">
        <v>0</v>
      </c>
      <c r="O320" t="n">
        <v>0</v>
      </c>
      <c r="P320" t="n">
        <v>0</v>
      </c>
      <c r="Q320" t="n">
        <v>0</v>
      </c>
      <c r="R320" s="2" t="inlineStr"/>
    </row>
    <row r="321" ht="15" customHeight="1">
      <c r="A321" t="inlineStr">
        <is>
          <t>A 27791-2023</t>
        </is>
      </c>
      <c r="B321" s="1" t="n">
        <v>45098</v>
      </c>
      <c r="C321" s="1" t="n">
        <v>45969</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28892-2022</t>
        </is>
      </c>
      <c r="B322" s="1" t="n">
        <v>44749</v>
      </c>
      <c r="C322" s="1" t="n">
        <v>45969</v>
      </c>
      <c r="D322" t="inlineStr">
        <is>
          <t>DALARNAS LÄN</t>
        </is>
      </c>
      <c r="E322" t="inlineStr">
        <is>
          <t>LEKSAND</t>
        </is>
      </c>
      <c r="F322" t="inlineStr">
        <is>
          <t>Bergvik skog väst AB</t>
        </is>
      </c>
      <c r="G322" t="n">
        <v>9.1</v>
      </c>
      <c r="H322" t="n">
        <v>0</v>
      </c>
      <c r="I322" t="n">
        <v>0</v>
      </c>
      <c r="J322" t="n">
        <v>0</v>
      </c>
      <c r="K322" t="n">
        <v>0</v>
      </c>
      <c r="L322" t="n">
        <v>0</v>
      </c>
      <c r="M322" t="n">
        <v>0</v>
      </c>
      <c r="N322" t="n">
        <v>0</v>
      </c>
      <c r="O322" t="n">
        <v>0</v>
      </c>
      <c r="P322" t="n">
        <v>0</v>
      </c>
      <c r="Q322" t="n">
        <v>0</v>
      </c>
      <c r="R322" s="2" t="inlineStr"/>
    </row>
    <row r="323" ht="15" customHeight="1">
      <c r="A323" t="inlineStr">
        <is>
          <t>A 39558-2023</t>
        </is>
      </c>
      <c r="B323" s="1" t="n">
        <v>45167.38664351852</v>
      </c>
      <c r="C323" s="1" t="n">
        <v>45969</v>
      </c>
      <c r="D323" t="inlineStr">
        <is>
          <t>DALARNAS LÄN</t>
        </is>
      </c>
      <c r="E323" t="inlineStr">
        <is>
          <t>LEKSAND</t>
        </is>
      </c>
      <c r="G323" t="n">
        <v>39.9</v>
      </c>
      <c r="H323" t="n">
        <v>0</v>
      </c>
      <c r="I323" t="n">
        <v>0</v>
      </c>
      <c r="J323" t="n">
        <v>0</v>
      </c>
      <c r="K323" t="n">
        <v>0</v>
      </c>
      <c r="L323" t="n">
        <v>0</v>
      </c>
      <c r="M323" t="n">
        <v>0</v>
      </c>
      <c r="N323" t="n">
        <v>0</v>
      </c>
      <c r="O323" t="n">
        <v>0</v>
      </c>
      <c r="P323" t="n">
        <v>0</v>
      </c>
      <c r="Q323" t="n">
        <v>0</v>
      </c>
      <c r="R323" s="2" t="inlineStr"/>
    </row>
    <row r="324" ht="15" customHeight="1">
      <c r="A324" t="inlineStr">
        <is>
          <t>A 43222-2024</t>
        </is>
      </c>
      <c r="B324" s="1" t="n">
        <v>45567.87177083334</v>
      </c>
      <c r="C324" s="1" t="n">
        <v>45969</v>
      </c>
      <c r="D324" t="inlineStr">
        <is>
          <t>DALARNAS LÄN</t>
        </is>
      </c>
      <c r="E324" t="inlineStr">
        <is>
          <t>LEKSAND</t>
        </is>
      </c>
      <c r="F324" t="inlineStr">
        <is>
          <t>Bergvik skog väst AB</t>
        </is>
      </c>
      <c r="G324" t="n">
        <v>8.6</v>
      </c>
      <c r="H324" t="n">
        <v>0</v>
      </c>
      <c r="I324" t="n">
        <v>0</v>
      </c>
      <c r="J324" t="n">
        <v>0</v>
      </c>
      <c r="K324" t="n">
        <v>0</v>
      </c>
      <c r="L324" t="n">
        <v>0</v>
      </c>
      <c r="M324" t="n">
        <v>0</v>
      </c>
      <c r="N324" t="n">
        <v>0</v>
      </c>
      <c r="O324" t="n">
        <v>0</v>
      </c>
      <c r="P324" t="n">
        <v>0</v>
      </c>
      <c r="Q324" t="n">
        <v>0</v>
      </c>
      <c r="R324" s="2" t="inlineStr"/>
    </row>
    <row r="325" ht="15" customHeight="1">
      <c r="A325" t="inlineStr">
        <is>
          <t>A 43231-2024</t>
        </is>
      </c>
      <c r="B325" s="1" t="n">
        <v>45567.89709490741</v>
      </c>
      <c r="C325" s="1" t="n">
        <v>45969</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320-2023</t>
        </is>
      </c>
      <c r="B326" s="1" t="n">
        <v>44929</v>
      </c>
      <c r="C326" s="1" t="n">
        <v>45969</v>
      </c>
      <c r="D326" t="inlineStr">
        <is>
          <t>DALARNAS LÄN</t>
        </is>
      </c>
      <c r="E326" t="inlineStr">
        <is>
          <t>LEKSAND</t>
        </is>
      </c>
      <c r="F326" t="inlineStr">
        <is>
          <t>Övriga Aktiebolag</t>
        </is>
      </c>
      <c r="G326" t="n">
        <v>5.4</v>
      </c>
      <c r="H326" t="n">
        <v>0</v>
      </c>
      <c r="I326" t="n">
        <v>0</v>
      </c>
      <c r="J326" t="n">
        <v>0</v>
      </c>
      <c r="K326" t="n">
        <v>0</v>
      </c>
      <c r="L326" t="n">
        <v>0</v>
      </c>
      <c r="M326" t="n">
        <v>0</v>
      </c>
      <c r="N326" t="n">
        <v>0</v>
      </c>
      <c r="O326" t="n">
        <v>0</v>
      </c>
      <c r="P326" t="n">
        <v>0</v>
      </c>
      <c r="Q326" t="n">
        <v>0</v>
      </c>
      <c r="R326" s="2" t="inlineStr"/>
    </row>
    <row r="327" ht="15" customHeight="1">
      <c r="A327" t="inlineStr">
        <is>
          <t>A 14504-2025</t>
        </is>
      </c>
      <c r="B327" s="1" t="n">
        <v>45741</v>
      </c>
      <c r="C327" s="1" t="n">
        <v>45969</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53122-2023</t>
        </is>
      </c>
      <c r="B328" s="1" t="n">
        <v>45228</v>
      </c>
      <c r="C328" s="1" t="n">
        <v>45969</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64516-2023</t>
        </is>
      </c>
      <c r="B329" s="1" t="n">
        <v>45280</v>
      </c>
      <c r="C329" s="1" t="n">
        <v>45969</v>
      </c>
      <c r="D329" t="inlineStr">
        <is>
          <t>DALARNAS LÄN</t>
        </is>
      </c>
      <c r="E329" t="inlineStr">
        <is>
          <t>LEKSAND</t>
        </is>
      </c>
      <c r="G329" t="n">
        <v>4.4</v>
      </c>
      <c r="H329" t="n">
        <v>0</v>
      </c>
      <c r="I329" t="n">
        <v>0</v>
      </c>
      <c r="J329" t="n">
        <v>0</v>
      </c>
      <c r="K329" t="n">
        <v>0</v>
      </c>
      <c r="L329" t="n">
        <v>0</v>
      </c>
      <c r="M329" t="n">
        <v>0</v>
      </c>
      <c r="N329" t="n">
        <v>0</v>
      </c>
      <c r="O329" t="n">
        <v>0</v>
      </c>
      <c r="P329" t="n">
        <v>0</v>
      </c>
      <c r="Q329" t="n">
        <v>0</v>
      </c>
      <c r="R329" s="2" t="inlineStr"/>
    </row>
    <row r="330" ht="15" customHeight="1">
      <c r="A330" t="inlineStr">
        <is>
          <t>A 40007-2024</t>
        </is>
      </c>
      <c r="B330" s="1" t="n">
        <v>45553.6516550926</v>
      </c>
      <c r="C330" s="1" t="n">
        <v>45969</v>
      </c>
      <c r="D330" t="inlineStr">
        <is>
          <t>DALARNAS LÄN</t>
        </is>
      </c>
      <c r="E330" t="inlineStr">
        <is>
          <t>LEKSAND</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12581-2025</t>
        </is>
      </c>
      <c r="B331" s="1" t="n">
        <v>45732.62201388889</v>
      </c>
      <c r="C331" s="1" t="n">
        <v>45969</v>
      </c>
      <c r="D331" t="inlineStr">
        <is>
          <t>DALARNAS LÄN</t>
        </is>
      </c>
      <c r="E331" t="inlineStr">
        <is>
          <t>LEKSAND</t>
        </is>
      </c>
      <c r="G331" t="n">
        <v>5.1</v>
      </c>
      <c r="H331" t="n">
        <v>0</v>
      </c>
      <c r="I331" t="n">
        <v>0</v>
      </c>
      <c r="J331" t="n">
        <v>0</v>
      </c>
      <c r="K331" t="n">
        <v>0</v>
      </c>
      <c r="L331" t="n">
        <v>0</v>
      </c>
      <c r="M331" t="n">
        <v>0</v>
      </c>
      <c r="N331" t="n">
        <v>0</v>
      </c>
      <c r="O331" t="n">
        <v>0</v>
      </c>
      <c r="P331" t="n">
        <v>0</v>
      </c>
      <c r="Q331" t="n">
        <v>0</v>
      </c>
      <c r="R331" s="2" t="inlineStr"/>
    </row>
    <row r="332" ht="15" customHeight="1">
      <c r="A332" t="inlineStr">
        <is>
          <t>A 12620-2025</t>
        </is>
      </c>
      <c r="B332" s="1" t="n">
        <v>45733.35498842593</v>
      </c>
      <c r="C332" s="1" t="n">
        <v>45969</v>
      </c>
      <c r="D332" t="inlineStr">
        <is>
          <t>DALARNAS LÄN</t>
        </is>
      </c>
      <c r="E332" t="inlineStr">
        <is>
          <t>LEKSAND</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12623-2025</t>
        </is>
      </c>
      <c r="B333" s="1" t="n">
        <v>45733.36079861111</v>
      </c>
      <c r="C333" s="1" t="n">
        <v>45969</v>
      </c>
      <c r="D333" t="inlineStr">
        <is>
          <t>DALARNAS LÄN</t>
        </is>
      </c>
      <c r="E333" t="inlineStr">
        <is>
          <t>LEKSAND</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2311-2021</t>
        </is>
      </c>
      <c r="B334" s="1" t="n">
        <v>44213</v>
      </c>
      <c r="C334" s="1" t="n">
        <v>45969</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32072-2024</t>
        </is>
      </c>
      <c r="B335" s="1" t="n">
        <v>45510.98405092592</v>
      </c>
      <c r="C335" s="1" t="n">
        <v>45969</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32666-2023</t>
        </is>
      </c>
      <c r="B336" s="1" t="n">
        <v>45121</v>
      </c>
      <c r="C336" s="1" t="n">
        <v>45969</v>
      </c>
      <c r="D336" t="inlineStr">
        <is>
          <t>DALARNAS LÄN</t>
        </is>
      </c>
      <c r="E336" t="inlineStr">
        <is>
          <t>LEKSAND</t>
        </is>
      </c>
      <c r="G336" t="n">
        <v>9.9</v>
      </c>
      <c r="H336" t="n">
        <v>0</v>
      </c>
      <c r="I336" t="n">
        <v>0</v>
      </c>
      <c r="J336" t="n">
        <v>0</v>
      </c>
      <c r="K336" t="n">
        <v>0</v>
      </c>
      <c r="L336" t="n">
        <v>0</v>
      </c>
      <c r="M336" t="n">
        <v>0</v>
      </c>
      <c r="N336" t="n">
        <v>0</v>
      </c>
      <c r="O336" t="n">
        <v>0</v>
      </c>
      <c r="P336" t="n">
        <v>0</v>
      </c>
      <c r="Q336" t="n">
        <v>0</v>
      </c>
      <c r="R336" s="2" t="inlineStr"/>
    </row>
    <row r="337" ht="15" customHeight="1">
      <c r="A337" t="inlineStr">
        <is>
          <t>A 5231-2024</t>
        </is>
      </c>
      <c r="B337" s="1" t="n">
        <v>45330</v>
      </c>
      <c r="C337" s="1" t="n">
        <v>45969</v>
      </c>
      <c r="D337" t="inlineStr">
        <is>
          <t>DALARNAS LÄN</t>
        </is>
      </c>
      <c r="E337" t="inlineStr">
        <is>
          <t>LEKSAND</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13165-2023</t>
        </is>
      </c>
      <c r="B338" s="1" t="n">
        <v>45002.57731481481</v>
      </c>
      <c r="C338" s="1" t="n">
        <v>45969</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53799-2023</t>
        </is>
      </c>
      <c r="B339" s="1" t="n">
        <v>45231.35564814815</v>
      </c>
      <c r="C339" s="1" t="n">
        <v>45969</v>
      </c>
      <c r="D339" t="inlineStr">
        <is>
          <t>DALARNAS LÄN</t>
        </is>
      </c>
      <c r="E339" t="inlineStr">
        <is>
          <t>LEKSAND</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7467-2023</t>
        </is>
      </c>
      <c r="B340" s="1" t="n">
        <v>44966</v>
      </c>
      <c r="C340" s="1" t="n">
        <v>45969</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45788-2021</t>
        </is>
      </c>
      <c r="B341" s="1" t="n">
        <v>44441</v>
      </c>
      <c r="C341" s="1" t="n">
        <v>45969</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40193-2024</t>
        </is>
      </c>
      <c r="B342" s="1" t="n">
        <v>45554.5734375</v>
      </c>
      <c r="C342" s="1" t="n">
        <v>45969</v>
      </c>
      <c r="D342" t="inlineStr">
        <is>
          <t>DALARNAS LÄN</t>
        </is>
      </c>
      <c r="E342" t="inlineStr">
        <is>
          <t>LEKSAND</t>
        </is>
      </c>
      <c r="F342" t="inlineStr">
        <is>
          <t>Övriga statliga verk och myndigheter</t>
        </is>
      </c>
      <c r="G342" t="n">
        <v>1</v>
      </c>
      <c r="H342" t="n">
        <v>0</v>
      </c>
      <c r="I342" t="n">
        <v>0</v>
      </c>
      <c r="J342" t="n">
        <v>0</v>
      </c>
      <c r="K342" t="n">
        <v>0</v>
      </c>
      <c r="L342" t="n">
        <v>0</v>
      </c>
      <c r="M342" t="n">
        <v>0</v>
      </c>
      <c r="N342" t="n">
        <v>0</v>
      </c>
      <c r="O342" t="n">
        <v>0</v>
      </c>
      <c r="P342" t="n">
        <v>0</v>
      </c>
      <c r="Q342" t="n">
        <v>0</v>
      </c>
      <c r="R342" s="2" t="inlineStr"/>
    </row>
    <row r="343" ht="15" customHeight="1">
      <c r="A343" t="inlineStr">
        <is>
          <t>A 31728-2024</t>
        </is>
      </c>
      <c r="B343" s="1" t="n">
        <v>45509.34517361111</v>
      </c>
      <c r="C343" s="1" t="n">
        <v>45969</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32394-2024</t>
        </is>
      </c>
      <c r="B344" s="1" t="n">
        <v>45512.64349537037</v>
      </c>
      <c r="C344" s="1" t="n">
        <v>45969</v>
      </c>
      <c r="D344" t="inlineStr">
        <is>
          <t>DALARNAS LÄN</t>
        </is>
      </c>
      <c r="E344" t="inlineStr">
        <is>
          <t>LEKSAND</t>
        </is>
      </c>
      <c r="F344" t="inlineStr">
        <is>
          <t>Bergvik skog väst AB</t>
        </is>
      </c>
      <c r="G344" t="n">
        <v>6</v>
      </c>
      <c r="H344" t="n">
        <v>0</v>
      </c>
      <c r="I344" t="n">
        <v>0</v>
      </c>
      <c r="J344" t="n">
        <v>0</v>
      </c>
      <c r="K344" t="n">
        <v>0</v>
      </c>
      <c r="L344" t="n">
        <v>0</v>
      </c>
      <c r="M344" t="n">
        <v>0</v>
      </c>
      <c r="N344" t="n">
        <v>0</v>
      </c>
      <c r="O344" t="n">
        <v>0</v>
      </c>
      <c r="P344" t="n">
        <v>0</v>
      </c>
      <c r="Q344" t="n">
        <v>0</v>
      </c>
      <c r="R344" s="2" t="inlineStr"/>
    </row>
    <row r="345" ht="15" customHeight="1">
      <c r="A345" t="inlineStr">
        <is>
          <t>A 23896-2024</t>
        </is>
      </c>
      <c r="B345" s="1" t="n">
        <v>45455.6758449074</v>
      </c>
      <c r="C345" s="1" t="n">
        <v>45969</v>
      </c>
      <c r="D345" t="inlineStr">
        <is>
          <t>DALARNAS LÄN</t>
        </is>
      </c>
      <c r="E345" t="inlineStr">
        <is>
          <t>LEKSAND</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43221-2024</t>
        </is>
      </c>
      <c r="B346" s="1" t="n">
        <v>45567.86695601852</v>
      </c>
      <c r="C346" s="1" t="n">
        <v>45969</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28578-2023</t>
        </is>
      </c>
      <c r="B347" s="1" t="n">
        <v>45103</v>
      </c>
      <c r="C347" s="1" t="n">
        <v>45969</v>
      </c>
      <c r="D347" t="inlineStr">
        <is>
          <t>DALARNAS LÄN</t>
        </is>
      </c>
      <c r="E347" t="inlineStr">
        <is>
          <t>LEKSAND</t>
        </is>
      </c>
      <c r="G347" t="n">
        <v>4.4</v>
      </c>
      <c r="H347" t="n">
        <v>0</v>
      </c>
      <c r="I347" t="n">
        <v>0</v>
      </c>
      <c r="J347" t="n">
        <v>0</v>
      </c>
      <c r="K347" t="n">
        <v>0</v>
      </c>
      <c r="L347" t="n">
        <v>0</v>
      </c>
      <c r="M347" t="n">
        <v>0</v>
      </c>
      <c r="N347" t="n">
        <v>0</v>
      </c>
      <c r="O347" t="n">
        <v>0</v>
      </c>
      <c r="P347" t="n">
        <v>0</v>
      </c>
      <c r="Q347" t="n">
        <v>0</v>
      </c>
      <c r="R347" s="2" t="inlineStr"/>
    </row>
    <row r="348" ht="15" customHeight="1">
      <c r="A348" t="inlineStr">
        <is>
          <t>A 61288-2022</t>
        </is>
      </c>
      <c r="B348" s="1" t="n">
        <v>44915</v>
      </c>
      <c r="C348" s="1" t="n">
        <v>45969</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20936-2023</t>
        </is>
      </c>
      <c r="B349" s="1" t="n">
        <v>45061</v>
      </c>
      <c r="C349" s="1" t="n">
        <v>45969</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28592-2023</t>
        </is>
      </c>
      <c r="B350" s="1" t="n">
        <v>45103</v>
      </c>
      <c r="C350" s="1" t="n">
        <v>45969</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21839-2022</t>
        </is>
      </c>
      <c r="B351" s="1" t="n">
        <v>44711</v>
      </c>
      <c r="C351" s="1" t="n">
        <v>45969</v>
      </c>
      <c r="D351" t="inlineStr">
        <is>
          <t>DALARNAS LÄN</t>
        </is>
      </c>
      <c r="E351" t="inlineStr">
        <is>
          <t>LEKSAND</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22388-2024</t>
        </is>
      </c>
      <c r="B352" s="1" t="n">
        <v>45446</v>
      </c>
      <c r="C352" s="1" t="n">
        <v>45969</v>
      </c>
      <c r="D352" t="inlineStr">
        <is>
          <t>DALARNAS LÄN</t>
        </is>
      </c>
      <c r="E352" t="inlineStr">
        <is>
          <t>LEKSAND</t>
        </is>
      </c>
      <c r="F352" t="inlineStr">
        <is>
          <t>Bergvik skog väst AB</t>
        </is>
      </c>
      <c r="G352" t="n">
        <v>5.3</v>
      </c>
      <c r="H352" t="n">
        <v>0</v>
      </c>
      <c r="I352" t="n">
        <v>0</v>
      </c>
      <c r="J352" t="n">
        <v>0</v>
      </c>
      <c r="K352" t="n">
        <v>0</v>
      </c>
      <c r="L352" t="n">
        <v>0</v>
      </c>
      <c r="M352" t="n">
        <v>0</v>
      </c>
      <c r="N352" t="n">
        <v>0</v>
      </c>
      <c r="O352" t="n">
        <v>0</v>
      </c>
      <c r="P352" t="n">
        <v>0</v>
      </c>
      <c r="Q352" t="n">
        <v>0</v>
      </c>
      <c r="R352" s="2" t="inlineStr"/>
    </row>
    <row r="353" ht="15" customHeight="1">
      <c r="A353" t="inlineStr">
        <is>
          <t>A 39516-2025</t>
        </is>
      </c>
      <c r="B353" s="1" t="n">
        <v>45890.42633101852</v>
      </c>
      <c r="C353" s="1" t="n">
        <v>45969</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39660-2025</t>
        </is>
      </c>
      <c r="B354" s="1" t="n">
        <v>45890.63006944444</v>
      </c>
      <c r="C354" s="1" t="n">
        <v>45969</v>
      </c>
      <c r="D354" t="inlineStr">
        <is>
          <t>DALARNAS LÄN</t>
        </is>
      </c>
      <c r="E354" t="inlineStr">
        <is>
          <t>LEKSAND</t>
        </is>
      </c>
      <c r="F354" t="inlineStr">
        <is>
          <t>Bergvik skog väst AB</t>
        </is>
      </c>
      <c r="G354" t="n">
        <v>5.8</v>
      </c>
      <c r="H354" t="n">
        <v>0</v>
      </c>
      <c r="I354" t="n">
        <v>0</v>
      </c>
      <c r="J354" t="n">
        <v>0</v>
      </c>
      <c r="K354" t="n">
        <v>0</v>
      </c>
      <c r="L354" t="n">
        <v>0</v>
      </c>
      <c r="M354" t="n">
        <v>0</v>
      </c>
      <c r="N354" t="n">
        <v>0</v>
      </c>
      <c r="O354" t="n">
        <v>0</v>
      </c>
      <c r="P354" t="n">
        <v>0</v>
      </c>
      <c r="Q354" t="n">
        <v>0</v>
      </c>
      <c r="R354" s="2" t="inlineStr"/>
    </row>
    <row r="355" ht="15" customHeight="1">
      <c r="A355" t="inlineStr">
        <is>
          <t>A 39693-2025</t>
        </is>
      </c>
      <c r="B355" s="1" t="n">
        <v>45890.68304398148</v>
      </c>
      <c r="C355" s="1" t="n">
        <v>45969</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41169-2024</t>
        </is>
      </c>
      <c r="B356" s="1" t="n">
        <v>45559.48637731482</v>
      </c>
      <c r="C356" s="1" t="n">
        <v>45969</v>
      </c>
      <c r="D356" t="inlineStr">
        <is>
          <t>DALARNAS LÄN</t>
        </is>
      </c>
      <c r="E356" t="inlineStr">
        <is>
          <t>LEKSAND</t>
        </is>
      </c>
      <c r="G356" t="n">
        <v>8.9</v>
      </c>
      <c r="H356" t="n">
        <v>0</v>
      </c>
      <c r="I356" t="n">
        <v>0</v>
      </c>
      <c r="J356" t="n">
        <v>0</v>
      </c>
      <c r="K356" t="n">
        <v>0</v>
      </c>
      <c r="L356" t="n">
        <v>0</v>
      </c>
      <c r="M356" t="n">
        <v>0</v>
      </c>
      <c r="N356" t="n">
        <v>0</v>
      </c>
      <c r="O356" t="n">
        <v>0</v>
      </c>
      <c r="P356" t="n">
        <v>0</v>
      </c>
      <c r="Q356" t="n">
        <v>0</v>
      </c>
      <c r="R356" s="2" t="inlineStr"/>
    </row>
    <row r="357" ht="15" customHeight="1">
      <c r="A357" t="inlineStr">
        <is>
          <t>A 2630-2025</t>
        </is>
      </c>
      <c r="B357" s="1" t="n">
        <v>45675.85865740741</v>
      </c>
      <c r="C357" s="1" t="n">
        <v>45969</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15120-2023</t>
        </is>
      </c>
      <c r="B358" s="1" t="n">
        <v>45016.46484953703</v>
      </c>
      <c r="C358" s="1" t="n">
        <v>45969</v>
      </c>
      <c r="D358" t="inlineStr">
        <is>
          <t>DALARNAS LÄN</t>
        </is>
      </c>
      <c r="E358" t="inlineStr">
        <is>
          <t>LEKSAND</t>
        </is>
      </c>
      <c r="G358" t="n">
        <v>2.7</v>
      </c>
      <c r="H358" t="n">
        <v>0</v>
      </c>
      <c r="I358" t="n">
        <v>0</v>
      </c>
      <c r="J358" t="n">
        <v>0</v>
      </c>
      <c r="K358" t="n">
        <v>0</v>
      </c>
      <c r="L358" t="n">
        <v>0</v>
      </c>
      <c r="M358" t="n">
        <v>0</v>
      </c>
      <c r="N358" t="n">
        <v>0</v>
      </c>
      <c r="O358" t="n">
        <v>0</v>
      </c>
      <c r="P358" t="n">
        <v>0</v>
      </c>
      <c r="Q358" t="n">
        <v>0</v>
      </c>
      <c r="R358" s="2" t="inlineStr"/>
    </row>
    <row r="359" ht="15" customHeight="1">
      <c r="A359" t="inlineStr">
        <is>
          <t>A 17377-2025</t>
        </is>
      </c>
      <c r="B359" s="1" t="n">
        <v>45756.983125</v>
      </c>
      <c r="C359" s="1" t="n">
        <v>45969</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61269-2022</t>
        </is>
      </c>
      <c r="B360" s="1" t="n">
        <v>44909</v>
      </c>
      <c r="C360" s="1" t="n">
        <v>45969</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17413-2023</t>
        </is>
      </c>
      <c r="B361" s="1" t="n">
        <v>45035</v>
      </c>
      <c r="C361" s="1" t="n">
        <v>45969</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13063-2023</t>
        </is>
      </c>
      <c r="B362" s="1" t="n">
        <v>45001</v>
      </c>
      <c r="C362" s="1" t="n">
        <v>45969</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53817-2023</t>
        </is>
      </c>
      <c r="B363" s="1" t="n">
        <v>45231.40488425926</v>
      </c>
      <c r="C363" s="1" t="n">
        <v>45969</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9138-2023</t>
        </is>
      </c>
      <c r="B364" s="1" t="n">
        <v>44974</v>
      </c>
      <c r="C364" s="1" t="n">
        <v>45969</v>
      </c>
      <c r="D364" t="inlineStr">
        <is>
          <t>DALARNAS LÄN</t>
        </is>
      </c>
      <c r="E364" t="inlineStr">
        <is>
          <t>LEKSAND</t>
        </is>
      </c>
      <c r="G364" t="n">
        <v>4.6</v>
      </c>
      <c r="H364" t="n">
        <v>0</v>
      </c>
      <c r="I364" t="n">
        <v>0</v>
      </c>
      <c r="J364" t="n">
        <v>0</v>
      </c>
      <c r="K364" t="n">
        <v>0</v>
      </c>
      <c r="L364" t="n">
        <v>0</v>
      </c>
      <c r="M364" t="n">
        <v>0</v>
      </c>
      <c r="N364" t="n">
        <v>0</v>
      </c>
      <c r="O364" t="n">
        <v>0</v>
      </c>
      <c r="P364" t="n">
        <v>0</v>
      </c>
      <c r="Q364" t="n">
        <v>0</v>
      </c>
      <c r="R364" s="2" t="inlineStr"/>
    </row>
    <row r="365" ht="15" customHeight="1">
      <c r="A365" t="inlineStr">
        <is>
          <t>A 61680-2024</t>
        </is>
      </c>
      <c r="B365" s="1" t="n">
        <v>45647.42890046296</v>
      </c>
      <c r="C365" s="1" t="n">
        <v>45969</v>
      </c>
      <c r="D365" t="inlineStr">
        <is>
          <t>DALARNAS LÄN</t>
        </is>
      </c>
      <c r="E365" t="inlineStr">
        <is>
          <t>LEKSAND</t>
        </is>
      </c>
      <c r="G365" t="n">
        <v>3.6</v>
      </c>
      <c r="H365" t="n">
        <v>0</v>
      </c>
      <c r="I365" t="n">
        <v>0</v>
      </c>
      <c r="J365" t="n">
        <v>0</v>
      </c>
      <c r="K365" t="n">
        <v>0</v>
      </c>
      <c r="L365" t="n">
        <v>0</v>
      </c>
      <c r="M365" t="n">
        <v>0</v>
      </c>
      <c r="N365" t="n">
        <v>0</v>
      </c>
      <c r="O365" t="n">
        <v>0</v>
      </c>
      <c r="P365" t="n">
        <v>0</v>
      </c>
      <c r="Q365" t="n">
        <v>0</v>
      </c>
      <c r="R365" s="2" t="inlineStr"/>
    </row>
    <row r="366" ht="15" customHeight="1">
      <c r="A366" t="inlineStr">
        <is>
          <t>A 42727-2024</t>
        </is>
      </c>
      <c r="B366" s="1" t="n">
        <v>45566</v>
      </c>
      <c r="C366" s="1" t="n">
        <v>45969</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28633-2023</t>
        </is>
      </c>
      <c r="B367" s="1" t="n">
        <v>45103.61575231481</v>
      </c>
      <c r="C367" s="1" t="n">
        <v>45969</v>
      </c>
      <c r="D367" t="inlineStr">
        <is>
          <t>DALARNAS LÄN</t>
        </is>
      </c>
      <c r="E367" t="inlineStr">
        <is>
          <t>LEKSAND</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54911-2024</t>
        </is>
      </c>
      <c r="B368" s="1" t="n">
        <v>45618.68929398148</v>
      </c>
      <c r="C368" s="1" t="n">
        <v>45969</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36444-2023</t>
        </is>
      </c>
      <c r="B369" s="1" t="n">
        <v>45152.63138888889</v>
      </c>
      <c r="C369" s="1" t="n">
        <v>45969</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40407-2024</t>
        </is>
      </c>
      <c r="B370" s="1" t="n">
        <v>45555</v>
      </c>
      <c r="C370" s="1" t="n">
        <v>45969</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14943-2023</t>
        </is>
      </c>
      <c r="B371" s="1" t="n">
        <v>45015</v>
      </c>
      <c r="C371" s="1" t="n">
        <v>45969</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41840-2024</t>
        </is>
      </c>
      <c r="B372" s="1" t="n">
        <v>45561.42170138889</v>
      </c>
      <c r="C372" s="1" t="n">
        <v>45969</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33143-2024</t>
        </is>
      </c>
      <c r="B373" s="1" t="n">
        <v>45518</v>
      </c>
      <c r="C373" s="1" t="n">
        <v>45969</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16611-2024</t>
        </is>
      </c>
      <c r="B374" s="1" t="n">
        <v>45408.55504629629</v>
      </c>
      <c r="C374" s="1" t="n">
        <v>45969</v>
      </c>
      <c r="D374" t="inlineStr">
        <is>
          <t>DALARNAS LÄN</t>
        </is>
      </c>
      <c r="E374" t="inlineStr">
        <is>
          <t>LEKSAND</t>
        </is>
      </c>
      <c r="G374" t="n">
        <v>5.9</v>
      </c>
      <c r="H374" t="n">
        <v>0</v>
      </c>
      <c r="I374" t="n">
        <v>0</v>
      </c>
      <c r="J374" t="n">
        <v>0</v>
      </c>
      <c r="K374" t="n">
        <v>0</v>
      </c>
      <c r="L374" t="n">
        <v>0</v>
      </c>
      <c r="M374" t="n">
        <v>0</v>
      </c>
      <c r="N374" t="n">
        <v>0</v>
      </c>
      <c r="O374" t="n">
        <v>0</v>
      </c>
      <c r="P374" t="n">
        <v>0</v>
      </c>
      <c r="Q374" t="n">
        <v>0</v>
      </c>
      <c r="R374" s="2" t="inlineStr"/>
    </row>
    <row r="375" ht="15" customHeight="1">
      <c r="A375" t="inlineStr">
        <is>
          <t>A 5574-2024</t>
        </is>
      </c>
      <c r="B375" s="1" t="n">
        <v>45334</v>
      </c>
      <c r="C375" s="1" t="n">
        <v>45969</v>
      </c>
      <c r="D375" t="inlineStr">
        <is>
          <t>DALARNAS LÄN</t>
        </is>
      </c>
      <c r="E375" t="inlineStr">
        <is>
          <t>LEKSAND</t>
        </is>
      </c>
      <c r="G375" t="n">
        <v>0.4</v>
      </c>
      <c r="H375" t="n">
        <v>0</v>
      </c>
      <c r="I375" t="n">
        <v>0</v>
      </c>
      <c r="J375" t="n">
        <v>0</v>
      </c>
      <c r="K375" t="n">
        <v>0</v>
      </c>
      <c r="L375" t="n">
        <v>0</v>
      </c>
      <c r="M375" t="n">
        <v>0</v>
      </c>
      <c r="N375" t="n">
        <v>0</v>
      </c>
      <c r="O375" t="n">
        <v>0</v>
      </c>
      <c r="P375" t="n">
        <v>0</v>
      </c>
      <c r="Q375" t="n">
        <v>0</v>
      </c>
      <c r="R375" s="2" t="inlineStr"/>
    </row>
    <row r="376" ht="15" customHeight="1">
      <c r="A376" t="inlineStr">
        <is>
          <t>A 46628-2024</t>
        </is>
      </c>
      <c r="B376" s="1" t="n">
        <v>45583.33195601852</v>
      </c>
      <c r="C376" s="1" t="n">
        <v>45969</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9141-2023</t>
        </is>
      </c>
      <c r="B377" s="1" t="n">
        <v>44974</v>
      </c>
      <c r="C377" s="1" t="n">
        <v>45969</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45512-2023</t>
        </is>
      </c>
      <c r="B378" s="1" t="n">
        <v>45194.49178240741</v>
      </c>
      <c r="C378" s="1" t="n">
        <v>45969</v>
      </c>
      <c r="D378" t="inlineStr">
        <is>
          <t>DALARNAS LÄN</t>
        </is>
      </c>
      <c r="E378" t="inlineStr">
        <is>
          <t>LEKSAND</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54844-2021</t>
        </is>
      </c>
      <c r="B379" s="1" t="n">
        <v>44474.30614583333</v>
      </c>
      <c r="C379" s="1" t="n">
        <v>45969</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402-2024</t>
        </is>
      </c>
      <c r="B380" s="1" t="n">
        <v>45296.45545138889</v>
      </c>
      <c r="C380" s="1" t="n">
        <v>45969</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45969</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471-2025</t>
        </is>
      </c>
      <c r="B382" s="1" t="n">
        <v>45664.43394675926</v>
      </c>
      <c r="C382" s="1" t="n">
        <v>45969</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7778-2025</t>
        </is>
      </c>
      <c r="B383" s="1" t="n">
        <v>45706</v>
      </c>
      <c r="C383" s="1" t="n">
        <v>45969</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48421-2025</t>
        </is>
      </c>
      <c r="B384" s="1" t="n">
        <v>45934.67564814815</v>
      </c>
      <c r="C384" s="1" t="n">
        <v>45969</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46665-2023</t>
        </is>
      </c>
      <c r="B385" s="1" t="n">
        <v>45198.47399305556</v>
      </c>
      <c r="C385" s="1" t="n">
        <v>45969</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19590-2023</t>
        </is>
      </c>
      <c r="B386" s="1" t="n">
        <v>45049</v>
      </c>
      <c r="C386" s="1" t="n">
        <v>45969</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39807-2024</t>
        </is>
      </c>
      <c r="B387" s="1" t="n">
        <v>45553.35763888889</v>
      </c>
      <c r="C387" s="1" t="n">
        <v>45969</v>
      </c>
      <c r="D387" t="inlineStr">
        <is>
          <t>DALARNAS LÄN</t>
        </is>
      </c>
      <c r="E387" t="inlineStr">
        <is>
          <t>LEKSAND</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11128-2023</t>
        </is>
      </c>
      <c r="B388" s="1" t="n">
        <v>44992</v>
      </c>
      <c r="C388" s="1" t="n">
        <v>45969</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60024-2023</t>
        </is>
      </c>
      <c r="B389" s="1" t="n">
        <v>45258</v>
      </c>
      <c r="C389" s="1" t="n">
        <v>45969</v>
      </c>
      <c r="D389" t="inlineStr">
        <is>
          <t>DALARNAS LÄN</t>
        </is>
      </c>
      <c r="E389" t="inlineStr">
        <is>
          <t>LEKSAND</t>
        </is>
      </c>
      <c r="G389" t="n">
        <v>4.2</v>
      </c>
      <c r="H389" t="n">
        <v>0</v>
      </c>
      <c r="I389" t="n">
        <v>0</v>
      </c>
      <c r="J389" t="n">
        <v>0</v>
      </c>
      <c r="K389" t="n">
        <v>0</v>
      </c>
      <c r="L389" t="n">
        <v>0</v>
      </c>
      <c r="M389" t="n">
        <v>0</v>
      </c>
      <c r="N389" t="n">
        <v>0</v>
      </c>
      <c r="O389" t="n">
        <v>0</v>
      </c>
      <c r="P389" t="n">
        <v>0</v>
      </c>
      <c r="Q389" t="n">
        <v>0</v>
      </c>
      <c r="R389" s="2" t="inlineStr"/>
    </row>
    <row r="390" ht="15" customHeight="1">
      <c r="A390" t="inlineStr">
        <is>
          <t>A 11859-2024</t>
        </is>
      </c>
      <c r="B390" s="1" t="n">
        <v>45376.44569444445</v>
      </c>
      <c r="C390" s="1" t="n">
        <v>45969</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62133-2023</t>
        </is>
      </c>
      <c r="B391" s="1" t="n">
        <v>45267.35582175926</v>
      </c>
      <c r="C391" s="1" t="n">
        <v>45969</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14615-2024</t>
        </is>
      </c>
      <c r="B392" s="1" t="n">
        <v>45397.26047453703</v>
      </c>
      <c r="C392" s="1" t="n">
        <v>45969</v>
      </c>
      <c r="D392" t="inlineStr">
        <is>
          <t>DALARNAS LÄN</t>
        </is>
      </c>
      <c r="E392" t="inlineStr">
        <is>
          <t>LEKSAND</t>
        </is>
      </c>
      <c r="G392" t="n">
        <v>0.4</v>
      </c>
      <c r="H392" t="n">
        <v>0</v>
      </c>
      <c r="I392" t="n">
        <v>0</v>
      </c>
      <c r="J392" t="n">
        <v>0</v>
      </c>
      <c r="K392" t="n">
        <v>0</v>
      </c>
      <c r="L392" t="n">
        <v>0</v>
      </c>
      <c r="M392" t="n">
        <v>0</v>
      </c>
      <c r="N392" t="n">
        <v>0</v>
      </c>
      <c r="O392" t="n">
        <v>0</v>
      </c>
      <c r="P392" t="n">
        <v>0</v>
      </c>
      <c r="Q392" t="n">
        <v>0</v>
      </c>
      <c r="R392" s="2" t="inlineStr"/>
    </row>
    <row r="393" ht="15" customHeight="1">
      <c r="A393" t="inlineStr">
        <is>
          <t>A 31850-2024</t>
        </is>
      </c>
      <c r="B393" s="1" t="n">
        <v>45509.67334490741</v>
      </c>
      <c r="C393" s="1" t="n">
        <v>45969</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58495-2023</t>
        </is>
      </c>
      <c r="B394" s="1" t="n">
        <v>45251</v>
      </c>
      <c r="C394" s="1" t="n">
        <v>45969</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6039-2023</t>
        </is>
      </c>
      <c r="B395" s="1" t="n">
        <v>44959</v>
      </c>
      <c r="C395" s="1" t="n">
        <v>45969</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11277-2025</t>
        </is>
      </c>
      <c r="B396" s="1" t="n">
        <v>45726.41565972222</v>
      </c>
      <c r="C396" s="1" t="n">
        <v>45969</v>
      </c>
      <c r="D396" t="inlineStr">
        <is>
          <t>DALARNAS LÄN</t>
        </is>
      </c>
      <c r="E396" t="inlineStr">
        <is>
          <t>LEKSAND</t>
        </is>
      </c>
      <c r="G396" t="n">
        <v>2</v>
      </c>
      <c r="H396" t="n">
        <v>0</v>
      </c>
      <c r="I396" t="n">
        <v>0</v>
      </c>
      <c r="J396" t="n">
        <v>0</v>
      </c>
      <c r="K396" t="n">
        <v>0</v>
      </c>
      <c r="L396" t="n">
        <v>0</v>
      </c>
      <c r="M396" t="n">
        <v>0</v>
      </c>
      <c r="N396" t="n">
        <v>0</v>
      </c>
      <c r="O396" t="n">
        <v>0</v>
      </c>
      <c r="P396" t="n">
        <v>0</v>
      </c>
      <c r="Q396" t="n">
        <v>0</v>
      </c>
      <c r="R396" s="2" t="inlineStr"/>
    </row>
    <row r="397" ht="15" customHeight="1">
      <c r="A397" t="inlineStr">
        <is>
          <t>A 22517-2024</t>
        </is>
      </c>
      <c r="B397" s="1" t="n">
        <v>45447.40143518519</v>
      </c>
      <c r="C397" s="1" t="n">
        <v>45969</v>
      </c>
      <c r="D397" t="inlineStr">
        <is>
          <t>DALARNAS LÄN</t>
        </is>
      </c>
      <c r="E397" t="inlineStr">
        <is>
          <t>LEKSAND</t>
        </is>
      </c>
      <c r="G397" t="n">
        <v>0.4</v>
      </c>
      <c r="H397" t="n">
        <v>0</v>
      </c>
      <c r="I397" t="n">
        <v>0</v>
      </c>
      <c r="J397" t="n">
        <v>0</v>
      </c>
      <c r="K397" t="n">
        <v>0</v>
      </c>
      <c r="L397" t="n">
        <v>0</v>
      </c>
      <c r="M397" t="n">
        <v>0</v>
      </c>
      <c r="N397" t="n">
        <v>0</v>
      </c>
      <c r="O397" t="n">
        <v>0</v>
      </c>
      <c r="P397" t="n">
        <v>0</v>
      </c>
      <c r="Q397" t="n">
        <v>0</v>
      </c>
      <c r="R397" s="2" t="inlineStr"/>
    </row>
    <row r="398" ht="15" customHeight="1">
      <c r="A398" t="inlineStr">
        <is>
          <t>A 325-2023</t>
        </is>
      </c>
      <c r="B398" s="1" t="n">
        <v>44929</v>
      </c>
      <c r="C398" s="1" t="n">
        <v>45969</v>
      </c>
      <c r="D398" t="inlineStr">
        <is>
          <t>DALARNAS LÄN</t>
        </is>
      </c>
      <c r="E398" t="inlineStr">
        <is>
          <t>LEKSAND</t>
        </is>
      </c>
      <c r="F398" t="inlineStr">
        <is>
          <t>Övriga Aktiebolag</t>
        </is>
      </c>
      <c r="G398" t="n">
        <v>7.1</v>
      </c>
      <c r="H398" t="n">
        <v>0</v>
      </c>
      <c r="I398" t="n">
        <v>0</v>
      </c>
      <c r="J398" t="n">
        <v>0</v>
      </c>
      <c r="K398" t="n">
        <v>0</v>
      </c>
      <c r="L398" t="n">
        <v>0</v>
      </c>
      <c r="M398" t="n">
        <v>0</v>
      </c>
      <c r="N398" t="n">
        <v>0</v>
      </c>
      <c r="O398" t="n">
        <v>0</v>
      </c>
      <c r="P398" t="n">
        <v>0</v>
      </c>
      <c r="Q398" t="n">
        <v>0</v>
      </c>
      <c r="R398" s="2" t="inlineStr"/>
    </row>
    <row r="399" ht="15" customHeight="1">
      <c r="A399" t="inlineStr">
        <is>
          <t>A 30863-2024</t>
        </is>
      </c>
      <c r="B399" s="1" t="n">
        <v>45497.71074074074</v>
      </c>
      <c r="C399" s="1" t="n">
        <v>45969</v>
      </c>
      <c r="D399" t="inlineStr">
        <is>
          <t>DALARNAS LÄN</t>
        </is>
      </c>
      <c r="E399" t="inlineStr">
        <is>
          <t>LEKSAND</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52801-2023</t>
        </is>
      </c>
      <c r="B400" s="1" t="n">
        <v>45219</v>
      </c>
      <c r="C400" s="1" t="n">
        <v>45969</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11678-2025</t>
        </is>
      </c>
      <c r="B401" s="1" t="n">
        <v>45726</v>
      </c>
      <c r="C401" s="1" t="n">
        <v>45969</v>
      </c>
      <c r="D401" t="inlineStr">
        <is>
          <t>DALARNAS LÄN</t>
        </is>
      </c>
      <c r="E401" t="inlineStr">
        <is>
          <t>LEKSAND</t>
        </is>
      </c>
      <c r="G401" t="n">
        <v>9.4</v>
      </c>
      <c r="H401" t="n">
        <v>0</v>
      </c>
      <c r="I401" t="n">
        <v>0</v>
      </c>
      <c r="J401" t="n">
        <v>0</v>
      </c>
      <c r="K401" t="n">
        <v>0</v>
      </c>
      <c r="L401" t="n">
        <v>0</v>
      </c>
      <c r="M401" t="n">
        <v>0</v>
      </c>
      <c r="N401" t="n">
        <v>0</v>
      </c>
      <c r="O401" t="n">
        <v>0</v>
      </c>
      <c r="P401" t="n">
        <v>0</v>
      </c>
      <c r="Q401" t="n">
        <v>0</v>
      </c>
      <c r="R401" s="2" t="inlineStr"/>
    </row>
    <row r="402" ht="15" customHeight="1">
      <c r="A402" t="inlineStr">
        <is>
          <t>A 45768-2023</t>
        </is>
      </c>
      <c r="B402" s="1" t="n">
        <v>45195</v>
      </c>
      <c r="C402" s="1" t="n">
        <v>45969</v>
      </c>
      <c r="D402" t="inlineStr">
        <is>
          <t>DALARNAS LÄN</t>
        </is>
      </c>
      <c r="E402" t="inlineStr">
        <is>
          <t>LEKSAND</t>
        </is>
      </c>
      <c r="G402" t="n">
        <v>0.4</v>
      </c>
      <c r="H402" t="n">
        <v>0</v>
      </c>
      <c r="I402" t="n">
        <v>0</v>
      </c>
      <c r="J402" t="n">
        <v>0</v>
      </c>
      <c r="K402" t="n">
        <v>0</v>
      </c>
      <c r="L402" t="n">
        <v>0</v>
      </c>
      <c r="M402" t="n">
        <v>0</v>
      </c>
      <c r="N402" t="n">
        <v>0</v>
      </c>
      <c r="O402" t="n">
        <v>0</v>
      </c>
      <c r="P402" t="n">
        <v>0</v>
      </c>
      <c r="Q402" t="n">
        <v>0</v>
      </c>
      <c r="R402" s="2" t="inlineStr"/>
    </row>
    <row r="403" ht="15" customHeight="1">
      <c r="A403" t="inlineStr">
        <is>
          <t>A 54289-2023</t>
        </is>
      </c>
      <c r="B403" s="1" t="n">
        <v>45232.71193287037</v>
      </c>
      <c r="C403" s="1" t="n">
        <v>45969</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28630-2023</t>
        </is>
      </c>
      <c r="B404" s="1" t="n">
        <v>45103.61003472222</v>
      </c>
      <c r="C404" s="1" t="n">
        <v>45969</v>
      </c>
      <c r="D404" t="inlineStr">
        <is>
          <t>DALARNAS LÄN</t>
        </is>
      </c>
      <c r="E404" t="inlineStr">
        <is>
          <t>LEKSAND</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41306-2024</t>
        </is>
      </c>
      <c r="B405" s="1" t="n">
        <v>45559.62550925926</v>
      </c>
      <c r="C405" s="1" t="n">
        <v>45969</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29157-2022</t>
        </is>
      </c>
      <c r="B406" s="1" t="n">
        <v>44750.48355324074</v>
      </c>
      <c r="C406" s="1" t="n">
        <v>45969</v>
      </c>
      <c r="D406" t="inlineStr">
        <is>
          <t>DALARNAS LÄN</t>
        </is>
      </c>
      <c r="E406" t="inlineStr">
        <is>
          <t>LEKSAND</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7759-2025</t>
        </is>
      </c>
      <c r="B407" s="1" t="n">
        <v>45706.53827546296</v>
      </c>
      <c r="C407" s="1" t="n">
        <v>45969</v>
      </c>
      <c r="D407" t="inlineStr">
        <is>
          <t>DALARNAS LÄN</t>
        </is>
      </c>
      <c r="E407" t="inlineStr">
        <is>
          <t>LEKSAND</t>
        </is>
      </c>
      <c r="G407" t="n">
        <v>3.3</v>
      </c>
      <c r="H407" t="n">
        <v>0</v>
      </c>
      <c r="I407" t="n">
        <v>0</v>
      </c>
      <c r="J407" t="n">
        <v>0</v>
      </c>
      <c r="K407" t="n">
        <v>0</v>
      </c>
      <c r="L407" t="n">
        <v>0</v>
      </c>
      <c r="M407" t="n">
        <v>0</v>
      </c>
      <c r="N407" t="n">
        <v>0</v>
      </c>
      <c r="O407" t="n">
        <v>0</v>
      </c>
      <c r="P407" t="n">
        <v>0</v>
      </c>
      <c r="Q407" t="n">
        <v>0</v>
      </c>
      <c r="R407" s="2" t="inlineStr"/>
    </row>
    <row r="408" ht="15" customHeight="1">
      <c r="A408" t="inlineStr">
        <is>
          <t>A 36450-2023</t>
        </is>
      </c>
      <c r="B408" s="1" t="n">
        <v>45152.64842592592</v>
      </c>
      <c r="C408" s="1" t="n">
        <v>45969</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1458-2024</t>
        </is>
      </c>
      <c r="B409" s="1" t="n">
        <v>45303</v>
      </c>
      <c r="C409" s="1" t="n">
        <v>45969</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1461-2024</t>
        </is>
      </c>
      <c r="B410" s="1" t="n">
        <v>45303</v>
      </c>
      <c r="C410" s="1" t="n">
        <v>45969</v>
      </c>
      <c r="D410" t="inlineStr">
        <is>
          <t>DALARNAS LÄN</t>
        </is>
      </c>
      <c r="E410" t="inlineStr">
        <is>
          <t>LEKSAND</t>
        </is>
      </c>
      <c r="G410" t="n">
        <v>2.4</v>
      </c>
      <c r="H410" t="n">
        <v>0</v>
      </c>
      <c r="I410" t="n">
        <v>0</v>
      </c>
      <c r="J410" t="n">
        <v>0</v>
      </c>
      <c r="K410" t="n">
        <v>0</v>
      </c>
      <c r="L410" t="n">
        <v>0</v>
      </c>
      <c r="M410" t="n">
        <v>0</v>
      </c>
      <c r="N410" t="n">
        <v>0</v>
      </c>
      <c r="O410" t="n">
        <v>0</v>
      </c>
      <c r="P410" t="n">
        <v>0</v>
      </c>
      <c r="Q410" t="n">
        <v>0</v>
      </c>
      <c r="R410" s="2" t="inlineStr"/>
    </row>
    <row r="411" ht="15" customHeight="1">
      <c r="A411" t="inlineStr">
        <is>
          <t>A 3737-2023</t>
        </is>
      </c>
      <c r="B411" s="1" t="n">
        <v>44951.42983796296</v>
      </c>
      <c r="C411" s="1" t="n">
        <v>45969</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17078-2023</t>
        </is>
      </c>
      <c r="B412" s="1" t="n">
        <v>45034</v>
      </c>
      <c r="C412" s="1" t="n">
        <v>45969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14865-2025</t>
        </is>
      </c>
      <c r="B413" s="1" t="n">
        <v>45743.43929398148</v>
      </c>
      <c r="C413" s="1" t="n">
        <v>45969</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16854-2025</t>
        </is>
      </c>
      <c r="B414" s="1" t="n">
        <v>45754.72883101852</v>
      </c>
      <c r="C414" s="1" t="n">
        <v>45969</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12356-2023</t>
        </is>
      </c>
      <c r="B415" s="1" t="n">
        <v>44998</v>
      </c>
      <c r="C415" s="1" t="n">
        <v>45969</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5847-2025</t>
        </is>
      </c>
      <c r="B416" s="1" t="n">
        <v>45695.30824074074</v>
      </c>
      <c r="C416" s="1" t="n">
        <v>45969</v>
      </c>
      <c r="D416" t="inlineStr">
        <is>
          <t>DALARNAS LÄN</t>
        </is>
      </c>
      <c r="E416" t="inlineStr">
        <is>
          <t>LEKSAND</t>
        </is>
      </c>
      <c r="G416" t="n">
        <v>2.6</v>
      </c>
      <c r="H416" t="n">
        <v>0</v>
      </c>
      <c r="I416" t="n">
        <v>0</v>
      </c>
      <c r="J416" t="n">
        <v>0</v>
      </c>
      <c r="K416" t="n">
        <v>0</v>
      </c>
      <c r="L416" t="n">
        <v>0</v>
      </c>
      <c r="M416" t="n">
        <v>0</v>
      </c>
      <c r="N416" t="n">
        <v>0</v>
      </c>
      <c r="O416" t="n">
        <v>0</v>
      </c>
      <c r="P416" t="n">
        <v>0</v>
      </c>
      <c r="Q416" t="n">
        <v>0</v>
      </c>
      <c r="R416" s="2" t="inlineStr"/>
    </row>
    <row r="417" ht="15" customHeight="1">
      <c r="A417" t="inlineStr">
        <is>
          <t>A 5873-2025</t>
        </is>
      </c>
      <c r="B417" s="1" t="n">
        <v>45695.36715277778</v>
      </c>
      <c r="C417" s="1" t="n">
        <v>45969</v>
      </c>
      <c r="D417" t="inlineStr">
        <is>
          <t>DALARNAS LÄN</t>
        </is>
      </c>
      <c r="E417" t="inlineStr">
        <is>
          <t>LEKSAND</t>
        </is>
      </c>
      <c r="G417" t="n">
        <v>1.4</v>
      </c>
      <c r="H417" t="n">
        <v>0</v>
      </c>
      <c r="I417" t="n">
        <v>0</v>
      </c>
      <c r="J417" t="n">
        <v>0</v>
      </c>
      <c r="K417" t="n">
        <v>0</v>
      </c>
      <c r="L417" t="n">
        <v>0</v>
      </c>
      <c r="M417" t="n">
        <v>0</v>
      </c>
      <c r="N417" t="n">
        <v>0</v>
      </c>
      <c r="O417" t="n">
        <v>0</v>
      </c>
      <c r="P417" t="n">
        <v>0</v>
      </c>
      <c r="Q417" t="n">
        <v>0</v>
      </c>
      <c r="R417" s="2" t="inlineStr"/>
    </row>
    <row r="418" ht="15" customHeight="1">
      <c r="A418" t="inlineStr">
        <is>
          <t>A 18481-2024</t>
        </is>
      </c>
      <c r="B418" s="1" t="n">
        <v>45425.52193287037</v>
      </c>
      <c r="C418" s="1" t="n">
        <v>45969</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18484-2024</t>
        </is>
      </c>
      <c r="B419" s="1" t="n">
        <v>45425.52559027778</v>
      </c>
      <c r="C419" s="1" t="n">
        <v>45969</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53193-2024</t>
        </is>
      </c>
      <c r="B420" s="1" t="n">
        <v>45610</v>
      </c>
      <c r="C420" s="1" t="n">
        <v>45969</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11080-2023</t>
        </is>
      </c>
      <c r="B421" s="1" t="n">
        <v>44992</v>
      </c>
      <c r="C421" s="1" t="n">
        <v>45969</v>
      </c>
      <c r="D421" t="inlineStr">
        <is>
          <t>DALARNAS LÄN</t>
        </is>
      </c>
      <c r="E421" t="inlineStr">
        <is>
          <t>LEKSAND</t>
        </is>
      </c>
      <c r="G421" t="n">
        <v>6.9</v>
      </c>
      <c r="H421" t="n">
        <v>0</v>
      </c>
      <c r="I421" t="n">
        <v>0</v>
      </c>
      <c r="J421" t="n">
        <v>0</v>
      </c>
      <c r="K421" t="n">
        <v>0</v>
      </c>
      <c r="L421" t="n">
        <v>0</v>
      </c>
      <c r="M421" t="n">
        <v>0</v>
      </c>
      <c r="N421" t="n">
        <v>0</v>
      </c>
      <c r="O421" t="n">
        <v>0</v>
      </c>
      <c r="P421" t="n">
        <v>0</v>
      </c>
      <c r="Q421" t="n">
        <v>0</v>
      </c>
      <c r="R421" s="2" t="inlineStr"/>
    </row>
    <row r="422" ht="15" customHeight="1">
      <c r="A422" t="inlineStr">
        <is>
          <t>A 41046-2024</t>
        </is>
      </c>
      <c r="B422" s="1" t="n">
        <v>45559.36677083333</v>
      </c>
      <c r="C422" s="1" t="n">
        <v>45969</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11678-2023</t>
        </is>
      </c>
      <c r="B423" s="1" t="n">
        <v>44994</v>
      </c>
      <c r="C423" s="1" t="n">
        <v>45969</v>
      </c>
      <c r="D423" t="inlineStr">
        <is>
          <t>DALARNAS LÄN</t>
        </is>
      </c>
      <c r="E423" t="inlineStr">
        <is>
          <t>LEKSAND</t>
        </is>
      </c>
      <c r="G423" t="n">
        <v>0.9</v>
      </c>
      <c r="H423" t="n">
        <v>0</v>
      </c>
      <c r="I423" t="n">
        <v>0</v>
      </c>
      <c r="J423" t="n">
        <v>0</v>
      </c>
      <c r="K423" t="n">
        <v>0</v>
      </c>
      <c r="L423" t="n">
        <v>0</v>
      </c>
      <c r="M423" t="n">
        <v>0</v>
      </c>
      <c r="N423" t="n">
        <v>0</v>
      </c>
      <c r="O423" t="n">
        <v>0</v>
      </c>
      <c r="P423" t="n">
        <v>0</v>
      </c>
      <c r="Q423" t="n">
        <v>0</v>
      </c>
      <c r="R423" s="2" t="inlineStr"/>
    </row>
    <row r="424" ht="15" customHeight="1">
      <c r="A424" t="inlineStr">
        <is>
          <t>A 56016-2024</t>
        </is>
      </c>
      <c r="B424" s="1" t="n">
        <v>45623.87737268519</v>
      </c>
      <c r="C424" s="1" t="n">
        <v>45969</v>
      </c>
      <c r="D424" t="inlineStr">
        <is>
          <t>DALARNAS LÄN</t>
        </is>
      </c>
      <c r="E424" t="inlineStr">
        <is>
          <t>LEKSAND</t>
        </is>
      </c>
      <c r="G424" t="n">
        <v>6.1</v>
      </c>
      <c r="H424" t="n">
        <v>0</v>
      </c>
      <c r="I424" t="n">
        <v>0</v>
      </c>
      <c r="J424" t="n">
        <v>0</v>
      </c>
      <c r="K424" t="n">
        <v>0</v>
      </c>
      <c r="L424" t="n">
        <v>0</v>
      </c>
      <c r="M424" t="n">
        <v>0</v>
      </c>
      <c r="N424" t="n">
        <v>0</v>
      </c>
      <c r="O424" t="n">
        <v>0</v>
      </c>
      <c r="P424" t="n">
        <v>0</v>
      </c>
      <c r="Q424" t="n">
        <v>0</v>
      </c>
      <c r="R424" s="2" t="inlineStr"/>
    </row>
    <row r="425" ht="15" customHeight="1">
      <c r="A425" t="inlineStr">
        <is>
          <t>A 26957-2023</t>
        </is>
      </c>
      <c r="B425" s="1" t="n">
        <v>45093</v>
      </c>
      <c r="C425" s="1" t="n">
        <v>45969</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13288-2023</t>
        </is>
      </c>
      <c r="B426" s="1" t="n">
        <v>45004.8160300926</v>
      </c>
      <c r="C426" s="1" t="n">
        <v>45969</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11869-2024</t>
        </is>
      </c>
      <c r="B427" s="1" t="n">
        <v>45376.45800925926</v>
      </c>
      <c r="C427" s="1" t="n">
        <v>45969</v>
      </c>
      <c r="D427" t="inlineStr">
        <is>
          <t>DALARNAS LÄN</t>
        </is>
      </c>
      <c r="E427" t="inlineStr">
        <is>
          <t>LEKSAND</t>
        </is>
      </c>
      <c r="G427" t="n">
        <v>0.5</v>
      </c>
      <c r="H427" t="n">
        <v>0</v>
      </c>
      <c r="I427" t="n">
        <v>0</v>
      </c>
      <c r="J427" t="n">
        <v>0</v>
      </c>
      <c r="K427" t="n">
        <v>0</v>
      </c>
      <c r="L427" t="n">
        <v>0</v>
      </c>
      <c r="M427" t="n">
        <v>0</v>
      </c>
      <c r="N427" t="n">
        <v>0</v>
      </c>
      <c r="O427" t="n">
        <v>0</v>
      </c>
      <c r="P427" t="n">
        <v>0</v>
      </c>
      <c r="Q427" t="n">
        <v>0</v>
      </c>
      <c r="R427" s="2" t="inlineStr"/>
    </row>
    <row r="428" ht="15" customHeight="1">
      <c r="A428" t="inlineStr">
        <is>
          <t>A 48824-2025</t>
        </is>
      </c>
      <c r="B428" s="1" t="n">
        <v>45937.37949074074</v>
      </c>
      <c r="C428" s="1" t="n">
        <v>45969</v>
      </c>
      <c r="D428" t="inlineStr">
        <is>
          <t>DALARNAS LÄN</t>
        </is>
      </c>
      <c r="E428" t="inlineStr">
        <is>
          <t>LEKSAND</t>
        </is>
      </c>
      <c r="G428" t="n">
        <v>6.3</v>
      </c>
      <c r="H428" t="n">
        <v>0</v>
      </c>
      <c r="I428" t="n">
        <v>0</v>
      </c>
      <c r="J428" t="n">
        <v>0</v>
      </c>
      <c r="K428" t="n">
        <v>0</v>
      </c>
      <c r="L428" t="n">
        <v>0</v>
      </c>
      <c r="M428" t="n">
        <v>0</v>
      </c>
      <c r="N428" t="n">
        <v>0</v>
      </c>
      <c r="O428" t="n">
        <v>0</v>
      </c>
      <c r="P428" t="n">
        <v>0</v>
      </c>
      <c r="Q428" t="n">
        <v>0</v>
      </c>
      <c r="R428" s="2" t="inlineStr"/>
    </row>
    <row r="429" ht="15" customHeight="1">
      <c r="A429" t="inlineStr">
        <is>
          <t>A 27520-2023</t>
        </is>
      </c>
      <c r="B429" s="1" t="n">
        <v>45097</v>
      </c>
      <c r="C429" s="1" t="n">
        <v>45969</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30169-2023</t>
        </is>
      </c>
      <c r="B430" s="1" t="n">
        <v>45110</v>
      </c>
      <c r="C430" s="1" t="n">
        <v>45969</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55926-2024</t>
        </is>
      </c>
      <c r="B431" s="1" t="n">
        <v>45623.601875</v>
      </c>
      <c r="C431" s="1" t="n">
        <v>45969</v>
      </c>
      <c r="D431" t="inlineStr">
        <is>
          <t>DALARNAS LÄN</t>
        </is>
      </c>
      <c r="E431" t="inlineStr">
        <is>
          <t>LEKSAND</t>
        </is>
      </c>
      <c r="G431" t="n">
        <v>0.6</v>
      </c>
      <c r="H431" t="n">
        <v>0</v>
      </c>
      <c r="I431" t="n">
        <v>0</v>
      </c>
      <c r="J431" t="n">
        <v>0</v>
      </c>
      <c r="K431" t="n">
        <v>0</v>
      </c>
      <c r="L431" t="n">
        <v>0</v>
      </c>
      <c r="M431" t="n">
        <v>0</v>
      </c>
      <c r="N431" t="n">
        <v>0</v>
      </c>
      <c r="O431" t="n">
        <v>0</v>
      </c>
      <c r="P431" t="n">
        <v>0</v>
      </c>
      <c r="Q431" t="n">
        <v>0</v>
      </c>
      <c r="R431" s="2" t="inlineStr"/>
    </row>
    <row r="432" ht="15" customHeight="1">
      <c r="A432" t="inlineStr">
        <is>
          <t>A 16293-2025</t>
        </is>
      </c>
      <c r="B432" s="1" t="n">
        <v>45751.33447916667</v>
      </c>
      <c r="C432" s="1" t="n">
        <v>45969</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37952-2024</t>
        </is>
      </c>
      <c r="B433" s="1" t="n">
        <v>45544.5200462963</v>
      </c>
      <c r="C433" s="1" t="n">
        <v>45969</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19371-2024</t>
        </is>
      </c>
      <c r="B434" s="1" t="n">
        <v>45429.34969907408</v>
      </c>
      <c r="C434" s="1" t="n">
        <v>45969</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51860-2024</t>
        </is>
      </c>
      <c r="B435" s="1" t="n">
        <v>45607.54511574074</v>
      </c>
      <c r="C435" s="1" t="n">
        <v>45969</v>
      </c>
      <c r="D435" t="inlineStr">
        <is>
          <t>DALARNAS LÄN</t>
        </is>
      </c>
      <c r="E435" t="inlineStr">
        <is>
          <t>LEKSAND</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7827-2024</t>
        </is>
      </c>
      <c r="B436" s="1" t="n">
        <v>45349.7467824074</v>
      </c>
      <c r="C436" s="1" t="n">
        <v>45969</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3352-2024</t>
        </is>
      </c>
      <c r="B437" s="1" t="n">
        <v>45317</v>
      </c>
      <c r="C437" s="1" t="n">
        <v>45969</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49076-2025</t>
        </is>
      </c>
      <c r="B438" s="1" t="n">
        <v>45937.65601851852</v>
      </c>
      <c r="C438" s="1" t="n">
        <v>45969</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45969</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48922-2025</t>
        </is>
      </c>
      <c r="B440" s="1" t="n">
        <v>45937.50077546296</v>
      </c>
      <c r="C440" s="1" t="n">
        <v>45969</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48829-2025</t>
        </is>
      </c>
      <c r="B441" s="1" t="n">
        <v>45936</v>
      </c>
      <c r="C441" s="1" t="n">
        <v>45969</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40517-2025</t>
        </is>
      </c>
      <c r="B442" s="1" t="n">
        <v>45896.36368055556</v>
      </c>
      <c r="C442" s="1" t="n">
        <v>45969</v>
      </c>
      <c r="D442" t="inlineStr">
        <is>
          <t>DALARNAS LÄN</t>
        </is>
      </c>
      <c r="E442" t="inlineStr">
        <is>
          <t>LEKSAND</t>
        </is>
      </c>
      <c r="G442" t="n">
        <v>1.6</v>
      </c>
      <c r="H442" t="n">
        <v>0</v>
      </c>
      <c r="I442" t="n">
        <v>0</v>
      </c>
      <c r="J442" t="n">
        <v>0</v>
      </c>
      <c r="K442" t="n">
        <v>0</v>
      </c>
      <c r="L442" t="n">
        <v>0</v>
      </c>
      <c r="M442" t="n">
        <v>0</v>
      </c>
      <c r="N442" t="n">
        <v>0</v>
      </c>
      <c r="O442" t="n">
        <v>0</v>
      </c>
      <c r="P442" t="n">
        <v>0</v>
      </c>
      <c r="Q442" t="n">
        <v>0</v>
      </c>
      <c r="R442" s="2" t="inlineStr"/>
    </row>
    <row r="443" ht="15" customHeight="1">
      <c r="A443" t="inlineStr">
        <is>
          <t>A 49405-2024</t>
        </is>
      </c>
      <c r="B443" s="1" t="n">
        <v>45595</v>
      </c>
      <c r="C443" s="1" t="n">
        <v>45969</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31391-2024</t>
        </is>
      </c>
      <c r="B444" s="1" t="n">
        <v>45505.46616898148</v>
      </c>
      <c r="C444" s="1" t="n">
        <v>45969</v>
      </c>
      <c r="D444" t="inlineStr">
        <is>
          <t>DALARNAS LÄN</t>
        </is>
      </c>
      <c r="E444" t="inlineStr">
        <is>
          <t>LEKSAND</t>
        </is>
      </c>
      <c r="F444" t="inlineStr">
        <is>
          <t>Bergvik skog väst AB</t>
        </is>
      </c>
      <c r="G444" t="n">
        <v>2.7</v>
      </c>
      <c r="H444" t="n">
        <v>0</v>
      </c>
      <c r="I444" t="n">
        <v>0</v>
      </c>
      <c r="J444" t="n">
        <v>0</v>
      </c>
      <c r="K444" t="n">
        <v>0</v>
      </c>
      <c r="L444" t="n">
        <v>0</v>
      </c>
      <c r="M444" t="n">
        <v>0</v>
      </c>
      <c r="N444" t="n">
        <v>0</v>
      </c>
      <c r="O444" t="n">
        <v>0</v>
      </c>
      <c r="P444" t="n">
        <v>0</v>
      </c>
      <c r="Q444" t="n">
        <v>0</v>
      </c>
      <c r="R444" s="2" t="inlineStr"/>
    </row>
    <row r="445" ht="15" customHeight="1">
      <c r="A445" t="inlineStr">
        <is>
          <t>A 15020-2023</t>
        </is>
      </c>
      <c r="B445" s="1" t="n">
        <v>45015.6196412037</v>
      </c>
      <c r="C445" s="1" t="n">
        <v>45969</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40513-2025</t>
        </is>
      </c>
      <c r="B446" s="1" t="n">
        <v>45896.35100694445</v>
      </c>
      <c r="C446" s="1" t="n">
        <v>45969</v>
      </c>
      <c r="D446" t="inlineStr">
        <is>
          <t>DALARNAS LÄN</t>
        </is>
      </c>
      <c r="E446" t="inlineStr">
        <is>
          <t>LEKSAND</t>
        </is>
      </c>
      <c r="G446" t="n">
        <v>7.1</v>
      </c>
      <c r="H446" t="n">
        <v>0</v>
      </c>
      <c r="I446" t="n">
        <v>0</v>
      </c>
      <c r="J446" t="n">
        <v>0</v>
      </c>
      <c r="K446" t="n">
        <v>0</v>
      </c>
      <c r="L446" t="n">
        <v>0</v>
      </c>
      <c r="M446" t="n">
        <v>0</v>
      </c>
      <c r="N446" t="n">
        <v>0</v>
      </c>
      <c r="O446" t="n">
        <v>0</v>
      </c>
      <c r="P446" t="n">
        <v>0</v>
      </c>
      <c r="Q446" t="n">
        <v>0</v>
      </c>
      <c r="R446" s="2" t="inlineStr"/>
    </row>
    <row r="447" ht="15" customHeight="1">
      <c r="A447" t="inlineStr">
        <is>
          <t>A 20683-2025</t>
        </is>
      </c>
      <c r="B447" s="1" t="n">
        <v>45776</v>
      </c>
      <c r="C447" s="1" t="n">
        <v>45969</v>
      </c>
      <c r="D447" t="inlineStr">
        <is>
          <t>DALARNAS LÄN</t>
        </is>
      </c>
      <c r="E447" t="inlineStr">
        <is>
          <t>LEKSAND</t>
        </is>
      </c>
      <c r="F447" t="inlineStr">
        <is>
          <t>Bergvik skog väst AB</t>
        </is>
      </c>
      <c r="G447" t="n">
        <v>4.1</v>
      </c>
      <c r="H447" t="n">
        <v>0</v>
      </c>
      <c r="I447" t="n">
        <v>0</v>
      </c>
      <c r="J447" t="n">
        <v>0</v>
      </c>
      <c r="K447" t="n">
        <v>0</v>
      </c>
      <c r="L447" t="n">
        <v>0</v>
      </c>
      <c r="M447" t="n">
        <v>0</v>
      </c>
      <c r="N447" t="n">
        <v>0</v>
      </c>
      <c r="O447" t="n">
        <v>0</v>
      </c>
      <c r="P447" t="n">
        <v>0</v>
      </c>
      <c r="Q447" t="n">
        <v>0</v>
      </c>
      <c r="R447" s="2" t="inlineStr"/>
    </row>
    <row r="448" ht="15" customHeight="1">
      <c r="A448" t="inlineStr">
        <is>
          <t>A 23323-2023</t>
        </is>
      </c>
      <c r="B448" s="1" t="n">
        <v>45076</v>
      </c>
      <c r="C448" s="1" t="n">
        <v>45969</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11004-2023</t>
        </is>
      </c>
      <c r="B449" s="1" t="n">
        <v>44986</v>
      </c>
      <c r="C449" s="1" t="n">
        <v>45969</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10299-2024</t>
        </is>
      </c>
      <c r="B450" s="1" t="n">
        <v>45365.50425925926</v>
      </c>
      <c r="C450" s="1" t="n">
        <v>45969</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55643-2024</t>
        </is>
      </c>
      <c r="B451" s="1" t="n">
        <v>45621</v>
      </c>
      <c r="C451" s="1" t="n">
        <v>45969</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27244-2023</t>
        </is>
      </c>
      <c r="B452" s="1" t="n">
        <v>45096</v>
      </c>
      <c r="C452" s="1" t="n">
        <v>45969</v>
      </c>
      <c r="D452" t="inlineStr">
        <is>
          <t>DALARNAS LÄN</t>
        </is>
      </c>
      <c r="E452" t="inlineStr">
        <is>
          <t>LEKSAND</t>
        </is>
      </c>
      <c r="G452" t="n">
        <v>5</v>
      </c>
      <c r="H452" t="n">
        <v>0</v>
      </c>
      <c r="I452" t="n">
        <v>0</v>
      </c>
      <c r="J452" t="n">
        <v>0</v>
      </c>
      <c r="K452" t="n">
        <v>0</v>
      </c>
      <c r="L452" t="n">
        <v>0</v>
      </c>
      <c r="M452" t="n">
        <v>0</v>
      </c>
      <c r="N452" t="n">
        <v>0</v>
      </c>
      <c r="O452" t="n">
        <v>0</v>
      </c>
      <c r="P452" t="n">
        <v>0</v>
      </c>
      <c r="Q452" t="n">
        <v>0</v>
      </c>
      <c r="R452" s="2" t="inlineStr"/>
    </row>
    <row r="453" ht="15" customHeight="1">
      <c r="A453" t="inlineStr">
        <is>
          <t>A 20937-2025</t>
        </is>
      </c>
      <c r="B453" s="1" t="n">
        <v>45777.42769675926</v>
      </c>
      <c r="C453" s="1" t="n">
        <v>45969</v>
      </c>
      <c r="D453" t="inlineStr">
        <is>
          <t>DALARNAS LÄN</t>
        </is>
      </c>
      <c r="E453" t="inlineStr">
        <is>
          <t>LEKSAND</t>
        </is>
      </c>
      <c r="G453" t="n">
        <v>2.2</v>
      </c>
      <c r="H453" t="n">
        <v>0</v>
      </c>
      <c r="I453" t="n">
        <v>0</v>
      </c>
      <c r="J453" t="n">
        <v>0</v>
      </c>
      <c r="K453" t="n">
        <v>0</v>
      </c>
      <c r="L453" t="n">
        <v>0</v>
      </c>
      <c r="M453" t="n">
        <v>0</v>
      </c>
      <c r="N453" t="n">
        <v>0</v>
      </c>
      <c r="O453" t="n">
        <v>0</v>
      </c>
      <c r="P453" t="n">
        <v>0</v>
      </c>
      <c r="Q453" t="n">
        <v>0</v>
      </c>
      <c r="R453" s="2" t="inlineStr"/>
    </row>
    <row r="454" ht="15" customHeight="1">
      <c r="A454" t="inlineStr">
        <is>
          <t>A 21457-2025</t>
        </is>
      </c>
      <c r="B454" s="1" t="n">
        <v>45782.55451388889</v>
      </c>
      <c r="C454" s="1" t="n">
        <v>45969</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60129-2023</t>
        </is>
      </c>
      <c r="B455" s="1" t="n">
        <v>45258.49056712963</v>
      </c>
      <c r="C455" s="1" t="n">
        <v>45969</v>
      </c>
      <c r="D455" t="inlineStr">
        <is>
          <t>DALARNAS LÄN</t>
        </is>
      </c>
      <c r="E455" t="inlineStr">
        <is>
          <t>LEKSAND</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49209-2025</t>
        </is>
      </c>
      <c r="B456" s="1" t="n">
        <v>45938.43589120371</v>
      </c>
      <c r="C456" s="1" t="n">
        <v>45969</v>
      </c>
      <c r="D456" t="inlineStr">
        <is>
          <t>DALARNAS LÄN</t>
        </is>
      </c>
      <c r="E456" t="inlineStr">
        <is>
          <t>LEKSAND</t>
        </is>
      </c>
      <c r="G456" t="n">
        <v>4.8</v>
      </c>
      <c r="H456" t="n">
        <v>0</v>
      </c>
      <c r="I456" t="n">
        <v>0</v>
      </c>
      <c r="J456" t="n">
        <v>0</v>
      </c>
      <c r="K456" t="n">
        <v>0</v>
      </c>
      <c r="L456" t="n">
        <v>0</v>
      </c>
      <c r="M456" t="n">
        <v>0</v>
      </c>
      <c r="N456" t="n">
        <v>0</v>
      </c>
      <c r="O456" t="n">
        <v>0</v>
      </c>
      <c r="P456" t="n">
        <v>0</v>
      </c>
      <c r="Q456" t="n">
        <v>0</v>
      </c>
      <c r="R456" s="2" t="inlineStr"/>
    </row>
    <row r="457" ht="15" customHeight="1">
      <c r="A457" t="inlineStr">
        <is>
          <t>A 49212-2025</t>
        </is>
      </c>
      <c r="B457" s="1" t="n">
        <v>45938.43855324074</v>
      </c>
      <c r="C457" s="1" t="n">
        <v>45969</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16137-2023</t>
        </is>
      </c>
      <c r="B458" s="1" t="n">
        <v>45027</v>
      </c>
      <c r="C458" s="1" t="n">
        <v>45969</v>
      </c>
      <c r="D458" t="inlineStr">
        <is>
          <t>DALARNAS LÄN</t>
        </is>
      </c>
      <c r="E458" t="inlineStr">
        <is>
          <t>LEKSAND</t>
        </is>
      </c>
      <c r="G458" t="n">
        <v>1.6</v>
      </c>
      <c r="H458" t="n">
        <v>0</v>
      </c>
      <c r="I458" t="n">
        <v>0</v>
      </c>
      <c r="J458" t="n">
        <v>0</v>
      </c>
      <c r="K458" t="n">
        <v>0</v>
      </c>
      <c r="L458" t="n">
        <v>0</v>
      </c>
      <c r="M458" t="n">
        <v>0</v>
      </c>
      <c r="N458" t="n">
        <v>0</v>
      </c>
      <c r="O458" t="n">
        <v>0</v>
      </c>
      <c r="P458" t="n">
        <v>0</v>
      </c>
      <c r="Q458" t="n">
        <v>0</v>
      </c>
      <c r="R458" s="2" t="inlineStr"/>
    </row>
    <row r="459" ht="15" customHeight="1">
      <c r="A459" t="inlineStr">
        <is>
          <t>A 21230-2025</t>
        </is>
      </c>
      <c r="B459" s="1" t="n">
        <v>45779.54589120371</v>
      </c>
      <c r="C459" s="1" t="n">
        <v>45969</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21193-2025</t>
        </is>
      </c>
      <c r="B460" s="1" t="n">
        <v>45779.46675925926</v>
      </c>
      <c r="C460" s="1" t="n">
        <v>45969</v>
      </c>
      <c r="D460" t="inlineStr">
        <is>
          <t>DALARNAS LÄN</t>
        </is>
      </c>
      <c r="E460" t="inlineStr">
        <is>
          <t>LEKSAND</t>
        </is>
      </c>
      <c r="G460" t="n">
        <v>3.7</v>
      </c>
      <c r="H460" t="n">
        <v>0</v>
      </c>
      <c r="I460" t="n">
        <v>0</v>
      </c>
      <c r="J460" t="n">
        <v>0</v>
      </c>
      <c r="K460" t="n">
        <v>0</v>
      </c>
      <c r="L460" t="n">
        <v>0</v>
      </c>
      <c r="M460" t="n">
        <v>0</v>
      </c>
      <c r="N460" t="n">
        <v>0</v>
      </c>
      <c r="O460" t="n">
        <v>0</v>
      </c>
      <c r="P460" t="n">
        <v>0</v>
      </c>
      <c r="Q460" t="n">
        <v>0</v>
      </c>
      <c r="R460" s="2" t="inlineStr"/>
    </row>
    <row r="461" ht="15" customHeight="1">
      <c r="A461" t="inlineStr">
        <is>
          <t>A 56283-2024</t>
        </is>
      </c>
      <c r="B461" s="1" t="n">
        <v>45624.67864583333</v>
      </c>
      <c r="C461" s="1" t="n">
        <v>45969</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56299-2024</t>
        </is>
      </c>
      <c r="B462" s="1" t="n">
        <v>45624.68607638889</v>
      </c>
      <c r="C462" s="1" t="n">
        <v>45969</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18107-2025</t>
        </is>
      </c>
      <c r="B463" s="1" t="n">
        <v>45761.55939814815</v>
      </c>
      <c r="C463" s="1" t="n">
        <v>45969</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43077-2024</t>
        </is>
      </c>
      <c r="B464" s="1" t="n">
        <v>45567.50030092592</v>
      </c>
      <c r="C464" s="1" t="n">
        <v>45969</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49505-2025</t>
        </is>
      </c>
      <c r="B465" s="1" t="n">
        <v>45939.37564814815</v>
      </c>
      <c r="C465" s="1" t="n">
        <v>45969</v>
      </c>
      <c r="D465" t="inlineStr">
        <is>
          <t>DALARNAS LÄN</t>
        </is>
      </c>
      <c r="E465" t="inlineStr">
        <is>
          <t>LEKSAND</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11872-2024</t>
        </is>
      </c>
      <c r="B466" s="1" t="n">
        <v>45376.46833333333</v>
      </c>
      <c r="C466" s="1" t="n">
        <v>45969</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21600-2025</t>
        </is>
      </c>
      <c r="B467" s="1" t="n">
        <v>45783.3521875</v>
      </c>
      <c r="C467" s="1" t="n">
        <v>45969</v>
      </c>
      <c r="D467" t="inlineStr">
        <is>
          <t>DALARNAS LÄN</t>
        </is>
      </c>
      <c r="E467" t="inlineStr">
        <is>
          <t>LEKSAND</t>
        </is>
      </c>
      <c r="G467" t="n">
        <v>7.7</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45969</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45969</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56059-2024</t>
        </is>
      </c>
      <c r="B470" s="1" t="n">
        <v>45624.36729166667</v>
      </c>
      <c r="C470" s="1" t="n">
        <v>45969</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21916-2025</t>
        </is>
      </c>
      <c r="B471" s="1" t="n">
        <v>45784.50115740741</v>
      </c>
      <c r="C471" s="1" t="n">
        <v>45969</v>
      </c>
      <c r="D471" t="inlineStr">
        <is>
          <t>DALARNAS LÄN</t>
        </is>
      </c>
      <c r="E471" t="inlineStr">
        <is>
          <t>LEKSAND</t>
        </is>
      </c>
      <c r="G471" t="n">
        <v>2.6</v>
      </c>
      <c r="H471" t="n">
        <v>0</v>
      </c>
      <c r="I471" t="n">
        <v>0</v>
      </c>
      <c r="J471" t="n">
        <v>0</v>
      </c>
      <c r="K471" t="n">
        <v>0</v>
      </c>
      <c r="L471" t="n">
        <v>0</v>
      </c>
      <c r="M471" t="n">
        <v>0</v>
      </c>
      <c r="N471" t="n">
        <v>0</v>
      </c>
      <c r="O471" t="n">
        <v>0</v>
      </c>
      <c r="P471" t="n">
        <v>0</v>
      </c>
      <c r="Q471" t="n">
        <v>0</v>
      </c>
      <c r="R471" s="2" t="inlineStr"/>
    </row>
    <row r="472" ht="15" customHeight="1">
      <c r="A472" t="inlineStr">
        <is>
          <t>A 14967-2023</t>
        </is>
      </c>
      <c r="B472" s="1" t="n">
        <v>45015</v>
      </c>
      <c r="C472" s="1" t="n">
        <v>45969</v>
      </c>
      <c r="D472" t="inlineStr">
        <is>
          <t>DALARNAS LÄN</t>
        </is>
      </c>
      <c r="E472" t="inlineStr">
        <is>
          <t>LEKSAND</t>
        </is>
      </c>
      <c r="G472" t="n">
        <v>1.4</v>
      </c>
      <c r="H472" t="n">
        <v>0</v>
      </c>
      <c r="I472" t="n">
        <v>0</v>
      </c>
      <c r="J472" t="n">
        <v>0</v>
      </c>
      <c r="K472" t="n">
        <v>0</v>
      </c>
      <c r="L472" t="n">
        <v>0</v>
      </c>
      <c r="M472" t="n">
        <v>0</v>
      </c>
      <c r="N472" t="n">
        <v>0</v>
      </c>
      <c r="O472" t="n">
        <v>0</v>
      </c>
      <c r="P472" t="n">
        <v>0</v>
      </c>
      <c r="Q472" t="n">
        <v>0</v>
      </c>
      <c r="R472" s="2" t="inlineStr"/>
    </row>
    <row r="473" ht="15" customHeight="1">
      <c r="A473" t="inlineStr">
        <is>
          <t>A 2579-2022</t>
        </is>
      </c>
      <c r="B473" s="1" t="n">
        <v>44580</v>
      </c>
      <c r="C473" s="1" t="n">
        <v>45969</v>
      </c>
      <c r="D473" t="inlineStr">
        <is>
          <t>DALARNAS LÄN</t>
        </is>
      </c>
      <c r="E473" t="inlineStr">
        <is>
          <t>LEKSAND</t>
        </is>
      </c>
      <c r="G473" t="n">
        <v>0.3</v>
      </c>
      <c r="H473" t="n">
        <v>0</v>
      </c>
      <c r="I473" t="n">
        <v>0</v>
      </c>
      <c r="J473" t="n">
        <v>0</v>
      </c>
      <c r="K473" t="n">
        <v>0</v>
      </c>
      <c r="L473" t="n">
        <v>0</v>
      </c>
      <c r="M473" t="n">
        <v>0</v>
      </c>
      <c r="N473" t="n">
        <v>0</v>
      </c>
      <c r="O473" t="n">
        <v>0</v>
      </c>
      <c r="P473" t="n">
        <v>0</v>
      </c>
      <c r="Q473" t="n">
        <v>0</v>
      </c>
      <c r="R473" s="2" t="inlineStr"/>
    </row>
    <row r="474" ht="15" customHeight="1">
      <c r="A474" t="inlineStr">
        <is>
          <t>A 62307-2023</t>
        </is>
      </c>
      <c r="B474" s="1" t="n">
        <v>45266</v>
      </c>
      <c r="C474" s="1" t="n">
        <v>45969</v>
      </c>
      <c r="D474" t="inlineStr">
        <is>
          <t>DALARNAS LÄN</t>
        </is>
      </c>
      <c r="E474" t="inlineStr">
        <is>
          <t>LEKSAND</t>
        </is>
      </c>
      <c r="G474" t="n">
        <v>3.9</v>
      </c>
      <c r="H474" t="n">
        <v>0</v>
      </c>
      <c r="I474" t="n">
        <v>0</v>
      </c>
      <c r="J474" t="n">
        <v>0</v>
      </c>
      <c r="K474" t="n">
        <v>0</v>
      </c>
      <c r="L474" t="n">
        <v>0</v>
      </c>
      <c r="M474" t="n">
        <v>0</v>
      </c>
      <c r="N474" t="n">
        <v>0</v>
      </c>
      <c r="O474" t="n">
        <v>0</v>
      </c>
      <c r="P474" t="n">
        <v>0</v>
      </c>
      <c r="Q474" t="n">
        <v>0</v>
      </c>
      <c r="R474" s="2" t="inlineStr"/>
    </row>
    <row r="475" ht="15" customHeight="1">
      <c r="A475" t="inlineStr">
        <is>
          <t>A 61554-2024</t>
        </is>
      </c>
      <c r="B475" s="1" t="n">
        <v>45646.60748842593</v>
      </c>
      <c r="C475" s="1" t="n">
        <v>45969</v>
      </c>
      <c r="D475" t="inlineStr">
        <is>
          <t>DALARNAS LÄN</t>
        </is>
      </c>
      <c r="E475" t="inlineStr">
        <is>
          <t>LEKSAND</t>
        </is>
      </c>
      <c r="G475" t="n">
        <v>2.6</v>
      </c>
      <c r="H475" t="n">
        <v>0</v>
      </c>
      <c r="I475" t="n">
        <v>0</v>
      </c>
      <c r="J475" t="n">
        <v>0</v>
      </c>
      <c r="K475" t="n">
        <v>0</v>
      </c>
      <c r="L475" t="n">
        <v>0</v>
      </c>
      <c r="M475" t="n">
        <v>0</v>
      </c>
      <c r="N475" t="n">
        <v>0</v>
      </c>
      <c r="O475" t="n">
        <v>0</v>
      </c>
      <c r="P475" t="n">
        <v>0</v>
      </c>
      <c r="Q475" t="n">
        <v>0</v>
      </c>
      <c r="R475" s="2" t="inlineStr"/>
    </row>
    <row r="476" ht="15" customHeight="1">
      <c r="A476" t="inlineStr">
        <is>
          <t>A 49395-2024</t>
        </is>
      </c>
      <c r="B476" s="1" t="n">
        <v>45595</v>
      </c>
      <c r="C476" s="1" t="n">
        <v>45969</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36534-2024</t>
        </is>
      </c>
      <c r="B477" s="1" t="n">
        <v>45537.45143518518</v>
      </c>
      <c r="C477" s="1" t="n">
        <v>45969</v>
      </c>
      <c r="D477" t="inlineStr">
        <is>
          <t>DALARNAS LÄN</t>
        </is>
      </c>
      <c r="E477" t="inlineStr">
        <is>
          <t>LEKSAND</t>
        </is>
      </c>
      <c r="G477" t="n">
        <v>4</v>
      </c>
      <c r="H477" t="n">
        <v>0</v>
      </c>
      <c r="I477" t="n">
        <v>0</v>
      </c>
      <c r="J477" t="n">
        <v>0</v>
      </c>
      <c r="K477" t="n">
        <v>0</v>
      </c>
      <c r="L477" t="n">
        <v>0</v>
      </c>
      <c r="M477" t="n">
        <v>0</v>
      </c>
      <c r="N477" t="n">
        <v>0</v>
      </c>
      <c r="O477" t="n">
        <v>0</v>
      </c>
      <c r="P477" t="n">
        <v>0</v>
      </c>
      <c r="Q477" t="n">
        <v>0</v>
      </c>
      <c r="R477" s="2" t="inlineStr"/>
    </row>
    <row r="478" ht="15" customHeight="1">
      <c r="A478" t="inlineStr">
        <is>
          <t>A 34244-2024</t>
        </is>
      </c>
      <c r="B478" s="1" t="n">
        <v>45524.58349537037</v>
      </c>
      <c r="C478" s="1" t="n">
        <v>45969</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7861-2024</t>
        </is>
      </c>
      <c r="B479" s="1" t="n">
        <v>45350.30831018519</v>
      </c>
      <c r="C479" s="1" t="n">
        <v>45969</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22080-2025</t>
        </is>
      </c>
      <c r="B480" s="1" t="n">
        <v>45785</v>
      </c>
      <c r="C480" s="1" t="n">
        <v>45969</v>
      </c>
      <c r="D480" t="inlineStr">
        <is>
          <t>DALARNAS LÄN</t>
        </is>
      </c>
      <c r="E480" t="inlineStr">
        <is>
          <t>LEKSAND</t>
        </is>
      </c>
      <c r="G480" t="n">
        <v>7</v>
      </c>
      <c r="H480" t="n">
        <v>0</v>
      </c>
      <c r="I480" t="n">
        <v>0</v>
      </c>
      <c r="J480" t="n">
        <v>0</v>
      </c>
      <c r="K480" t="n">
        <v>0</v>
      </c>
      <c r="L480" t="n">
        <v>0</v>
      </c>
      <c r="M480" t="n">
        <v>0</v>
      </c>
      <c r="N480" t="n">
        <v>0</v>
      </c>
      <c r="O480" t="n">
        <v>0</v>
      </c>
      <c r="P480" t="n">
        <v>0</v>
      </c>
      <c r="Q480" t="n">
        <v>0</v>
      </c>
      <c r="R480" s="2" t="inlineStr"/>
    </row>
    <row r="481" ht="15" customHeight="1">
      <c r="A481" t="inlineStr">
        <is>
          <t>A 22536-2025</t>
        </is>
      </c>
      <c r="B481" s="1" t="n">
        <v>45787.33037037037</v>
      </c>
      <c r="C481" s="1" t="n">
        <v>45969</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60042-2023</t>
        </is>
      </c>
      <c r="B482" s="1" t="n">
        <v>45256</v>
      </c>
      <c r="C482" s="1" t="n">
        <v>45969</v>
      </c>
      <c r="D482" t="inlineStr">
        <is>
          <t>DALARNAS LÄN</t>
        </is>
      </c>
      <c r="E482" t="inlineStr">
        <is>
          <t>LEKSAND</t>
        </is>
      </c>
      <c r="G482" t="n">
        <v>2</v>
      </c>
      <c r="H482" t="n">
        <v>0</v>
      </c>
      <c r="I482" t="n">
        <v>0</v>
      </c>
      <c r="J482" t="n">
        <v>0</v>
      </c>
      <c r="K482" t="n">
        <v>0</v>
      </c>
      <c r="L482" t="n">
        <v>0</v>
      </c>
      <c r="M482" t="n">
        <v>0</v>
      </c>
      <c r="N482" t="n">
        <v>0</v>
      </c>
      <c r="O482" t="n">
        <v>0</v>
      </c>
      <c r="P482" t="n">
        <v>0</v>
      </c>
      <c r="Q482" t="n">
        <v>0</v>
      </c>
      <c r="R482" s="2" t="inlineStr"/>
    </row>
    <row r="483" ht="15" customHeight="1">
      <c r="A483" t="inlineStr">
        <is>
          <t>A 22876-2025</t>
        </is>
      </c>
      <c r="B483" s="1" t="n">
        <v>45790.3728587963</v>
      </c>
      <c r="C483" s="1" t="n">
        <v>45969</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33317-2023</t>
        </is>
      </c>
      <c r="B484" s="1" t="n">
        <v>45127.84586805556</v>
      </c>
      <c r="C484" s="1" t="n">
        <v>45969</v>
      </c>
      <c r="D484" t="inlineStr">
        <is>
          <t>DALARNAS LÄN</t>
        </is>
      </c>
      <c r="E484" t="inlineStr">
        <is>
          <t>LEKSAND</t>
        </is>
      </c>
      <c r="G484" t="n">
        <v>2.7</v>
      </c>
      <c r="H484" t="n">
        <v>0</v>
      </c>
      <c r="I484" t="n">
        <v>0</v>
      </c>
      <c r="J484" t="n">
        <v>0</v>
      </c>
      <c r="K484" t="n">
        <v>0</v>
      </c>
      <c r="L484" t="n">
        <v>0</v>
      </c>
      <c r="M484" t="n">
        <v>0</v>
      </c>
      <c r="N484" t="n">
        <v>0</v>
      </c>
      <c r="O484" t="n">
        <v>0</v>
      </c>
      <c r="P484" t="n">
        <v>0</v>
      </c>
      <c r="Q484" t="n">
        <v>0</v>
      </c>
      <c r="R484" s="2" t="inlineStr"/>
    </row>
    <row r="485" ht="15" customHeight="1">
      <c r="A485" t="inlineStr">
        <is>
          <t>A 33318-2023</t>
        </is>
      </c>
      <c r="B485" s="1" t="n">
        <v>45127</v>
      </c>
      <c r="C485" s="1" t="n">
        <v>45969</v>
      </c>
      <c r="D485" t="inlineStr">
        <is>
          <t>DALARNAS LÄN</t>
        </is>
      </c>
      <c r="E485" t="inlineStr">
        <is>
          <t>LEKSAND</t>
        </is>
      </c>
      <c r="G485" t="n">
        <v>5.5</v>
      </c>
      <c r="H485" t="n">
        <v>0</v>
      </c>
      <c r="I485" t="n">
        <v>0</v>
      </c>
      <c r="J485" t="n">
        <v>0</v>
      </c>
      <c r="K485" t="n">
        <v>0</v>
      </c>
      <c r="L485" t="n">
        <v>0</v>
      </c>
      <c r="M485" t="n">
        <v>0</v>
      </c>
      <c r="N485" t="n">
        <v>0</v>
      </c>
      <c r="O485" t="n">
        <v>0</v>
      </c>
      <c r="P485" t="n">
        <v>0</v>
      </c>
      <c r="Q485" t="n">
        <v>0</v>
      </c>
      <c r="R485" s="2" t="inlineStr"/>
    </row>
    <row r="486" ht="15" customHeight="1">
      <c r="A486" t="inlineStr">
        <is>
          <t>A 23517-2025</t>
        </is>
      </c>
      <c r="B486" s="1" t="n">
        <v>45792</v>
      </c>
      <c r="C486" s="1" t="n">
        <v>45969</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41237-2025</t>
        </is>
      </c>
      <c r="B487" s="1" t="n">
        <v>45898.59570601852</v>
      </c>
      <c r="C487" s="1" t="n">
        <v>45969</v>
      </c>
      <c r="D487" t="inlineStr">
        <is>
          <t>DALARNAS LÄN</t>
        </is>
      </c>
      <c r="E487" t="inlineStr">
        <is>
          <t>LEKSAND</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41248-2025</t>
        </is>
      </c>
      <c r="B488" s="1" t="n">
        <v>45898.60199074074</v>
      </c>
      <c r="C488" s="1" t="n">
        <v>45969</v>
      </c>
      <c r="D488" t="inlineStr">
        <is>
          <t>DALARNAS LÄN</t>
        </is>
      </c>
      <c r="E488" t="inlineStr">
        <is>
          <t>LEKSAND</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41308-2025</t>
        </is>
      </c>
      <c r="B489" s="1" t="n">
        <v>45898</v>
      </c>
      <c r="C489" s="1" t="n">
        <v>45969</v>
      </c>
      <c r="D489" t="inlineStr">
        <is>
          <t>DALARNAS LÄN</t>
        </is>
      </c>
      <c r="E489" t="inlineStr">
        <is>
          <t>LEKSAND</t>
        </is>
      </c>
      <c r="F489" t="inlineStr">
        <is>
          <t>Bergvik skog väst AB</t>
        </is>
      </c>
      <c r="G489" t="n">
        <v>6.7</v>
      </c>
      <c r="H489" t="n">
        <v>0</v>
      </c>
      <c r="I489" t="n">
        <v>0</v>
      </c>
      <c r="J489" t="n">
        <v>0</v>
      </c>
      <c r="K489" t="n">
        <v>0</v>
      </c>
      <c r="L489" t="n">
        <v>0</v>
      </c>
      <c r="M489" t="n">
        <v>0</v>
      </c>
      <c r="N489" t="n">
        <v>0</v>
      </c>
      <c r="O489" t="n">
        <v>0</v>
      </c>
      <c r="P489" t="n">
        <v>0</v>
      </c>
      <c r="Q489" t="n">
        <v>0</v>
      </c>
      <c r="R489" s="2" t="inlineStr"/>
    </row>
    <row r="490" ht="15" customHeight="1">
      <c r="A490" t="inlineStr">
        <is>
          <t>A 23058-2025</t>
        </is>
      </c>
      <c r="B490" s="1" t="n">
        <v>45790.78076388889</v>
      </c>
      <c r="C490" s="1" t="n">
        <v>45969</v>
      </c>
      <c r="D490" t="inlineStr">
        <is>
          <t>DALARNAS LÄN</t>
        </is>
      </c>
      <c r="E490" t="inlineStr">
        <is>
          <t>LEKSAND</t>
        </is>
      </c>
      <c r="G490" t="n">
        <v>6.7</v>
      </c>
      <c r="H490" t="n">
        <v>0</v>
      </c>
      <c r="I490" t="n">
        <v>0</v>
      </c>
      <c r="J490" t="n">
        <v>0</v>
      </c>
      <c r="K490" t="n">
        <v>0</v>
      </c>
      <c r="L490" t="n">
        <v>0</v>
      </c>
      <c r="M490" t="n">
        <v>0</v>
      </c>
      <c r="N490" t="n">
        <v>0</v>
      </c>
      <c r="O490" t="n">
        <v>0</v>
      </c>
      <c r="P490" t="n">
        <v>0</v>
      </c>
      <c r="Q490" t="n">
        <v>0</v>
      </c>
      <c r="R490" s="2" t="inlineStr"/>
    </row>
    <row r="491" ht="15" customHeight="1">
      <c r="A491" t="inlineStr">
        <is>
          <t>A 23076-2025</t>
        </is>
      </c>
      <c r="B491" s="1" t="n">
        <v>45790.90960648148</v>
      </c>
      <c r="C491" s="1" t="n">
        <v>45969</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57468-2023</t>
        </is>
      </c>
      <c r="B492" s="1" t="n">
        <v>45246</v>
      </c>
      <c r="C492" s="1" t="n">
        <v>45969</v>
      </c>
      <c r="D492" t="inlineStr">
        <is>
          <t>DALARNAS LÄN</t>
        </is>
      </c>
      <c r="E492" t="inlineStr">
        <is>
          <t>LEKSAND</t>
        </is>
      </c>
      <c r="G492" t="n">
        <v>4.6</v>
      </c>
      <c r="H492" t="n">
        <v>0</v>
      </c>
      <c r="I492" t="n">
        <v>0</v>
      </c>
      <c r="J492" t="n">
        <v>0</v>
      </c>
      <c r="K492" t="n">
        <v>0</v>
      </c>
      <c r="L492" t="n">
        <v>0</v>
      </c>
      <c r="M492" t="n">
        <v>0</v>
      </c>
      <c r="N492" t="n">
        <v>0</v>
      </c>
      <c r="O492" t="n">
        <v>0</v>
      </c>
      <c r="P492" t="n">
        <v>0</v>
      </c>
      <c r="Q492" t="n">
        <v>0</v>
      </c>
      <c r="R492" s="2" t="inlineStr"/>
    </row>
    <row r="493" ht="15" customHeight="1">
      <c r="A493" t="inlineStr">
        <is>
          <t>A 44822-2024</t>
        </is>
      </c>
      <c r="B493" s="1" t="n">
        <v>45574.6646412037</v>
      </c>
      <c r="C493" s="1" t="n">
        <v>45969</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49499-2024</t>
        </is>
      </c>
      <c r="B494" s="1" t="n">
        <v>45596</v>
      </c>
      <c r="C494" s="1" t="n">
        <v>45969</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41380-2025</t>
        </is>
      </c>
      <c r="B495" s="1" t="n">
        <v>45900.92826388889</v>
      </c>
      <c r="C495" s="1" t="n">
        <v>45969</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23855-2025</t>
        </is>
      </c>
      <c r="B496" s="1" t="n">
        <v>45793.65900462963</v>
      </c>
      <c r="C496" s="1" t="n">
        <v>45969</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50332-2025</t>
        </is>
      </c>
      <c r="B497" s="1" t="n">
        <v>45944.47092592593</v>
      </c>
      <c r="C497" s="1" t="n">
        <v>45969</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24919-2024</t>
        </is>
      </c>
      <c r="B498" s="1" t="n">
        <v>45461.60636574074</v>
      </c>
      <c r="C498" s="1" t="n">
        <v>45969</v>
      </c>
      <c r="D498" t="inlineStr">
        <is>
          <t>DALARNAS LÄN</t>
        </is>
      </c>
      <c r="E498" t="inlineStr">
        <is>
          <t>LEKSAND</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7450-2023</t>
        </is>
      </c>
      <c r="B499" s="1" t="n">
        <v>44971</v>
      </c>
      <c r="C499" s="1" t="n">
        <v>45969</v>
      </c>
      <c r="D499" t="inlineStr">
        <is>
          <t>DALARNAS LÄN</t>
        </is>
      </c>
      <c r="E499" t="inlineStr">
        <is>
          <t>LEKSAND</t>
        </is>
      </c>
      <c r="G499" t="n">
        <v>3</v>
      </c>
      <c r="H499" t="n">
        <v>0</v>
      </c>
      <c r="I499" t="n">
        <v>0</v>
      </c>
      <c r="J499" t="n">
        <v>0</v>
      </c>
      <c r="K499" t="n">
        <v>0</v>
      </c>
      <c r="L499" t="n">
        <v>0</v>
      </c>
      <c r="M499" t="n">
        <v>0</v>
      </c>
      <c r="N499" t="n">
        <v>0</v>
      </c>
      <c r="O499" t="n">
        <v>0</v>
      </c>
      <c r="P499" t="n">
        <v>0</v>
      </c>
      <c r="Q499" t="n">
        <v>0</v>
      </c>
      <c r="R499" s="2" t="inlineStr"/>
    </row>
    <row r="500" ht="15" customHeight="1">
      <c r="A500" t="inlineStr">
        <is>
          <t>A 40009-2024</t>
        </is>
      </c>
      <c r="B500" s="1" t="n">
        <v>45553.65361111111</v>
      </c>
      <c r="C500" s="1" t="n">
        <v>45969</v>
      </c>
      <c r="D500" t="inlineStr">
        <is>
          <t>DALARNAS LÄN</t>
        </is>
      </c>
      <c r="E500" t="inlineStr">
        <is>
          <t>LEKSAND</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52572-2024</t>
        </is>
      </c>
      <c r="B501" s="1" t="n">
        <v>45609.66488425926</v>
      </c>
      <c r="C501" s="1" t="n">
        <v>45969</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12851-2023</t>
        </is>
      </c>
      <c r="B502" s="1" t="n">
        <v>45001.49347222222</v>
      </c>
      <c r="C502" s="1" t="n">
        <v>45969</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19295-2024</t>
        </is>
      </c>
      <c r="B503" s="1" t="n">
        <v>45428.69106481481</v>
      </c>
      <c r="C503" s="1" t="n">
        <v>45969</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41335-2025</t>
        </is>
      </c>
      <c r="B504" s="1" t="n">
        <v>45899.36747685185</v>
      </c>
      <c r="C504" s="1" t="n">
        <v>45969</v>
      </c>
      <c r="D504" t="inlineStr">
        <is>
          <t>DALARNAS LÄN</t>
        </is>
      </c>
      <c r="E504" t="inlineStr">
        <is>
          <t>LEKSAND</t>
        </is>
      </c>
      <c r="G504" t="n">
        <v>5.9</v>
      </c>
      <c r="H504" t="n">
        <v>0</v>
      </c>
      <c r="I504" t="n">
        <v>0</v>
      </c>
      <c r="J504" t="n">
        <v>0</v>
      </c>
      <c r="K504" t="n">
        <v>0</v>
      </c>
      <c r="L504" t="n">
        <v>0</v>
      </c>
      <c r="M504" t="n">
        <v>0</v>
      </c>
      <c r="N504" t="n">
        <v>0</v>
      </c>
      <c r="O504" t="n">
        <v>0</v>
      </c>
      <c r="P504" t="n">
        <v>0</v>
      </c>
      <c r="Q504" t="n">
        <v>0</v>
      </c>
      <c r="R504" s="2" t="inlineStr"/>
    </row>
    <row r="505" ht="15" customHeight="1">
      <c r="A505" t="inlineStr">
        <is>
          <t>A 41487-2025</t>
        </is>
      </c>
      <c r="B505" s="1" t="n">
        <v>45901.4815625</v>
      </c>
      <c r="C505" s="1" t="n">
        <v>45969</v>
      </c>
      <c r="D505" t="inlineStr">
        <is>
          <t>DALARNAS LÄN</t>
        </is>
      </c>
      <c r="E505" t="inlineStr">
        <is>
          <t>LEKSAND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23891-2025</t>
        </is>
      </c>
      <c r="B506" s="1" t="n">
        <v>45793</v>
      </c>
      <c r="C506" s="1" t="n">
        <v>45969</v>
      </c>
      <c r="D506" t="inlineStr">
        <is>
          <t>DALARNAS LÄN</t>
        </is>
      </c>
      <c r="E506" t="inlineStr">
        <is>
          <t>LEKSAND</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9781-2024</t>
        </is>
      </c>
      <c r="B507" s="1" t="n">
        <v>45362.66299768518</v>
      </c>
      <c r="C507" s="1" t="n">
        <v>45969</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63513-2023</t>
        </is>
      </c>
      <c r="B508" s="1" t="n">
        <v>45274</v>
      </c>
      <c r="C508" s="1" t="n">
        <v>45969</v>
      </c>
      <c r="D508" t="inlineStr">
        <is>
          <t>DALARNAS LÄN</t>
        </is>
      </c>
      <c r="E508" t="inlineStr">
        <is>
          <t>LEKSAND</t>
        </is>
      </c>
      <c r="G508" t="n">
        <v>2.3</v>
      </c>
      <c r="H508" t="n">
        <v>0</v>
      </c>
      <c r="I508" t="n">
        <v>0</v>
      </c>
      <c r="J508" t="n">
        <v>0</v>
      </c>
      <c r="K508" t="n">
        <v>0</v>
      </c>
      <c r="L508" t="n">
        <v>0</v>
      </c>
      <c r="M508" t="n">
        <v>0</v>
      </c>
      <c r="N508" t="n">
        <v>0</v>
      </c>
      <c r="O508" t="n">
        <v>0</v>
      </c>
      <c r="P508" t="n">
        <v>0</v>
      </c>
      <c r="Q508" t="n">
        <v>0</v>
      </c>
      <c r="R508" s="2" t="inlineStr"/>
    </row>
    <row r="509" ht="15" customHeight="1">
      <c r="A509" t="inlineStr">
        <is>
          <t>A 24187-2025</t>
        </is>
      </c>
      <c r="B509" s="1" t="n">
        <v>45796</v>
      </c>
      <c r="C509" s="1" t="n">
        <v>45969</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24188-2025</t>
        </is>
      </c>
      <c r="B510" s="1" t="n">
        <v>45796</v>
      </c>
      <c r="C510" s="1" t="n">
        <v>45969</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56211-2023</t>
        </is>
      </c>
      <c r="B511" s="1" t="n">
        <v>45240</v>
      </c>
      <c r="C511" s="1" t="n">
        <v>45969</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40230-2023</t>
        </is>
      </c>
      <c r="B512" s="1" t="n">
        <v>45169.46887731482</v>
      </c>
      <c r="C512" s="1" t="n">
        <v>45969</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39819-2024</t>
        </is>
      </c>
      <c r="B513" s="1" t="n">
        <v>45553.38774305556</v>
      </c>
      <c r="C513" s="1" t="n">
        <v>45969</v>
      </c>
      <c r="D513" t="inlineStr">
        <is>
          <t>DALARNAS LÄN</t>
        </is>
      </c>
      <c r="E513" t="inlineStr">
        <is>
          <t>LEKSAND</t>
        </is>
      </c>
      <c r="F513" t="inlineStr">
        <is>
          <t>Bergvik skog väst AB</t>
        </is>
      </c>
      <c r="G513" t="n">
        <v>3.7</v>
      </c>
      <c r="H513" t="n">
        <v>0</v>
      </c>
      <c r="I513" t="n">
        <v>0</v>
      </c>
      <c r="J513" t="n">
        <v>0</v>
      </c>
      <c r="K513" t="n">
        <v>0</v>
      </c>
      <c r="L513" t="n">
        <v>0</v>
      </c>
      <c r="M513" t="n">
        <v>0</v>
      </c>
      <c r="N513" t="n">
        <v>0</v>
      </c>
      <c r="O513" t="n">
        <v>0</v>
      </c>
      <c r="P513" t="n">
        <v>0</v>
      </c>
      <c r="Q513" t="n">
        <v>0</v>
      </c>
      <c r="R513" s="2" t="inlineStr"/>
    </row>
    <row r="514" ht="15" customHeight="1">
      <c r="A514" t="inlineStr">
        <is>
          <t>A 24373-2025</t>
        </is>
      </c>
      <c r="B514" s="1" t="n">
        <v>45797.61113425926</v>
      </c>
      <c r="C514" s="1" t="n">
        <v>45969</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52100-2024</t>
        </is>
      </c>
      <c r="B515" s="1" t="n">
        <v>45608.41634259259</v>
      </c>
      <c r="C515" s="1" t="n">
        <v>45969</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4257-2022</t>
        </is>
      </c>
      <c r="B516" s="1" t="n">
        <v>44588</v>
      </c>
      <c r="C516" s="1" t="n">
        <v>45969</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31726-2024</t>
        </is>
      </c>
      <c r="B517" s="1" t="n">
        <v>45509.33908564815</v>
      </c>
      <c r="C517" s="1" t="n">
        <v>45969</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40868-2024</t>
        </is>
      </c>
      <c r="B518" s="1" t="n">
        <v>45558</v>
      </c>
      <c r="C518" s="1" t="n">
        <v>45969</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22646-2025</t>
        </is>
      </c>
      <c r="B519" s="1" t="n">
        <v>45786</v>
      </c>
      <c r="C519" s="1" t="n">
        <v>45969</v>
      </c>
      <c r="D519" t="inlineStr">
        <is>
          <t>DALARNAS LÄN</t>
        </is>
      </c>
      <c r="E519" t="inlineStr">
        <is>
          <t>LEKSAND</t>
        </is>
      </c>
      <c r="F519" t="inlineStr">
        <is>
          <t>Kommuner</t>
        </is>
      </c>
      <c r="G519" t="n">
        <v>1.6</v>
      </c>
      <c r="H519" t="n">
        <v>0</v>
      </c>
      <c r="I519" t="n">
        <v>0</v>
      </c>
      <c r="J519" t="n">
        <v>0</v>
      </c>
      <c r="K519" t="n">
        <v>0</v>
      </c>
      <c r="L519" t="n">
        <v>0</v>
      </c>
      <c r="M519" t="n">
        <v>0</v>
      </c>
      <c r="N519" t="n">
        <v>0</v>
      </c>
      <c r="O519" t="n">
        <v>0</v>
      </c>
      <c r="P519" t="n">
        <v>0</v>
      </c>
      <c r="Q519" t="n">
        <v>0</v>
      </c>
      <c r="R519" s="2" t="inlineStr"/>
    </row>
    <row r="520" ht="15" customHeight="1">
      <c r="A520" t="inlineStr">
        <is>
          <t>A 24369-2025</t>
        </is>
      </c>
      <c r="B520" s="1" t="n">
        <v>45797.60731481481</v>
      </c>
      <c r="C520" s="1" t="n">
        <v>45969</v>
      </c>
      <c r="D520" t="inlineStr">
        <is>
          <t>DALARNAS LÄN</t>
        </is>
      </c>
      <c r="E520" t="inlineStr">
        <is>
          <t>LEKSAND</t>
        </is>
      </c>
      <c r="G520" t="n">
        <v>1.5</v>
      </c>
      <c r="H520" t="n">
        <v>0</v>
      </c>
      <c r="I520" t="n">
        <v>0</v>
      </c>
      <c r="J520" t="n">
        <v>0</v>
      </c>
      <c r="K520" t="n">
        <v>0</v>
      </c>
      <c r="L520" t="n">
        <v>0</v>
      </c>
      <c r="M520" t="n">
        <v>0</v>
      </c>
      <c r="N520" t="n">
        <v>0</v>
      </c>
      <c r="O520" t="n">
        <v>0</v>
      </c>
      <c r="P520" t="n">
        <v>0</v>
      </c>
      <c r="Q520" t="n">
        <v>0</v>
      </c>
      <c r="R520" s="2" t="inlineStr"/>
    </row>
    <row r="521" ht="15" customHeight="1">
      <c r="A521" t="inlineStr">
        <is>
          <t>A 55512-2024</t>
        </is>
      </c>
      <c r="B521" s="1" t="n">
        <v>45621</v>
      </c>
      <c r="C521" s="1" t="n">
        <v>45969</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52059-2024</t>
        </is>
      </c>
      <c r="B522" s="1" t="n">
        <v>45608.35609953704</v>
      </c>
      <c r="C522" s="1" t="n">
        <v>45969</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12992-2022</t>
        </is>
      </c>
      <c r="B523" s="1" t="n">
        <v>44643</v>
      </c>
      <c r="C523" s="1" t="n">
        <v>45969</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24715-2025</t>
        </is>
      </c>
      <c r="B524" s="1" t="n">
        <v>45798.97899305556</v>
      </c>
      <c r="C524" s="1" t="n">
        <v>45969</v>
      </c>
      <c r="D524" t="inlineStr">
        <is>
          <t>DALARNAS LÄN</t>
        </is>
      </c>
      <c r="E524" t="inlineStr">
        <is>
          <t>LEKSAND</t>
        </is>
      </c>
      <c r="G524" t="n">
        <v>8.4</v>
      </c>
      <c r="H524" t="n">
        <v>0</v>
      </c>
      <c r="I524" t="n">
        <v>0</v>
      </c>
      <c r="J524" t="n">
        <v>0</v>
      </c>
      <c r="K524" t="n">
        <v>0</v>
      </c>
      <c r="L524" t="n">
        <v>0</v>
      </c>
      <c r="M524" t="n">
        <v>0</v>
      </c>
      <c r="N524" t="n">
        <v>0</v>
      </c>
      <c r="O524" t="n">
        <v>0</v>
      </c>
      <c r="P524" t="n">
        <v>0</v>
      </c>
      <c r="Q524" t="n">
        <v>0</v>
      </c>
      <c r="R524" s="2" t="inlineStr"/>
    </row>
    <row r="525" ht="15" customHeight="1">
      <c r="A525" t="inlineStr">
        <is>
          <t>A 11712-2025</t>
        </is>
      </c>
      <c r="B525" s="1" t="n">
        <v>45727</v>
      </c>
      <c r="C525" s="1" t="n">
        <v>45969</v>
      </c>
      <c r="D525" t="inlineStr">
        <is>
          <t>DALARNAS LÄN</t>
        </is>
      </c>
      <c r="E525" t="inlineStr">
        <is>
          <t>LEKSAND</t>
        </is>
      </c>
      <c r="G525" t="n">
        <v>6</v>
      </c>
      <c r="H525" t="n">
        <v>0</v>
      </c>
      <c r="I525" t="n">
        <v>0</v>
      </c>
      <c r="J525" t="n">
        <v>0</v>
      </c>
      <c r="K525" t="n">
        <v>0</v>
      </c>
      <c r="L525" t="n">
        <v>0</v>
      </c>
      <c r="M525" t="n">
        <v>0</v>
      </c>
      <c r="N525" t="n">
        <v>0</v>
      </c>
      <c r="O525" t="n">
        <v>0</v>
      </c>
      <c r="P525" t="n">
        <v>0</v>
      </c>
      <c r="Q525" t="n">
        <v>0</v>
      </c>
      <c r="R525" s="2" t="inlineStr"/>
    </row>
    <row r="526" ht="15" customHeight="1">
      <c r="A526" t="inlineStr">
        <is>
          <t>A 25096-2025</t>
        </is>
      </c>
      <c r="B526" s="1" t="n">
        <v>45800.33868055556</v>
      </c>
      <c r="C526" s="1" t="n">
        <v>45969</v>
      </c>
      <c r="D526" t="inlineStr">
        <is>
          <t>DALARNAS LÄN</t>
        </is>
      </c>
      <c r="E526" t="inlineStr">
        <is>
          <t>LEKSAND</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25105-2025</t>
        </is>
      </c>
      <c r="B527" s="1" t="n">
        <v>45800.34751157407</v>
      </c>
      <c r="C527" s="1" t="n">
        <v>45969</v>
      </c>
      <c r="D527" t="inlineStr">
        <is>
          <t>DALARNAS LÄN</t>
        </is>
      </c>
      <c r="E527" t="inlineStr">
        <is>
          <t>LEKSAND</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23892-2025</t>
        </is>
      </c>
      <c r="B528" s="1" t="n">
        <v>45793</v>
      </c>
      <c r="C528" s="1" t="n">
        <v>45969</v>
      </c>
      <c r="D528" t="inlineStr">
        <is>
          <t>DALARNAS LÄN</t>
        </is>
      </c>
      <c r="E528" t="inlineStr">
        <is>
          <t>LEKSAND</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24003-2024</t>
        </is>
      </c>
      <c r="B529" s="1" t="n">
        <v>45456.39003472222</v>
      </c>
      <c r="C529" s="1" t="n">
        <v>45969</v>
      </c>
      <c r="D529" t="inlineStr">
        <is>
          <t>DALARNAS LÄN</t>
        </is>
      </c>
      <c r="E529" t="inlineStr">
        <is>
          <t>LEKSAND</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40642-2023</t>
        </is>
      </c>
      <c r="B530" s="1" t="n">
        <v>45169</v>
      </c>
      <c r="C530" s="1" t="n">
        <v>45969</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31255-2023</t>
        </is>
      </c>
      <c r="B531" s="1" t="n">
        <v>45114.36729166667</v>
      </c>
      <c r="C531" s="1" t="n">
        <v>45969</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47854-2023</t>
        </is>
      </c>
      <c r="B532" s="1" t="n">
        <v>45198</v>
      </c>
      <c r="C532" s="1" t="n">
        <v>45969</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25610-2025</t>
        </is>
      </c>
      <c r="B533" s="1" t="n">
        <v>45803.56033564815</v>
      </c>
      <c r="C533" s="1" t="n">
        <v>45969</v>
      </c>
      <c r="D533" t="inlineStr">
        <is>
          <t>DALARNAS LÄN</t>
        </is>
      </c>
      <c r="E533" t="inlineStr">
        <is>
          <t>LEKSAND</t>
        </is>
      </c>
      <c r="G533" t="n">
        <v>5.2</v>
      </c>
      <c r="H533" t="n">
        <v>0</v>
      </c>
      <c r="I533" t="n">
        <v>0</v>
      </c>
      <c r="J533" t="n">
        <v>0</v>
      </c>
      <c r="K533" t="n">
        <v>0</v>
      </c>
      <c r="L533" t="n">
        <v>0</v>
      </c>
      <c r="M533" t="n">
        <v>0</v>
      </c>
      <c r="N533" t="n">
        <v>0</v>
      </c>
      <c r="O533" t="n">
        <v>0</v>
      </c>
      <c r="P533" t="n">
        <v>0</v>
      </c>
      <c r="Q533" t="n">
        <v>0</v>
      </c>
      <c r="R533" s="2" t="inlineStr"/>
    </row>
    <row r="534" ht="15" customHeight="1">
      <c r="A534" t="inlineStr">
        <is>
          <t>A 39136-2023</t>
        </is>
      </c>
      <c r="B534" s="1" t="n">
        <v>45165</v>
      </c>
      <c r="C534" s="1" t="n">
        <v>45969</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44469-2024</t>
        </is>
      </c>
      <c r="B535" s="1" t="n">
        <v>45574</v>
      </c>
      <c r="C535" s="1" t="n">
        <v>45969</v>
      </c>
      <c r="D535" t="inlineStr">
        <is>
          <t>DALARNAS LÄN</t>
        </is>
      </c>
      <c r="E535" t="inlineStr">
        <is>
          <t>LEKSAND</t>
        </is>
      </c>
      <c r="G535" t="n">
        <v>2</v>
      </c>
      <c r="H535" t="n">
        <v>0</v>
      </c>
      <c r="I535" t="n">
        <v>0</v>
      </c>
      <c r="J535" t="n">
        <v>0</v>
      </c>
      <c r="K535" t="n">
        <v>0</v>
      </c>
      <c r="L535" t="n">
        <v>0</v>
      </c>
      <c r="M535" t="n">
        <v>0</v>
      </c>
      <c r="N535" t="n">
        <v>0</v>
      </c>
      <c r="O535" t="n">
        <v>0</v>
      </c>
      <c r="P535" t="n">
        <v>0</v>
      </c>
      <c r="Q535" t="n">
        <v>0</v>
      </c>
      <c r="R535" s="2" t="inlineStr"/>
    </row>
    <row r="536" ht="15" customHeight="1">
      <c r="A536" t="inlineStr">
        <is>
          <t>A 52293-2024</t>
        </is>
      </c>
      <c r="B536" s="1" t="n">
        <v>45608.71297453704</v>
      </c>
      <c r="C536" s="1" t="n">
        <v>45969</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46876-2023</t>
        </is>
      </c>
      <c r="B537" s="1" t="n">
        <v>45200</v>
      </c>
      <c r="C537" s="1" t="n">
        <v>45969</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42284-2025</t>
        </is>
      </c>
      <c r="B538" s="1" t="n">
        <v>45903</v>
      </c>
      <c r="C538" s="1" t="n">
        <v>45969</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50704-2025</t>
        </is>
      </c>
      <c r="B539" s="1" t="n">
        <v>45946.27984953704</v>
      </c>
      <c r="C539" s="1" t="n">
        <v>45969</v>
      </c>
      <c r="D539" t="inlineStr">
        <is>
          <t>DALARNAS LÄN</t>
        </is>
      </c>
      <c r="E539" t="inlineStr">
        <is>
          <t>LEKSAND</t>
        </is>
      </c>
      <c r="G539" t="n">
        <v>2.1</v>
      </c>
      <c r="H539" t="n">
        <v>0</v>
      </c>
      <c r="I539" t="n">
        <v>0</v>
      </c>
      <c r="J539" t="n">
        <v>0</v>
      </c>
      <c r="K539" t="n">
        <v>0</v>
      </c>
      <c r="L539" t="n">
        <v>0</v>
      </c>
      <c r="M539" t="n">
        <v>0</v>
      </c>
      <c r="N539" t="n">
        <v>0</v>
      </c>
      <c r="O539" t="n">
        <v>0</v>
      </c>
      <c r="P539" t="n">
        <v>0</v>
      </c>
      <c r="Q539" t="n">
        <v>0</v>
      </c>
      <c r="R539" s="2" t="inlineStr"/>
    </row>
    <row r="540" ht="15" customHeight="1">
      <c r="A540" t="inlineStr">
        <is>
          <t>A 9857-2025</t>
        </is>
      </c>
      <c r="B540" s="1" t="n">
        <v>45716.62609953704</v>
      </c>
      <c r="C540" s="1" t="n">
        <v>45969</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40181-2023</t>
        </is>
      </c>
      <c r="B541" s="1" t="n">
        <v>45169</v>
      </c>
      <c r="C541" s="1" t="n">
        <v>45969</v>
      </c>
      <c r="D541" t="inlineStr">
        <is>
          <t>DALARNAS LÄN</t>
        </is>
      </c>
      <c r="E541" t="inlineStr">
        <is>
          <t>LEKSAND</t>
        </is>
      </c>
      <c r="G541" t="n">
        <v>2.8</v>
      </c>
      <c r="H541" t="n">
        <v>0</v>
      </c>
      <c r="I541" t="n">
        <v>0</v>
      </c>
      <c r="J541" t="n">
        <v>0</v>
      </c>
      <c r="K541" t="n">
        <v>0</v>
      </c>
      <c r="L541" t="n">
        <v>0</v>
      </c>
      <c r="M541" t="n">
        <v>0</v>
      </c>
      <c r="N541" t="n">
        <v>0</v>
      </c>
      <c r="O541" t="n">
        <v>0</v>
      </c>
      <c r="P541" t="n">
        <v>0</v>
      </c>
      <c r="Q541" t="n">
        <v>0</v>
      </c>
      <c r="R541" s="2" t="inlineStr"/>
    </row>
    <row r="542" ht="15" customHeight="1">
      <c r="A542" t="inlineStr">
        <is>
          <t>A 26386-2025</t>
        </is>
      </c>
      <c r="B542" s="1" t="n">
        <v>45806</v>
      </c>
      <c r="C542" s="1" t="n">
        <v>45969</v>
      </c>
      <c r="D542" t="inlineStr">
        <is>
          <t>DALARNAS LÄN</t>
        </is>
      </c>
      <c r="E542" t="inlineStr">
        <is>
          <t>LEKSAND</t>
        </is>
      </c>
      <c r="F542" t="inlineStr">
        <is>
          <t>Bergvik skog väst AB</t>
        </is>
      </c>
      <c r="G542" t="n">
        <v>26.3</v>
      </c>
      <c r="H542" t="n">
        <v>0</v>
      </c>
      <c r="I542" t="n">
        <v>0</v>
      </c>
      <c r="J542" t="n">
        <v>0</v>
      </c>
      <c r="K542" t="n">
        <v>0</v>
      </c>
      <c r="L542" t="n">
        <v>0</v>
      </c>
      <c r="M542" t="n">
        <v>0</v>
      </c>
      <c r="N542" t="n">
        <v>0</v>
      </c>
      <c r="O542" t="n">
        <v>0</v>
      </c>
      <c r="P542" t="n">
        <v>0</v>
      </c>
      <c r="Q542" t="n">
        <v>0</v>
      </c>
      <c r="R542" s="2" t="inlineStr"/>
    </row>
    <row r="543" ht="15" customHeight="1">
      <c r="A543" t="inlineStr">
        <is>
          <t>A 25329-2022</t>
        </is>
      </c>
      <c r="B543" s="1" t="n">
        <v>44731.8799537037</v>
      </c>
      <c r="C543" s="1" t="n">
        <v>45969</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42402-2025</t>
        </is>
      </c>
      <c r="B544" s="1" t="n">
        <v>45905.3753125</v>
      </c>
      <c r="C544" s="1" t="n">
        <v>45969</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1267-2025</t>
        </is>
      </c>
      <c r="B545" s="1" t="n">
        <v>45667</v>
      </c>
      <c r="C545" s="1" t="n">
        <v>45969</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24714-2025</t>
        </is>
      </c>
      <c r="B546" s="1" t="n">
        <v>45798.96927083333</v>
      </c>
      <c r="C546" s="1" t="n">
        <v>45969</v>
      </c>
      <c r="D546" t="inlineStr">
        <is>
          <t>DALARNAS LÄN</t>
        </is>
      </c>
      <c r="E546" t="inlineStr">
        <is>
          <t>LEKSAND</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26423-2025</t>
        </is>
      </c>
      <c r="B547" s="1" t="n">
        <v>45807.37829861111</v>
      </c>
      <c r="C547" s="1" t="n">
        <v>45969</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42230-2023</t>
        </is>
      </c>
      <c r="B548" s="1" t="n">
        <v>45180</v>
      </c>
      <c r="C548" s="1" t="n">
        <v>45969</v>
      </c>
      <c r="D548" t="inlineStr">
        <is>
          <t>DALARNAS LÄN</t>
        </is>
      </c>
      <c r="E548" t="inlineStr">
        <is>
          <t>LEKSAND</t>
        </is>
      </c>
      <c r="G548" t="n">
        <v>0.6</v>
      </c>
      <c r="H548" t="n">
        <v>0</v>
      </c>
      <c r="I548" t="n">
        <v>0</v>
      </c>
      <c r="J548" t="n">
        <v>0</v>
      </c>
      <c r="K548" t="n">
        <v>0</v>
      </c>
      <c r="L548" t="n">
        <v>0</v>
      </c>
      <c r="M548" t="n">
        <v>0</v>
      </c>
      <c r="N548" t="n">
        <v>0</v>
      </c>
      <c r="O548" t="n">
        <v>0</v>
      </c>
      <c r="P548" t="n">
        <v>0</v>
      </c>
      <c r="Q548" t="n">
        <v>0</v>
      </c>
      <c r="R548" s="2" t="inlineStr"/>
    </row>
    <row r="549" ht="15" customHeight="1">
      <c r="A549" t="inlineStr">
        <is>
          <t>A 3183-2025</t>
        </is>
      </c>
      <c r="B549" s="1" t="n">
        <v>45679.40298611111</v>
      </c>
      <c r="C549" s="1" t="n">
        <v>45969</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51663-2025</t>
        </is>
      </c>
      <c r="B550" s="1" t="n">
        <v>45951</v>
      </c>
      <c r="C550" s="1" t="n">
        <v>45969</v>
      </c>
      <c r="D550" t="inlineStr">
        <is>
          <t>DALARNAS LÄN</t>
        </is>
      </c>
      <c r="E550" t="inlineStr">
        <is>
          <t>LEKSAND</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27323-2025</t>
        </is>
      </c>
      <c r="B551" s="1" t="n">
        <v>45812.60392361111</v>
      </c>
      <c r="C551" s="1" t="n">
        <v>45969</v>
      </c>
      <c r="D551" t="inlineStr">
        <is>
          <t>DALARNAS LÄN</t>
        </is>
      </c>
      <c r="E551" t="inlineStr">
        <is>
          <t>LEKSAND</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51728-2025</t>
        </is>
      </c>
      <c r="B552" s="1" t="n">
        <v>45951</v>
      </c>
      <c r="C552" s="1" t="n">
        <v>45969</v>
      </c>
      <c r="D552" t="inlineStr">
        <is>
          <t>DALARNAS LÄN</t>
        </is>
      </c>
      <c r="E552" t="inlineStr">
        <is>
          <t>LEKSAND</t>
        </is>
      </c>
      <c r="F552" t="inlineStr">
        <is>
          <t>Bergvik skog väst AB</t>
        </is>
      </c>
      <c r="G552" t="n">
        <v>14.2</v>
      </c>
      <c r="H552" t="n">
        <v>0</v>
      </c>
      <c r="I552" t="n">
        <v>0</v>
      </c>
      <c r="J552" t="n">
        <v>0</v>
      </c>
      <c r="K552" t="n">
        <v>0</v>
      </c>
      <c r="L552" t="n">
        <v>0</v>
      </c>
      <c r="M552" t="n">
        <v>0</v>
      </c>
      <c r="N552" t="n">
        <v>0</v>
      </c>
      <c r="O552" t="n">
        <v>0</v>
      </c>
      <c r="P552" t="n">
        <v>0</v>
      </c>
      <c r="Q552" t="n">
        <v>0</v>
      </c>
      <c r="R552" s="2" t="inlineStr"/>
    </row>
    <row r="553" ht="15" customHeight="1">
      <c r="A553" t="inlineStr">
        <is>
          <t>A 59751-2024</t>
        </is>
      </c>
      <c r="B553" s="1" t="n">
        <v>45638</v>
      </c>
      <c r="C553" s="1" t="n">
        <v>45969</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51768-2025</t>
        </is>
      </c>
      <c r="B554" s="1" t="n">
        <v>45951.64041666667</v>
      </c>
      <c r="C554" s="1" t="n">
        <v>45969</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51926-2025</t>
        </is>
      </c>
      <c r="B555" s="1" t="n">
        <v>45952.49537037037</v>
      </c>
      <c r="C555" s="1" t="n">
        <v>45969</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54917-2024</t>
        </is>
      </c>
      <c r="B556" s="1" t="n">
        <v>45618.69581018519</v>
      </c>
      <c r="C556" s="1" t="n">
        <v>45969</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43195-2025</t>
        </is>
      </c>
      <c r="B557" s="1" t="n">
        <v>45910.4294212963</v>
      </c>
      <c r="C557" s="1" t="n">
        <v>45969</v>
      </c>
      <c r="D557" t="inlineStr">
        <is>
          <t>DALARNAS LÄN</t>
        </is>
      </c>
      <c r="E557" t="inlineStr">
        <is>
          <t>LEKSAND</t>
        </is>
      </c>
      <c r="G557" t="n">
        <v>2.5</v>
      </c>
      <c r="H557" t="n">
        <v>0</v>
      </c>
      <c r="I557" t="n">
        <v>0</v>
      </c>
      <c r="J557" t="n">
        <v>0</v>
      </c>
      <c r="K557" t="n">
        <v>0</v>
      </c>
      <c r="L557" t="n">
        <v>0</v>
      </c>
      <c r="M557" t="n">
        <v>0</v>
      </c>
      <c r="N557" t="n">
        <v>0</v>
      </c>
      <c r="O557" t="n">
        <v>0</v>
      </c>
      <c r="P557" t="n">
        <v>0</v>
      </c>
      <c r="Q557" t="n">
        <v>0</v>
      </c>
      <c r="R557" s="2" t="inlineStr"/>
    </row>
    <row r="558" ht="15" customHeight="1">
      <c r="A558" t="inlineStr">
        <is>
          <t>A 19700-2025</t>
        </is>
      </c>
      <c r="B558" s="1" t="n">
        <v>45771.32445601852</v>
      </c>
      <c r="C558" s="1" t="n">
        <v>45969</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43158-2025</t>
        </is>
      </c>
      <c r="B559" s="1" t="n">
        <v>45910.35496527778</v>
      </c>
      <c r="C559" s="1" t="n">
        <v>45969</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27183-2025</t>
        </is>
      </c>
      <c r="B560" s="1" t="n">
        <v>45812.36097222222</v>
      </c>
      <c r="C560" s="1" t="n">
        <v>45969</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27262-2025</t>
        </is>
      </c>
      <c r="B561" s="1" t="n">
        <v>45812</v>
      </c>
      <c r="C561" s="1" t="n">
        <v>45969</v>
      </c>
      <c r="D561" t="inlineStr">
        <is>
          <t>DALARNAS LÄN</t>
        </is>
      </c>
      <c r="E561" t="inlineStr">
        <is>
          <t>LEKSAND</t>
        </is>
      </c>
      <c r="F561" t="inlineStr">
        <is>
          <t>Bergvik skog väst AB</t>
        </is>
      </c>
      <c r="G561" t="n">
        <v>7.7</v>
      </c>
      <c r="H561" t="n">
        <v>0</v>
      </c>
      <c r="I561" t="n">
        <v>0</v>
      </c>
      <c r="J561" t="n">
        <v>0</v>
      </c>
      <c r="K561" t="n">
        <v>0</v>
      </c>
      <c r="L561" t="n">
        <v>0</v>
      </c>
      <c r="M561" t="n">
        <v>0</v>
      </c>
      <c r="N561" t="n">
        <v>0</v>
      </c>
      <c r="O561" t="n">
        <v>0</v>
      </c>
      <c r="P561" t="n">
        <v>0</v>
      </c>
      <c r="Q561" t="n">
        <v>0</v>
      </c>
      <c r="R561" s="2" t="inlineStr"/>
    </row>
    <row r="562" ht="15" customHeight="1">
      <c r="A562" t="inlineStr">
        <is>
          <t>A 27329-2025</t>
        </is>
      </c>
      <c r="B562" s="1" t="n">
        <v>45812.60864583333</v>
      </c>
      <c r="C562" s="1" t="n">
        <v>45969</v>
      </c>
      <c r="D562" t="inlineStr">
        <is>
          <t>DALARNAS LÄN</t>
        </is>
      </c>
      <c r="E562" t="inlineStr">
        <is>
          <t>LEKSAND</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27332-2025</t>
        </is>
      </c>
      <c r="B563" s="1" t="n">
        <v>45812.61265046296</v>
      </c>
      <c r="C563" s="1" t="n">
        <v>45969</v>
      </c>
      <c r="D563" t="inlineStr">
        <is>
          <t>DALARNAS LÄN</t>
        </is>
      </c>
      <c r="E563" t="inlineStr">
        <is>
          <t>LEKSAND</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27682-2025</t>
        </is>
      </c>
      <c r="B564" s="1" t="n">
        <v>45813.64782407408</v>
      </c>
      <c r="C564" s="1" t="n">
        <v>45969</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27705-2025</t>
        </is>
      </c>
      <c r="B565" s="1" t="n">
        <v>45813</v>
      </c>
      <c r="C565" s="1" t="n">
        <v>45969</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45969</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27680-2025</t>
        </is>
      </c>
      <c r="B567" s="1" t="n">
        <v>45813.64618055556</v>
      </c>
      <c r="C567" s="1" t="n">
        <v>45969</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43830-2025</t>
        </is>
      </c>
      <c r="B568" s="1" t="n">
        <v>45912</v>
      </c>
      <c r="C568" s="1" t="n">
        <v>45969</v>
      </c>
      <c r="D568" t="inlineStr">
        <is>
          <t>DALARNAS LÄN</t>
        </is>
      </c>
      <c r="E568" t="inlineStr">
        <is>
          <t>LEKSAND</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43630-2025</t>
        </is>
      </c>
      <c r="B569" s="1" t="n">
        <v>45911.70278935185</v>
      </c>
      <c r="C569" s="1" t="n">
        <v>45969</v>
      </c>
      <c r="D569" t="inlineStr">
        <is>
          <t>DALARNAS LÄN</t>
        </is>
      </c>
      <c r="E569" t="inlineStr">
        <is>
          <t>LEKSAND</t>
        </is>
      </c>
      <c r="G569" t="n">
        <v>4.7</v>
      </c>
      <c r="H569" t="n">
        <v>0</v>
      </c>
      <c r="I569" t="n">
        <v>0</v>
      </c>
      <c r="J569" t="n">
        <v>0</v>
      </c>
      <c r="K569" t="n">
        <v>0</v>
      </c>
      <c r="L569" t="n">
        <v>0</v>
      </c>
      <c r="M569" t="n">
        <v>0</v>
      </c>
      <c r="N569" t="n">
        <v>0</v>
      </c>
      <c r="O569" t="n">
        <v>0</v>
      </c>
      <c r="P569" t="n">
        <v>0</v>
      </c>
      <c r="Q569" t="n">
        <v>0</v>
      </c>
      <c r="R569" s="2" t="inlineStr"/>
    </row>
    <row r="570" ht="15" customHeight="1">
      <c r="A570" t="inlineStr">
        <is>
          <t>A 776-2021</t>
        </is>
      </c>
      <c r="B570" s="1" t="n">
        <v>44203</v>
      </c>
      <c r="C570" s="1" t="n">
        <v>45969</v>
      </c>
      <c r="D570" t="inlineStr">
        <is>
          <t>DALARNAS LÄN</t>
        </is>
      </c>
      <c r="E570" t="inlineStr">
        <is>
          <t>LEKSAND</t>
        </is>
      </c>
      <c r="G570" t="n">
        <v>21</v>
      </c>
      <c r="H570" t="n">
        <v>0</v>
      </c>
      <c r="I570" t="n">
        <v>0</v>
      </c>
      <c r="J570" t="n">
        <v>0</v>
      </c>
      <c r="K570" t="n">
        <v>0</v>
      </c>
      <c r="L570" t="n">
        <v>0</v>
      </c>
      <c r="M570" t="n">
        <v>0</v>
      </c>
      <c r="N570" t="n">
        <v>0</v>
      </c>
      <c r="O570" t="n">
        <v>0</v>
      </c>
      <c r="P570" t="n">
        <v>0</v>
      </c>
      <c r="Q570" t="n">
        <v>0</v>
      </c>
      <c r="R570" s="2" t="inlineStr"/>
    </row>
    <row r="571" ht="15" customHeight="1">
      <c r="A571" t="inlineStr">
        <is>
          <t>A 43607-2025</t>
        </is>
      </c>
      <c r="B571" s="1" t="n">
        <v>45911.66873842593</v>
      </c>
      <c r="C571" s="1" t="n">
        <v>45969</v>
      </c>
      <c r="D571" t="inlineStr">
        <is>
          <t>DALARNAS LÄN</t>
        </is>
      </c>
      <c r="E571" t="inlineStr">
        <is>
          <t>LEKSAND</t>
        </is>
      </c>
      <c r="G571" t="n">
        <v>7.3</v>
      </c>
      <c r="H571" t="n">
        <v>0</v>
      </c>
      <c r="I571" t="n">
        <v>0</v>
      </c>
      <c r="J571" t="n">
        <v>0</v>
      </c>
      <c r="K571" t="n">
        <v>0</v>
      </c>
      <c r="L571" t="n">
        <v>0</v>
      </c>
      <c r="M571" t="n">
        <v>0</v>
      </c>
      <c r="N571" t="n">
        <v>0</v>
      </c>
      <c r="O571" t="n">
        <v>0</v>
      </c>
      <c r="P571" t="n">
        <v>0</v>
      </c>
      <c r="Q571" t="n">
        <v>0</v>
      </c>
      <c r="R571" s="2" t="inlineStr"/>
    </row>
    <row r="572" ht="15" customHeight="1">
      <c r="A572" t="inlineStr">
        <is>
          <t>A 57013-2023</t>
        </is>
      </c>
      <c r="B572" s="1" t="n">
        <v>45244</v>
      </c>
      <c r="C572" s="1" t="n">
        <v>45969</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28483-2025</t>
        </is>
      </c>
      <c r="B573" s="1" t="n">
        <v>45818</v>
      </c>
      <c r="C573" s="1" t="n">
        <v>45969</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43629-2025</t>
        </is>
      </c>
      <c r="B574" s="1" t="n">
        <v>45911.70180555555</v>
      </c>
      <c r="C574" s="1" t="n">
        <v>45969</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37832-2023</t>
        </is>
      </c>
      <c r="B575" s="1" t="n">
        <v>45160.3479050926</v>
      </c>
      <c r="C575" s="1" t="n">
        <v>45969</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28505-2025</t>
        </is>
      </c>
      <c r="B576" s="1" t="n">
        <v>45818</v>
      </c>
      <c r="C576" s="1" t="n">
        <v>45969</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43781-2025</t>
        </is>
      </c>
      <c r="B577" s="1" t="n">
        <v>45912.52229166667</v>
      </c>
      <c r="C577" s="1" t="n">
        <v>45969</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28499-2025</t>
        </is>
      </c>
      <c r="B578" s="1" t="n">
        <v>45818</v>
      </c>
      <c r="C578" s="1" t="n">
        <v>45969</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27984-2025</t>
        </is>
      </c>
      <c r="B579" s="1" t="n">
        <v>45817.57710648148</v>
      </c>
      <c r="C579" s="1" t="n">
        <v>45969</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18040-2024</t>
        </is>
      </c>
      <c r="B580" s="1" t="n">
        <v>45420.36664351852</v>
      </c>
      <c r="C580" s="1" t="n">
        <v>45969</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28488-2025</t>
        </is>
      </c>
      <c r="B581" s="1" t="n">
        <v>45818</v>
      </c>
      <c r="C581" s="1" t="n">
        <v>45969</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43875-2025</t>
        </is>
      </c>
      <c r="B582" s="1" t="n">
        <v>45912.67685185185</v>
      </c>
      <c r="C582" s="1" t="n">
        <v>45969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6778-2025</t>
        </is>
      </c>
      <c r="B583" s="1" t="n">
        <v>45700.64615740741</v>
      </c>
      <c r="C583" s="1" t="n">
        <v>45969</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43888-2025</t>
        </is>
      </c>
      <c r="B584" s="1" t="n">
        <v>45912</v>
      </c>
      <c r="C584" s="1" t="n">
        <v>45969</v>
      </c>
      <c r="D584" t="inlineStr">
        <is>
          <t>DALARNAS LÄN</t>
        </is>
      </c>
      <c r="E584" t="inlineStr">
        <is>
          <t>LEKSAND</t>
        </is>
      </c>
      <c r="F584" t="inlineStr">
        <is>
          <t>Bergvik skog väst AB</t>
        </is>
      </c>
      <c r="G584" t="n">
        <v>1.6</v>
      </c>
      <c r="H584" t="n">
        <v>0</v>
      </c>
      <c r="I584" t="n">
        <v>0</v>
      </c>
      <c r="J584" t="n">
        <v>0</v>
      </c>
      <c r="K584" t="n">
        <v>0</v>
      </c>
      <c r="L584" t="n">
        <v>0</v>
      </c>
      <c r="M584" t="n">
        <v>0</v>
      </c>
      <c r="N584" t="n">
        <v>0</v>
      </c>
      <c r="O584" t="n">
        <v>0</v>
      </c>
      <c r="P584" t="n">
        <v>0</v>
      </c>
      <c r="Q584" t="n">
        <v>0</v>
      </c>
      <c r="R584" s="2" t="inlineStr"/>
    </row>
    <row r="585" ht="15" customHeight="1">
      <c r="A585" t="inlineStr">
        <is>
          <t>A 28770-2025</t>
        </is>
      </c>
      <c r="B585" s="1" t="n">
        <v>45820</v>
      </c>
      <c r="C585" s="1" t="n">
        <v>45969</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45969</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43628-2025</t>
        </is>
      </c>
      <c r="B587" s="1" t="n">
        <v>45911.70060185185</v>
      </c>
      <c r="C587" s="1" t="n">
        <v>45969</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29005-2025</t>
        </is>
      </c>
      <c r="B588" s="1" t="n">
        <v>45821.39326388889</v>
      </c>
      <c r="C588" s="1" t="n">
        <v>45969</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43419-2024</t>
        </is>
      </c>
      <c r="B589" s="1" t="n">
        <v>45568</v>
      </c>
      <c r="C589" s="1" t="n">
        <v>45969</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28985-2025</t>
        </is>
      </c>
      <c r="B590" s="1" t="n">
        <v>45821.36862268519</v>
      </c>
      <c r="C590" s="1" t="n">
        <v>45969</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39595-2023</t>
        </is>
      </c>
      <c r="B591" s="1" t="n">
        <v>45167</v>
      </c>
      <c r="C591" s="1" t="n">
        <v>45969</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24481-2024</t>
        </is>
      </c>
      <c r="B592" s="1" t="n">
        <v>45459.36460648148</v>
      </c>
      <c r="C592" s="1" t="n">
        <v>45969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17606-2024</t>
        </is>
      </c>
      <c r="B593" s="1" t="n">
        <v>45415</v>
      </c>
      <c r="C593" s="1" t="n">
        <v>45969</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45969</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61054-2023</t>
        </is>
      </c>
      <c r="B595" s="1" t="n">
        <v>45261</v>
      </c>
      <c r="C595" s="1" t="n">
        <v>45969</v>
      </c>
      <c r="D595" t="inlineStr">
        <is>
          <t>DALARNAS LÄN</t>
        </is>
      </c>
      <c r="E595" t="inlineStr">
        <is>
          <t>LEKSAND</t>
        </is>
      </c>
      <c r="G595" t="n">
        <v>0.4</v>
      </c>
      <c r="H595" t="n">
        <v>0</v>
      </c>
      <c r="I595" t="n">
        <v>0</v>
      </c>
      <c r="J595" t="n">
        <v>0</v>
      </c>
      <c r="K595" t="n">
        <v>0</v>
      </c>
      <c r="L595" t="n">
        <v>0</v>
      </c>
      <c r="M595" t="n">
        <v>0</v>
      </c>
      <c r="N595" t="n">
        <v>0</v>
      </c>
      <c r="O595" t="n">
        <v>0</v>
      </c>
      <c r="P595" t="n">
        <v>0</v>
      </c>
      <c r="Q595" t="n">
        <v>0</v>
      </c>
      <c r="R595" s="2" t="inlineStr"/>
    </row>
    <row r="596" ht="15" customHeight="1">
      <c r="A596" t="inlineStr">
        <is>
          <t>A 61056-2023</t>
        </is>
      </c>
      <c r="B596" s="1" t="n">
        <v>45261</v>
      </c>
      <c r="C596" s="1" t="n">
        <v>45969</v>
      </c>
      <c r="D596" t="inlineStr">
        <is>
          <t>DALARNAS LÄN</t>
        </is>
      </c>
      <c r="E596" t="inlineStr">
        <is>
          <t>LEKSAND</t>
        </is>
      </c>
      <c r="G596" t="n">
        <v>0.3</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45969</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29553-2025</t>
        </is>
      </c>
      <c r="B598" s="1" t="n">
        <v>45825.35315972222</v>
      </c>
      <c r="C598" s="1" t="n">
        <v>45969</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45969</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58877-2023</t>
        </is>
      </c>
      <c r="B600" s="1" t="n">
        <v>45252</v>
      </c>
      <c r="C600" s="1" t="n">
        <v>45969</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44516-2025</t>
        </is>
      </c>
      <c r="B601" s="1" t="n">
        <v>45916.70982638889</v>
      </c>
      <c r="C601" s="1" t="n">
        <v>45969</v>
      </c>
      <c r="D601" t="inlineStr">
        <is>
          <t>DALARNAS LÄN</t>
        </is>
      </c>
      <c r="E601" t="inlineStr">
        <is>
          <t>LEKSAND</t>
        </is>
      </c>
      <c r="G601" t="n">
        <v>1.8</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45969</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44519-2025</t>
        </is>
      </c>
      <c r="B603" s="1" t="n">
        <v>45916.71483796297</v>
      </c>
      <c r="C603" s="1" t="n">
        <v>45969</v>
      </c>
      <c r="D603" t="inlineStr">
        <is>
          <t>DALARNAS LÄN</t>
        </is>
      </c>
      <c r="E603" t="inlineStr">
        <is>
          <t>LEKSAND</t>
        </is>
      </c>
      <c r="G603" t="n">
        <v>3.6</v>
      </c>
      <c r="H603" t="n">
        <v>0</v>
      </c>
      <c r="I603" t="n">
        <v>0</v>
      </c>
      <c r="J603" t="n">
        <v>0</v>
      </c>
      <c r="K603" t="n">
        <v>0</v>
      </c>
      <c r="L603" t="n">
        <v>0</v>
      </c>
      <c r="M603" t="n">
        <v>0</v>
      </c>
      <c r="N603" t="n">
        <v>0</v>
      </c>
      <c r="O603" t="n">
        <v>0</v>
      </c>
      <c r="P603" t="n">
        <v>0</v>
      </c>
      <c r="Q603" t="n">
        <v>0</v>
      </c>
      <c r="R603" s="2" t="inlineStr"/>
    </row>
    <row r="604" ht="15" customHeight="1">
      <c r="A604" t="inlineStr">
        <is>
          <t>A 30254-2025</t>
        </is>
      </c>
      <c r="B604" s="1" t="n">
        <v>45827.42336805556</v>
      </c>
      <c r="C604" s="1" t="n">
        <v>45969</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60040-2023</t>
        </is>
      </c>
      <c r="B605" s="1" t="n">
        <v>45256</v>
      </c>
      <c r="C605" s="1" t="n">
        <v>45969</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33306-2023</t>
        </is>
      </c>
      <c r="B606" s="1" t="n">
        <v>45127</v>
      </c>
      <c r="C606" s="1" t="n">
        <v>45969</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45969</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53190-2025</t>
        </is>
      </c>
      <c r="B608" s="1" t="n">
        <v>45958.56283564815</v>
      </c>
      <c r="C608" s="1" t="n">
        <v>45969</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45969</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45969</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30969-2025</t>
        </is>
      </c>
      <c r="B611" s="1" t="n">
        <v>45832.45914351852</v>
      </c>
      <c r="C611" s="1" t="n">
        <v>45969</v>
      </c>
      <c r="D611" t="inlineStr">
        <is>
          <t>DALARNAS LÄN</t>
        </is>
      </c>
      <c r="E611" t="inlineStr">
        <is>
          <t>LEKSAND</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44714.50961805556</v>
      </c>
      <c r="C612" s="1" t="n">
        <v>45969</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30911-2025</t>
        </is>
      </c>
      <c r="B613" s="1" t="n">
        <v>45832.37547453704</v>
      </c>
      <c r="C613" s="1" t="n">
        <v>45969</v>
      </c>
      <c r="D613" t="inlineStr">
        <is>
          <t>DALARNAS LÄN</t>
        </is>
      </c>
      <c r="E613" t="inlineStr">
        <is>
          <t>LEKSAND</t>
        </is>
      </c>
      <c r="G613" t="n">
        <v>0.5</v>
      </c>
      <c r="H613" t="n">
        <v>0</v>
      </c>
      <c r="I613" t="n">
        <v>0</v>
      </c>
      <c r="J613" t="n">
        <v>0</v>
      </c>
      <c r="K613" t="n">
        <v>0</v>
      </c>
      <c r="L613" t="n">
        <v>0</v>
      </c>
      <c r="M613" t="n">
        <v>0</v>
      </c>
      <c r="N613" t="n">
        <v>0</v>
      </c>
      <c r="O613" t="n">
        <v>0</v>
      </c>
      <c r="P613" t="n">
        <v>0</v>
      </c>
      <c r="Q613" t="n">
        <v>0</v>
      </c>
      <c r="R613" s="2" t="inlineStr"/>
    </row>
    <row r="614" ht="15" customHeight="1">
      <c r="A614" t="inlineStr">
        <is>
          <t>A 30920-2025</t>
        </is>
      </c>
      <c r="B614" s="1" t="n">
        <v>45832.38484953704</v>
      </c>
      <c r="C614" s="1" t="n">
        <v>45969</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30916-2025</t>
        </is>
      </c>
      <c r="B615" s="1" t="n">
        <v>45832.37885416667</v>
      </c>
      <c r="C615" s="1" t="n">
        <v>45969</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30973-2025</t>
        </is>
      </c>
      <c r="B616" s="1" t="n">
        <v>45832.46300925926</v>
      </c>
      <c r="C616" s="1" t="n">
        <v>45969</v>
      </c>
      <c r="D616" t="inlineStr">
        <is>
          <t>DALARNAS LÄN</t>
        </is>
      </c>
      <c r="E616" t="inlineStr">
        <is>
          <t>LEKSAND</t>
        </is>
      </c>
      <c r="F616" t="inlineStr">
        <is>
          <t>Bergvik skog väst AB</t>
        </is>
      </c>
      <c r="G616" t="n">
        <v>3.1</v>
      </c>
      <c r="H616" t="n">
        <v>0</v>
      </c>
      <c r="I616" t="n">
        <v>0</v>
      </c>
      <c r="J616" t="n">
        <v>0</v>
      </c>
      <c r="K616" t="n">
        <v>0</v>
      </c>
      <c r="L616" t="n">
        <v>0</v>
      </c>
      <c r="M616" t="n">
        <v>0</v>
      </c>
      <c r="N616" t="n">
        <v>0</v>
      </c>
      <c r="O616" t="n">
        <v>0</v>
      </c>
      <c r="P616" t="n">
        <v>0</v>
      </c>
      <c r="Q616" t="n">
        <v>0</v>
      </c>
      <c r="R616" s="2" t="inlineStr"/>
    </row>
    <row r="617" ht="15" customHeight="1">
      <c r="A617" t="inlineStr">
        <is>
          <t>A 30196-2023</t>
        </is>
      </c>
      <c r="B617" s="1" t="n">
        <v>45110</v>
      </c>
      <c r="C617" s="1" t="n">
        <v>45969</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44237-2025</t>
        </is>
      </c>
      <c r="B618" s="1" t="n">
        <v>45915.6677199074</v>
      </c>
      <c r="C618" s="1" t="n">
        <v>45969</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31189-2025</t>
        </is>
      </c>
      <c r="B619" s="1" t="n">
        <v>45832.6799537037</v>
      </c>
      <c r="C619" s="1" t="n">
        <v>45969</v>
      </c>
      <c r="D619" t="inlineStr">
        <is>
          <t>DALARNAS LÄN</t>
        </is>
      </c>
      <c r="E619" t="inlineStr">
        <is>
          <t>LEKSAND</t>
        </is>
      </c>
      <c r="G619" t="n">
        <v>5</v>
      </c>
      <c r="H619" t="n">
        <v>0</v>
      </c>
      <c r="I619" t="n">
        <v>0</v>
      </c>
      <c r="J619" t="n">
        <v>0</v>
      </c>
      <c r="K619" t="n">
        <v>0</v>
      </c>
      <c r="L619" t="n">
        <v>0</v>
      </c>
      <c r="M619" t="n">
        <v>0</v>
      </c>
      <c r="N619" t="n">
        <v>0</v>
      </c>
      <c r="O619" t="n">
        <v>0</v>
      </c>
      <c r="P619" t="n">
        <v>0</v>
      </c>
      <c r="Q619" t="n">
        <v>0</v>
      </c>
      <c r="R619" s="2" t="inlineStr"/>
    </row>
    <row r="620" ht="15" customHeight="1">
      <c r="A620" t="inlineStr">
        <is>
          <t>A 46446-2023</t>
        </is>
      </c>
      <c r="B620" s="1" t="n">
        <v>45197.59344907408</v>
      </c>
      <c r="C620" s="1" t="n">
        <v>45969</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31619-2025</t>
        </is>
      </c>
      <c r="B621" s="1" t="n">
        <v>45833</v>
      </c>
      <c r="C621" s="1" t="n">
        <v>45969</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52671-2025</t>
        </is>
      </c>
      <c r="B622" s="1" t="n">
        <v>45955.98113425926</v>
      </c>
      <c r="C622" s="1" t="n">
        <v>45969</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53041-2025</t>
        </is>
      </c>
      <c r="B623" s="1" t="n">
        <v>45958.35487268519</v>
      </c>
      <c r="C623" s="1" t="n">
        <v>45969</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31446-2025</t>
        </is>
      </c>
      <c r="B624" s="1" t="n">
        <v>45833</v>
      </c>
      <c r="C624" s="1" t="n">
        <v>45969</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53243-2025</t>
        </is>
      </c>
      <c r="B625" s="1" t="n">
        <v>45958.6442824074</v>
      </c>
      <c r="C625" s="1" t="n">
        <v>45969</v>
      </c>
      <c r="D625" t="inlineStr">
        <is>
          <t>DALARNAS LÄN</t>
        </is>
      </c>
      <c r="E625" t="inlineStr">
        <is>
          <t>LEKSAND</t>
        </is>
      </c>
      <c r="G625" t="n">
        <v>1.3</v>
      </c>
      <c r="H625" t="n">
        <v>0</v>
      </c>
      <c r="I625" t="n">
        <v>0</v>
      </c>
      <c r="J625" t="n">
        <v>0</v>
      </c>
      <c r="K625" t="n">
        <v>0</v>
      </c>
      <c r="L625" t="n">
        <v>0</v>
      </c>
      <c r="M625" t="n">
        <v>0</v>
      </c>
      <c r="N625" t="n">
        <v>0</v>
      </c>
      <c r="O625" t="n">
        <v>0</v>
      </c>
      <c r="P625" t="n">
        <v>0</v>
      </c>
      <c r="Q625" t="n">
        <v>0</v>
      </c>
      <c r="R625" s="2" t="inlineStr"/>
    </row>
    <row r="626" ht="15" customHeight="1">
      <c r="A626" t="inlineStr">
        <is>
          <t>A 31787-2025</t>
        </is>
      </c>
      <c r="B626" s="1" t="n">
        <v>45834</v>
      </c>
      <c r="C626" s="1" t="n">
        <v>45969</v>
      </c>
      <c r="D626" t="inlineStr">
        <is>
          <t>DALARNAS LÄN</t>
        </is>
      </c>
      <c r="E626" t="inlineStr">
        <is>
          <t>LEKSAND</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31493-2025</t>
        </is>
      </c>
      <c r="B627" s="1" t="n">
        <v>45833</v>
      </c>
      <c r="C627" s="1" t="n">
        <v>45969</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44948-2025</t>
        </is>
      </c>
      <c r="B628" s="1" t="n">
        <v>45918.60555555556</v>
      </c>
      <c r="C628" s="1" t="n">
        <v>45969</v>
      </c>
      <c r="D628" t="inlineStr">
        <is>
          <t>DALARNAS LÄN</t>
        </is>
      </c>
      <c r="E628" t="inlineStr">
        <is>
          <t>LEKSAND</t>
        </is>
      </c>
      <c r="G628" t="n">
        <v>5.1</v>
      </c>
      <c r="H628" t="n">
        <v>0</v>
      </c>
      <c r="I628" t="n">
        <v>0</v>
      </c>
      <c r="J628" t="n">
        <v>0</v>
      </c>
      <c r="K628" t="n">
        <v>0</v>
      </c>
      <c r="L628" t="n">
        <v>0</v>
      </c>
      <c r="M628" t="n">
        <v>0</v>
      </c>
      <c r="N628" t="n">
        <v>0</v>
      </c>
      <c r="O628" t="n">
        <v>0</v>
      </c>
      <c r="P628" t="n">
        <v>0</v>
      </c>
      <c r="Q628" t="n">
        <v>0</v>
      </c>
      <c r="R628" s="2" t="inlineStr"/>
    </row>
    <row r="629" ht="15" customHeight="1">
      <c r="A629" t="inlineStr">
        <is>
          <t>A 32104-2025</t>
        </is>
      </c>
      <c r="B629" s="1" t="n">
        <v>45835</v>
      </c>
      <c r="C629" s="1" t="n">
        <v>45969</v>
      </c>
      <c r="D629" t="inlineStr">
        <is>
          <t>DALARNAS LÄN</t>
        </is>
      </c>
      <c r="E629" t="inlineStr">
        <is>
          <t>LEKSAND</t>
        </is>
      </c>
      <c r="G629" t="n">
        <v>3.1</v>
      </c>
      <c r="H629" t="n">
        <v>0</v>
      </c>
      <c r="I629" t="n">
        <v>0</v>
      </c>
      <c r="J629" t="n">
        <v>0</v>
      </c>
      <c r="K629" t="n">
        <v>0</v>
      </c>
      <c r="L629" t="n">
        <v>0</v>
      </c>
      <c r="M629" t="n">
        <v>0</v>
      </c>
      <c r="N629" t="n">
        <v>0</v>
      </c>
      <c r="O629" t="n">
        <v>0</v>
      </c>
      <c r="P629" t="n">
        <v>0</v>
      </c>
      <c r="Q629" t="n">
        <v>0</v>
      </c>
      <c r="R629" s="2" t="inlineStr"/>
    </row>
    <row r="630" ht="15" customHeight="1">
      <c r="A630" t="inlineStr">
        <is>
          <t>A 54682-2023</t>
        </is>
      </c>
      <c r="B630" s="1" t="n">
        <v>45235.90439814814</v>
      </c>
      <c r="C630" s="1" t="n">
        <v>45969</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32593-2025</t>
        </is>
      </c>
      <c r="B631" s="1" t="n">
        <v>45838</v>
      </c>
      <c r="C631" s="1" t="n">
        <v>45969</v>
      </c>
      <c r="D631" t="inlineStr">
        <is>
          <t>DALARNAS LÄN</t>
        </is>
      </c>
      <c r="E631" t="inlineStr">
        <is>
          <t>LEKSAND</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1463-2024</t>
        </is>
      </c>
      <c r="B632" s="1" t="n">
        <v>45303</v>
      </c>
      <c r="C632" s="1" t="n">
        <v>45969</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32661-2025</t>
        </is>
      </c>
      <c r="B633" s="1" t="n">
        <v>45838.67953703704</v>
      </c>
      <c r="C633" s="1" t="n">
        <v>45969</v>
      </c>
      <c r="D633" t="inlineStr">
        <is>
          <t>DALARNAS LÄN</t>
        </is>
      </c>
      <c r="E633" t="inlineStr">
        <is>
          <t>LEKSAND</t>
        </is>
      </c>
      <c r="G633" t="n">
        <v>0.8</v>
      </c>
      <c r="H633" t="n">
        <v>0</v>
      </c>
      <c r="I633" t="n">
        <v>0</v>
      </c>
      <c r="J633" t="n">
        <v>0</v>
      </c>
      <c r="K633" t="n">
        <v>0</v>
      </c>
      <c r="L633" t="n">
        <v>0</v>
      </c>
      <c r="M633" t="n">
        <v>0</v>
      </c>
      <c r="N633" t="n">
        <v>0</v>
      </c>
      <c r="O633" t="n">
        <v>0</v>
      </c>
      <c r="P633" t="n">
        <v>0</v>
      </c>
      <c r="Q633" t="n">
        <v>0</v>
      </c>
      <c r="R633" s="2" t="inlineStr"/>
    </row>
    <row r="634" ht="15" customHeight="1">
      <c r="A634" t="inlineStr">
        <is>
          <t>A 32301-2025</t>
        </is>
      </c>
      <c r="B634" s="1" t="n">
        <v>45835</v>
      </c>
      <c r="C634" s="1" t="n">
        <v>45969</v>
      </c>
      <c r="D634" t="inlineStr">
        <is>
          <t>DALARNAS LÄN</t>
        </is>
      </c>
      <c r="E634" t="inlineStr">
        <is>
          <t>LEKSAND</t>
        </is>
      </c>
      <c r="G634" t="n">
        <v>2.2</v>
      </c>
      <c r="H634" t="n">
        <v>0</v>
      </c>
      <c r="I634" t="n">
        <v>0</v>
      </c>
      <c r="J634" t="n">
        <v>0</v>
      </c>
      <c r="K634" t="n">
        <v>0</v>
      </c>
      <c r="L634" t="n">
        <v>0</v>
      </c>
      <c r="M634" t="n">
        <v>0</v>
      </c>
      <c r="N634" t="n">
        <v>0</v>
      </c>
      <c r="O634" t="n">
        <v>0</v>
      </c>
      <c r="P634" t="n">
        <v>0</v>
      </c>
      <c r="Q634" t="n">
        <v>0</v>
      </c>
      <c r="R634" s="2" t="inlineStr"/>
    </row>
    <row r="635" ht="15" customHeight="1">
      <c r="A635" t="inlineStr">
        <is>
          <t>A 32653-2025</t>
        </is>
      </c>
      <c r="B635" s="1" t="n">
        <v>45838</v>
      </c>
      <c r="C635" s="1" t="n">
        <v>45969</v>
      </c>
      <c r="D635" t="inlineStr">
        <is>
          <t>DALARNAS LÄN</t>
        </is>
      </c>
      <c r="E635" t="inlineStr">
        <is>
          <t>LEKSAND</t>
        </is>
      </c>
      <c r="G635" t="n">
        <v>5.6</v>
      </c>
      <c r="H635" t="n">
        <v>0</v>
      </c>
      <c r="I635" t="n">
        <v>0</v>
      </c>
      <c r="J635" t="n">
        <v>0</v>
      </c>
      <c r="K635" t="n">
        <v>0</v>
      </c>
      <c r="L635" t="n">
        <v>0</v>
      </c>
      <c r="M635" t="n">
        <v>0</v>
      </c>
      <c r="N635" t="n">
        <v>0</v>
      </c>
      <c r="O635" t="n">
        <v>0</v>
      </c>
      <c r="P635" t="n">
        <v>0</v>
      </c>
      <c r="Q635" t="n">
        <v>0</v>
      </c>
      <c r="R635" s="2" t="inlineStr"/>
    </row>
    <row r="636" ht="15" customHeight="1">
      <c r="A636" t="inlineStr">
        <is>
          <t>A 53718-2025</t>
        </is>
      </c>
      <c r="B636" s="1" t="n">
        <v>45960.61840277778</v>
      </c>
      <c r="C636" s="1" t="n">
        <v>45969</v>
      </c>
      <c r="D636" t="inlineStr">
        <is>
          <t>DALARNAS LÄN</t>
        </is>
      </c>
      <c r="E636" t="inlineStr">
        <is>
          <t>LEKSAND</t>
        </is>
      </c>
      <c r="G636" t="n">
        <v>7.5</v>
      </c>
      <c r="H636" t="n">
        <v>0</v>
      </c>
      <c r="I636" t="n">
        <v>0</v>
      </c>
      <c r="J636" t="n">
        <v>0</v>
      </c>
      <c r="K636" t="n">
        <v>0</v>
      </c>
      <c r="L636" t="n">
        <v>0</v>
      </c>
      <c r="M636" t="n">
        <v>0</v>
      </c>
      <c r="N636" t="n">
        <v>0</v>
      </c>
      <c r="O636" t="n">
        <v>0</v>
      </c>
      <c r="P636" t="n">
        <v>0</v>
      </c>
      <c r="Q636" t="n">
        <v>0</v>
      </c>
      <c r="R636" s="2" t="inlineStr"/>
    </row>
    <row r="637" ht="15" customHeight="1">
      <c r="A637" t="inlineStr">
        <is>
          <t>A 31945-2025</t>
        </is>
      </c>
      <c r="B637" s="1" t="n">
        <v>45835</v>
      </c>
      <c r="C637" s="1" t="n">
        <v>45969</v>
      </c>
      <c r="D637" t="inlineStr">
        <is>
          <t>DALARNAS LÄN</t>
        </is>
      </c>
      <c r="E637" t="inlineStr">
        <is>
          <t>LEKSAND</t>
        </is>
      </c>
      <c r="G637" t="n">
        <v>0.8</v>
      </c>
      <c r="H637" t="n">
        <v>0</v>
      </c>
      <c r="I637" t="n">
        <v>0</v>
      </c>
      <c r="J637" t="n">
        <v>0</v>
      </c>
      <c r="K637" t="n">
        <v>0</v>
      </c>
      <c r="L637" t="n">
        <v>0</v>
      </c>
      <c r="M637" t="n">
        <v>0</v>
      </c>
      <c r="N637" t="n">
        <v>0</v>
      </c>
      <c r="O637" t="n">
        <v>0</v>
      </c>
      <c r="P637" t="n">
        <v>0</v>
      </c>
      <c r="Q637" t="n">
        <v>0</v>
      </c>
      <c r="R637" s="2" t="inlineStr"/>
    </row>
    <row r="638" ht="15" customHeight="1">
      <c r="A638" t="inlineStr">
        <is>
          <t>A 32726-2025</t>
        </is>
      </c>
      <c r="B638" s="1" t="n">
        <v>45839.3969212963</v>
      </c>
      <c r="C638" s="1" t="n">
        <v>45969</v>
      </c>
      <c r="D638" t="inlineStr">
        <is>
          <t>DALARNAS LÄN</t>
        </is>
      </c>
      <c r="E638" t="inlineStr">
        <is>
          <t>LEKSAND</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30000-2023</t>
        </is>
      </c>
      <c r="B639" s="1" t="n">
        <v>45109.71128472222</v>
      </c>
      <c r="C639" s="1" t="n">
        <v>45969</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33160-2025</t>
        </is>
      </c>
      <c r="B640" s="1" t="n">
        <v>45840</v>
      </c>
      <c r="C640" s="1" t="n">
        <v>45969</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17282-2025</t>
        </is>
      </c>
      <c r="B641" s="1" t="n">
        <v>45756.57114583333</v>
      </c>
      <c r="C641" s="1" t="n">
        <v>45969</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12923-2025</t>
        </is>
      </c>
      <c r="B642" s="1" t="n">
        <v>45734.29193287037</v>
      </c>
      <c r="C642" s="1" t="n">
        <v>45969</v>
      </c>
      <c r="D642" t="inlineStr">
        <is>
          <t>DALARNAS LÄN</t>
        </is>
      </c>
      <c r="E642" t="inlineStr">
        <is>
          <t>LEKSAND</t>
        </is>
      </c>
      <c r="G642" t="n">
        <v>7.2</v>
      </c>
      <c r="H642" t="n">
        <v>0</v>
      </c>
      <c r="I642" t="n">
        <v>0</v>
      </c>
      <c r="J642" t="n">
        <v>0</v>
      </c>
      <c r="K642" t="n">
        <v>0</v>
      </c>
      <c r="L642" t="n">
        <v>0</v>
      </c>
      <c r="M642" t="n">
        <v>0</v>
      </c>
      <c r="N642" t="n">
        <v>0</v>
      </c>
      <c r="O642" t="n">
        <v>0</v>
      </c>
      <c r="P642" t="n">
        <v>0</v>
      </c>
      <c r="Q642" t="n">
        <v>0</v>
      </c>
      <c r="R642" s="2" t="inlineStr"/>
    </row>
    <row r="643" ht="15" customHeight="1">
      <c r="A643" t="inlineStr">
        <is>
          <t>A 2820-2024</t>
        </is>
      </c>
      <c r="B643" s="1" t="n">
        <v>45314.76287037037</v>
      </c>
      <c r="C643" s="1" t="n">
        <v>45969</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2822-2024</t>
        </is>
      </c>
      <c r="B644" s="1" t="n">
        <v>45314.76622685185</v>
      </c>
      <c r="C644" s="1" t="n">
        <v>45969</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51320-2023</t>
        </is>
      </c>
      <c r="B645" s="1" t="n">
        <v>45219.57456018519</v>
      </c>
      <c r="C645" s="1" t="n">
        <v>45969</v>
      </c>
      <c r="D645" t="inlineStr">
        <is>
          <t>DALARNAS LÄN</t>
        </is>
      </c>
      <c r="E645" t="inlineStr">
        <is>
          <t>LEKSAND</t>
        </is>
      </c>
      <c r="G645" t="n">
        <v>2.1</v>
      </c>
      <c r="H645" t="n">
        <v>0</v>
      </c>
      <c r="I645" t="n">
        <v>0</v>
      </c>
      <c r="J645" t="n">
        <v>0</v>
      </c>
      <c r="K645" t="n">
        <v>0</v>
      </c>
      <c r="L645" t="n">
        <v>0</v>
      </c>
      <c r="M645" t="n">
        <v>0</v>
      </c>
      <c r="N645" t="n">
        <v>0</v>
      </c>
      <c r="O645" t="n">
        <v>0</v>
      </c>
      <c r="P645" t="n">
        <v>0</v>
      </c>
      <c r="Q645" t="n">
        <v>0</v>
      </c>
      <c r="R645" s="2" t="inlineStr"/>
    </row>
    <row r="646" ht="15" customHeight="1">
      <c r="A646" t="inlineStr">
        <is>
          <t>A 53438-2025</t>
        </is>
      </c>
      <c r="B646" s="1" t="n">
        <v>45959.63711805556</v>
      </c>
      <c r="C646" s="1" t="n">
        <v>45969</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12621-2025</t>
        </is>
      </c>
      <c r="B647" s="1" t="n">
        <v>45733.3575</v>
      </c>
      <c r="C647" s="1" t="n">
        <v>45969</v>
      </c>
      <c r="D647" t="inlineStr">
        <is>
          <t>DALARNAS LÄN</t>
        </is>
      </c>
      <c r="E647" t="inlineStr">
        <is>
          <t>LEKSAND</t>
        </is>
      </c>
      <c r="F647" t="inlineStr">
        <is>
          <t>Bergvik skog väst AB</t>
        </is>
      </c>
      <c r="G647" t="n">
        <v>1.2</v>
      </c>
      <c r="H647" t="n">
        <v>0</v>
      </c>
      <c r="I647" t="n">
        <v>0</v>
      </c>
      <c r="J647" t="n">
        <v>0</v>
      </c>
      <c r="K647" t="n">
        <v>0</v>
      </c>
      <c r="L647" t="n">
        <v>0</v>
      </c>
      <c r="M647" t="n">
        <v>0</v>
      </c>
      <c r="N647" t="n">
        <v>0</v>
      </c>
      <c r="O647" t="n">
        <v>0</v>
      </c>
      <c r="P647" t="n">
        <v>0</v>
      </c>
      <c r="Q647" t="n">
        <v>0</v>
      </c>
      <c r="R647" s="2" t="inlineStr"/>
    </row>
    <row r="648" ht="15" customHeight="1">
      <c r="A648" t="inlineStr">
        <is>
          <t>A 32855-2025</t>
        </is>
      </c>
      <c r="B648" s="1" t="n">
        <v>45839.57643518518</v>
      </c>
      <c r="C648" s="1" t="n">
        <v>45969</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44672-2025</t>
        </is>
      </c>
      <c r="B649" s="1" t="n">
        <v>45917.56780092593</v>
      </c>
      <c r="C649" s="1" t="n">
        <v>45969</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53619-2025</t>
        </is>
      </c>
      <c r="B650" s="1" t="n">
        <v>45960</v>
      </c>
      <c r="C650" s="1" t="n">
        <v>45969</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51377-2023</t>
        </is>
      </c>
      <c r="B651" s="1" t="n">
        <v>45219</v>
      </c>
      <c r="C651" s="1" t="n">
        <v>45969</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59859-2023</t>
        </is>
      </c>
      <c r="B652" s="1" t="n">
        <v>45257</v>
      </c>
      <c r="C652" s="1" t="n">
        <v>45969</v>
      </c>
      <c r="D652" t="inlineStr">
        <is>
          <t>DALARNAS LÄN</t>
        </is>
      </c>
      <c r="E652" t="inlineStr">
        <is>
          <t>LEKSAND</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33804-2025</t>
        </is>
      </c>
      <c r="B653" s="1" t="n">
        <v>45842</v>
      </c>
      <c r="C653" s="1" t="n">
        <v>45969</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19330-2025</t>
        </is>
      </c>
      <c r="B654" s="1" t="n">
        <v>45769</v>
      </c>
      <c r="C654" s="1" t="n">
        <v>45969</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45943-2022</t>
        </is>
      </c>
      <c r="B655" s="1" t="n">
        <v>44846.64418981481</v>
      </c>
      <c r="C655" s="1" t="n">
        <v>45969</v>
      </c>
      <c r="D655" t="inlineStr">
        <is>
          <t>DALARNAS LÄN</t>
        </is>
      </c>
      <c r="E655" t="inlineStr">
        <is>
          <t>LEKSAND</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60878-2023</t>
        </is>
      </c>
      <c r="B656" s="1" t="n">
        <v>45259</v>
      </c>
      <c r="C656" s="1" t="n">
        <v>45969</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45969</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45101-2025</t>
        </is>
      </c>
      <c r="B658" s="1" t="n">
        <v>45919.39679398148</v>
      </c>
      <c r="C658" s="1" t="n">
        <v>45969</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45969</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34789-2025</t>
        </is>
      </c>
      <c r="B660" s="1" t="n">
        <v>45848</v>
      </c>
      <c r="C660" s="1" t="n">
        <v>45969</v>
      </c>
      <c r="D660" t="inlineStr">
        <is>
          <t>DALARNAS LÄN</t>
        </is>
      </c>
      <c r="E660" t="inlineStr">
        <is>
          <t>LEKSAND</t>
        </is>
      </c>
      <c r="F660" t="inlineStr">
        <is>
          <t>Bergvik skog väst AB</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41896-2024</t>
        </is>
      </c>
      <c r="B661" s="1" t="n">
        <v>45561.51310185185</v>
      </c>
      <c r="C661" s="1" t="n">
        <v>45969</v>
      </c>
      <c r="D661" t="inlineStr">
        <is>
          <t>DALARNAS LÄN</t>
        </is>
      </c>
      <c r="E661" t="inlineStr">
        <is>
          <t>LEKSAND</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53838-2025</t>
        </is>
      </c>
      <c r="B662" s="1" t="n">
        <v>45961.34895833334</v>
      </c>
      <c r="C662" s="1" t="n">
        <v>45969</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1719-2024</t>
        </is>
      </c>
      <c r="B663" s="1" t="n">
        <v>45307</v>
      </c>
      <c r="C663" s="1" t="n">
        <v>45969</v>
      </c>
      <c r="D663" t="inlineStr">
        <is>
          <t>DALARNAS LÄN</t>
        </is>
      </c>
      <c r="E663" t="inlineStr">
        <is>
          <t>LEKSAND</t>
        </is>
      </c>
      <c r="G663" t="n">
        <v>2.8</v>
      </c>
      <c r="H663" t="n">
        <v>0</v>
      </c>
      <c r="I663" t="n">
        <v>0</v>
      </c>
      <c r="J663" t="n">
        <v>0</v>
      </c>
      <c r="K663" t="n">
        <v>0</v>
      </c>
      <c r="L663" t="n">
        <v>0</v>
      </c>
      <c r="M663" t="n">
        <v>0</v>
      </c>
      <c r="N663" t="n">
        <v>0</v>
      </c>
      <c r="O663" t="n">
        <v>0</v>
      </c>
      <c r="P663" t="n">
        <v>0</v>
      </c>
      <c r="Q663" t="n">
        <v>0</v>
      </c>
      <c r="R663" s="2" t="inlineStr"/>
    </row>
    <row r="664" ht="15" customHeight="1">
      <c r="A664" t="inlineStr">
        <is>
          <t>A 34537-2025</t>
        </is>
      </c>
      <c r="B664" s="1" t="n">
        <v>45847</v>
      </c>
      <c r="C664" s="1" t="n">
        <v>45969</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16744-2025</t>
        </is>
      </c>
      <c r="B665" s="1" t="n">
        <v>45754</v>
      </c>
      <c r="C665" s="1" t="n">
        <v>45969</v>
      </c>
      <c r="D665" t="inlineStr">
        <is>
          <t>DALARNAS LÄN</t>
        </is>
      </c>
      <c r="E665" t="inlineStr">
        <is>
          <t>LEKSAND</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54120-2025</t>
        </is>
      </c>
      <c r="B666" s="1" t="n">
        <v>45964.45040509259</v>
      </c>
      <c r="C666" s="1" t="n">
        <v>45969</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54125-2025</t>
        </is>
      </c>
      <c r="B667" s="1" t="n">
        <v>45964.45671296296</v>
      </c>
      <c r="C667" s="1" t="n">
        <v>45969</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54015-2025</t>
        </is>
      </c>
      <c r="B668" s="1" t="n">
        <v>45961.64158564815</v>
      </c>
      <c r="C668" s="1" t="n">
        <v>45969</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22349-2024</t>
        </is>
      </c>
      <c r="B669" s="1" t="n">
        <v>45446</v>
      </c>
      <c r="C669" s="1" t="n">
        <v>45969</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11617-2024</t>
        </is>
      </c>
      <c r="B670" s="1" t="n">
        <v>45373.42898148148</v>
      </c>
      <c r="C670" s="1" t="n">
        <v>45969</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35094-2025</t>
        </is>
      </c>
      <c r="B671" s="1" t="n">
        <v>45852</v>
      </c>
      <c r="C671" s="1" t="n">
        <v>45969</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34965-2025</t>
        </is>
      </c>
      <c r="B672" s="1" t="n">
        <v>45849</v>
      </c>
      <c r="C672" s="1" t="n">
        <v>45969</v>
      </c>
      <c r="D672" t="inlineStr">
        <is>
          <t>DALARNAS LÄN</t>
        </is>
      </c>
      <c r="E672" t="inlineStr">
        <is>
          <t>LEKSAND</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34966-2025</t>
        </is>
      </c>
      <c r="B673" s="1" t="n">
        <v>45849</v>
      </c>
      <c r="C673" s="1" t="n">
        <v>45969</v>
      </c>
      <c r="D673" t="inlineStr">
        <is>
          <t>DALARNAS LÄN</t>
        </is>
      </c>
      <c r="E673" t="inlineStr">
        <is>
          <t>LEKSAND</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61953-2023</t>
        </is>
      </c>
      <c r="B674" s="1" t="n">
        <v>45266</v>
      </c>
      <c r="C674" s="1" t="n">
        <v>45969</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58619-2022</t>
        </is>
      </c>
      <c r="B675" s="1" t="n">
        <v>44902.59579861111</v>
      </c>
      <c r="C675" s="1" t="n">
        <v>45969</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20946-2023</t>
        </is>
      </c>
      <c r="B676" s="1" t="n">
        <v>45061</v>
      </c>
      <c r="C676" s="1" t="n">
        <v>45969</v>
      </c>
      <c r="D676" t="inlineStr">
        <is>
          <t>DALARNAS LÄN</t>
        </is>
      </c>
      <c r="E676" t="inlineStr">
        <is>
          <t>LEKSAND</t>
        </is>
      </c>
      <c r="G676" t="n">
        <v>2.7</v>
      </c>
      <c r="H676" t="n">
        <v>0</v>
      </c>
      <c r="I676" t="n">
        <v>0</v>
      </c>
      <c r="J676" t="n">
        <v>0</v>
      </c>
      <c r="K676" t="n">
        <v>0</v>
      </c>
      <c r="L676" t="n">
        <v>0</v>
      </c>
      <c r="M676" t="n">
        <v>0</v>
      </c>
      <c r="N676" t="n">
        <v>0</v>
      </c>
      <c r="O676" t="n">
        <v>0</v>
      </c>
      <c r="P676" t="n">
        <v>0</v>
      </c>
      <c r="Q676" t="n">
        <v>0</v>
      </c>
      <c r="R676" s="2" t="inlineStr"/>
    </row>
    <row r="677" ht="15" customHeight="1">
      <c r="A677" t="inlineStr">
        <is>
          <t>A 61225-2023</t>
        </is>
      </c>
      <c r="B677" s="1" t="n">
        <v>45264</v>
      </c>
      <c r="C677" s="1" t="n">
        <v>45969</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61252-2023</t>
        </is>
      </c>
      <c r="B678" s="1" t="n">
        <v>45261</v>
      </c>
      <c r="C678" s="1" t="n">
        <v>45969</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45300-2025</t>
        </is>
      </c>
      <c r="B679" s="1" t="n">
        <v>45921.30490740741</v>
      </c>
      <c r="C679" s="1" t="n">
        <v>45969</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14617-2024</t>
        </is>
      </c>
      <c r="B680" s="1" t="n">
        <v>45397</v>
      </c>
      <c r="C680" s="1" t="n">
        <v>45969</v>
      </c>
      <c r="D680" t="inlineStr">
        <is>
          <t>DALARNAS LÄN</t>
        </is>
      </c>
      <c r="E680" t="inlineStr">
        <is>
          <t>LEKSAND</t>
        </is>
      </c>
      <c r="G680" t="n">
        <v>0.2</v>
      </c>
      <c r="H680" t="n">
        <v>0</v>
      </c>
      <c r="I680" t="n">
        <v>0</v>
      </c>
      <c r="J680" t="n">
        <v>0</v>
      </c>
      <c r="K680" t="n">
        <v>0</v>
      </c>
      <c r="L680" t="n">
        <v>0</v>
      </c>
      <c r="M680" t="n">
        <v>0</v>
      </c>
      <c r="N680" t="n">
        <v>0</v>
      </c>
      <c r="O680" t="n">
        <v>0</v>
      </c>
      <c r="P680" t="n">
        <v>0</v>
      </c>
      <c r="Q680" t="n">
        <v>0</v>
      </c>
      <c r="R680" s="2" t="inlineStr"/>
    </row>
    <row r="681" ht="15" customHeight="1">
      <c r="A681" t="inlineStr">
        <is>
          <t>A 53804-2025</t>
        </is>
      </c>
      <c r="B681" s="1" t="n">
        <v>45960.83247685185</v>
      </c>
      <c r="C681" s="1" t="n">
        <v>45969</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46141-2022</t>
        </is>
      </c>
      <c r="B682" s="1" t="n">
        <v>44846</v>
      </c>
      <c r="C682" s="1" t="n">
        <v>45969</v>
      </c>
      <c r="D682" t="inlineStr">
        <is>
          <t>DALARNAS LÄN</t>
        </is>
      </c>
      <c r="E682" t="inlineStr">
        <is>
          <t>LEKSAND</t>
        </is>
      </c>
      <c r="G682" t="n">
        <v>2.8</v>
      </c>
      <c r="H682" t="n">
        <v>0</v>
      </c>
      <c r="I682" t="n">
        <v>0</v>
      </c>
      <c r="J682" t="n">
        <v>0</v>
      </c>
      <c r="K682" t="n">
        <v>0</v>
      </c>
      <c r="L682" t="n">
        <v>0</v>
      </c>
      <c r="M682" t="n">
        <v>0</v>
      </c>
      <c r="N682" t="n">
        <v>0</v>
      </c>
      <c r="O682" t="n">
        <v>0</v>
      </c>
      <c r="P682" t="n">
        <v>0</v>
      </c>
      <c r="Q682" t="n">
        <v>0</v>
      </c>
      <c r="R682" s="2" t="inlineStr"/>
    </row>
    <row r="683" ht="15" customHeight="1">
      <c r="A683" t="inlineStr">
        <is>
          <t>A 62993-2023</t>
        </is>
      </c>
      <c r="B683" s="1" t="n">
        <v>45272</v>
      </c>
      <c r="C683" s="1" t="n">
        <v>45969</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13705-2021</t>
        </is>
      </c>
      <c r="B684" s="1" t="n">
        <v>44274</v>
      </c>
      <c r="C684" s="1" t="n">
        <v>45969</v>
      </c>
      <c r="D684" t="inlineStr">
        <is>
          <t>DALARNAS LÄN</t>
        </is>
      </c>
      <c r="E684" t="inlineStr">
        <is>
          <t>LEKSAND</t>
        </is>
      </c>
      <c r="G684" t="n">
        <v>3.8</v>
      </c>
      <c r="H684" t="n">
        <v>0</v>
      </c>
      <c r="I684" t="n">
        <v>0</v>
      </c>
      <c r="J684" t="n">
        <v>0</v>
      </c>
      <c r="K684" t="n">
        <v>0</v>
      </c>
      <c r="L684" t="n">
        <v>0</v>
      </c>
      <c r="M684" t="n">
        <v>0</v>
      </c>
      <c r="N684" t="n">
        <v>0</v>
      </c>
      <c r="O684" t="n">
        <v>0</v>
      </c>
      <c r="P684" t="n">
        <v>0</v>
      </c>
      <c r="Q684" t="n">
        <v>0</v>
      </c>
      <c r="R684" s="2" t="inlineStr"/>
    </row>
    <row r="685" ht="15" customHeight="1">
      <c r="A685" t="inlineStr">
        <is>
          <t>A 35746-2025</t>
        </is>
      </c>
      <c r="B685" s="1" t="n">
        <v>45860</v>
      </c>
      <c r="C685" s="1" t="n">
        <v>45969</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61933-2023</t>
        </is>
      </c>
      <c r="B686" s="1" t="n">
        <v>45266</v>
      </c>
      <c r="C686" s="1" t="n">
        <v>45969</v>
      </c>
      <c r="D686" t="inlineStr">
        <is>
          <t>DALARNAS LÄN</t>
        </is>
      </c>
      <c r="E686" t="inlineStr">
        <is>
          <t>LEKSAND</t>
        </is>
      </c>
      <c r="G686" t="n">
        <v>0.2</v>
      </c>
      <c r="H686" t="n">
        <v>0</v>
      </c>
      <c r="I686" t="n">
        <v>0</v>
      </c>
      <c r="J686" t="n">
        <v>0</v>
      </c>
      <c r="K686" t="n">
        <v>0</v>
      </c>
      <c r="L686" t="n">
        <v>0</v>
      </c>
      <c r="M686" t="n">
        <v>0</v>
      </c>
      <c r="N686" t="n">
        <v>0</v>
      </c>
      <c r="O686" t="n">
        <v>0</v>
      </c>
      <c r="P686" t="n">
        <v>0</v>
      </c>
      <c r="Q686" t="n">
        <v>0</v>
      </c>
      <c r="R686" s="2" t="inlineStr"/>
    </row>
    <row r="687" ht="15" customHeight="1">
      <c r="A687" t="inlineStr">
        <is>
          <t>A 45381-2025</t>
        </is>
      </c>
      <c r="B687" s="1" t="n">
        <v>45922.39989583333</v>
      </c>
      <c r="C687" s="1" t="n">
        <v>45969</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33198-2022</t>
        </is>
      </c>
      <c r="B688" s="1" t="n">
        <v>44785.68597222222</v>
      </c>
      <c r="C688" s="1" t="n">
        <v>45969</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15619-2025</t>
        </is>
      </c>
      <c r="B689" s="1" t="n">
        <v>45747</v>
      </c>
      <c r="C689" s="1" t="n">
        <v>45969</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45969</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35866-2025</t>
        </is>
      </c>
      <c r="B691" s="1" t="n">
        <v>45861</v>
      </c>
      <c r="C691" s="1" t="n">
        <v>45969</v>
      </c>
      <c r="D691" t="inlineStr">
        <is>
          <t>DALARNAS LÄN</t>
        </is>
      </c>
      <c r="E691" t="inlineStr">
        <is>
          <t>LEKSAND</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17483-2025</t>
        </is>
      </c>
      <c r="B692" s="1" t="n">
        <v>45757.49408564815</v>
      </c>
      <c r="C692" s="1" t="n">
        <v>45969</v>
      </c>
      <c r="D692" t="inlineStr">
        <is>
          <t>DALARNAS LÄN</t>
        </is>
      </c>
      <c r="E692" t="inlineStr">
        <is>
          <t>LEKSAND</t>
        </is>
      </c>
      <c r="G692" t="n">
        <v>4.1</v>
      </c>
      <c r="H692" t="n">
        <v>0</v>
      </c>
      <c r="I692" t="n">
        <v>0</v>
      </c>
      <c r="J692" t="n">
        <v>0</v>
      </c>
      <c r="K692" t="n">
        <v>0</v>
      </c>
      <c r="L692" t="n">
        <v>0</v>
      </c>
      <c r="M692" t="n">
        <v>0</v>
      </c>
      <c r="N692" t="n">
        <v>0</v>
      </c>
      <c r="O692" t="n">
        <v>0</v>
      </c>
      <c r="P692" t="n">
        <v>0</v>
      </c>
      <c r="Q692" t="n">
        <v>0</v>
      </c>
      <c r="R692" s="2" t="inlineStr"/>
    </row>
    <row r="693" ht="15" customHeight="1">
      <c r="A693" t="inlineStr">
        <is>
          <t>A 41934-2025</t>
        </is>
      </c>
      <c r="B693" s="1" t="n">
        <v>45903.43556712963</v>
      </c>
      <c r="C693" s="1" t="n">
        <v>45969</v>
      </c>
      <c r="D693" t="inlineStr">
        <is>
          <t>DALARNAS LÄN</t>
        </is>
      </c>
      <c r="E693" t="inlineStr">
        <is>
          <t>LEKSAND</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17759-2023</t>
        </is>
      </c>
      <c r="B694" s="1" t="n">
        <v>45037.48765046296</v>
      </c>
      <c r="C694" s="1" t="n">
        <v>45969</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43220-2024</t>
        </is>
      </c>
      <c r="B695" s="1" t="n">
        <v>45567.86112268519</v>
      </c>
      <c r="C695" s="1" t="n">
        <v>45969</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55015-2024</t>
        </is>
      </c>
      <c r="B696" s="1" t="n">
        <v>45621.35554398148</v>
      </c>
      <c r="C696" s="1" t="n">
        <v>45969</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34039-2024</t>
        </is>
      </c>
      <c r="B697" s="1" t="n">
        <v>45523.5974537037</v>
      </c>
      <c r="C697" s="1" t="n">
        <v>45969</v>
      </c>
      <c r="D697" t="inlineStr">
        <is>
          <t>DALARNAS LÄN</t>
        </is>
      </c>
      <c r="E697" t="inlineStr">
        <is>
          <t>LEKSAND</t>
        </is>
      </c>
      <c r="G697" t="n">
        <v>7.1</v>
      </c>
      <c r="H697" t="n">
        <v>0</v>
      </c>
      <c r="I697" t="n">
        <v>0</v>
      </c>
      <c r="J697" t="n">
        <v>0</v>
      </c>
      <c r="K697" t="n">
        <v>0</v>
      </c>
      <c r="L697" t="n">
        <v>0</v>
      </c>
      <c r="M697" t="n">
        <v>0</v>
      </c>
      <c r="N697" t="n">
        <v>0</v>
      </c>
      <c r="O697" t="n">
        <v>0</v>
      </c>
      <c r="P697" t="n">
        <v>0</v>
      </c>
      <c r="Q697" t="n">
        <v>0</v>
      </c>
      <c r="R697" s="2" t="inlineStr"/>
    </row>
    <row r="698" ht="15" customHeight="1">
      <c r="A698" t="inlineStr">
        <is>
          <t>A 53836-2025</t>
        </is>
      </c>
      <c r="B698" s="1" t="n">
        <v>45961.3475462963</v>
      </c>
      <c r="C698" s="1" t="n">
        <v>45969</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46505-2023</t>
        </is>
      </c>
      <c r="B699" s="1" t="n">
        <v>45197</v>
      </c>
      <c r="C699" s="1" t="n">
        <v>45969</v>
      </c>
      <c r="D699" t="inlineStr">
        <is>
          <t>DALARNAS LÄN</t>
        </is>
      </c>
      <c r="E699" t="inlineStr">
        <is>
          <t>LEKSAND</t>
        </is>
      </c>
      <c r="G699" t="n">
        <v>2.3</v>
      </c>
      <c r="H699" t="n">
        <v>0</v>
      </c>
      <c r="I699" t="n">
        <v>0</v>
      </c>
      <c r="J699" t="n">
        <v>0</v>
      </c>
      <c r="K699" t="n">
        <v>0</v>
      </c>
      <c r="L699" t="n">
        <v>0</v>
      </c>
      <c r="M699" t="n">
        <v>0</v>
      </c>
      <c r="N699" t="n">
        <v>0</v>
      </c>
      <c r="O699" t="n">
        <v>0</v>
      </c>
      <c r="P699" t="n">
        <v>0</v>
      </c>
      <c r="Q699" t="n">
        <v>0</v>
      </c>
      <c r="R699" s="2" t="inlineStr"/>
    </row>
    <row r="700" ht="15" customHeight="1">
      <c r="A700" t="inlineStr">
        <is>
          <t>A 35998-2025</t>
        </is>
      </c>
      <c r="B700" s="1" t="n">
        <v>45863.51550925926</v>
      </c>
      <c r="C700" s="1" t="n">
        <v>45969</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36021-2025</t>
        </is>
      </c>
      <c r="B701" s="1" t="n">
        <v>45863.72346064815</v>
      </c>
      <c r="C701" s="1" t="n">
        <v>45969</v>
      </c>
      <c r="D701" t="inlineStr">
        <is>
          <t>DALARNAS LÄN</t>
        </is>
      </c>
      <c r="E701" t="inlineStr">
        <is>
          <t>LEKSAND</t>
        </is>
      </c>
      <c r="G701" t="n">
        <v>1.9</v>
      </c>
      <c r="H701" t="n">
        <v>0</v>
      </c>
      <c r="I701" t="n">
        <v>0</v>
      </c>
      <c r="J701" t="n">
        <v>0</v>
      </c>
      <c r="K701" t="n">
        <v>0</v>
      </c>
      <c r="L701" t="n">
        <v>0</v>
      </c>
      <c r="M701" t="n">
        <v>0</v>
      </c>
      <c r="N701" t="n">
        <v>0</v>
      </c>
      <c r="O701" t="n">
        <v>0</v>
      </c>
      <c r="P701" t="n">
        <v>0</v>
      </c>
      <c r="Q701" t="n">
        <v>0</v>
      </c>
      <c r="R701" s="2" t="inlineStr"/>
    </row>
    <row r="702" ht="15" customHeight="1">
      <c r="A702" t="inlineStr">
        <is>
          <t>A 481-2024</t>
        </is>
      </c>
      <c r="B702" s="1" t="n">
        <v>45298</v>
      </c>
      <c r="C702" s="1" t="n">
        <v>45969</v>
      </c>
      <c r="D702" t="inlineStr">
        <is>
          <t>DALARNAS LÄN</t>
        </is>
      </c>
      <c r="E702" t="inlineStr">
        <is>
          <t>LEKSAND</t>
        </is>
      </c>
      <c r="G702" t="n">
        <v>7</v>
      </c>
      <c r="H702" t="n">
        <v>0</v>
      </c>
      <c r="I702" t="n">
        <v>0</v>
      </c>
      <c r="J702" t="n">
        <v>0</v>
      </c>
      <c r="K702" t="n">
        <v>0</v>
      </c>
      <c r="L702" t="n">
        <v>0</v>
      </c>
      <c r="M702" t="n">
        <v>0</v>
      </c>
      <c r="N702" t="n">
        <v>0</v>
      </c>
      <c r="O702" t="n">
        <v>0</v>
      </c>
      <c r="P702" t="n">
        <v>0</v>
      </c>
      <c r="Q702" t="n">
        <v>0</v>
      </c>
      <c r="R702" s="2" t="inlineStr"/>
    </row>
    <row r="703" ht="15" customHeight="1">
      <c r="A703" t="inlineStr">
        <is>
          <t>A 36020-2025</t>
        </is>
      </c>
      <c r="B703" s="1" t="n">
        <v>45863</v>
      </c>
      <c r="C703" s="1" t="n">
        <v>45969</v>
      </c>
      <c r="D703" t="inlineStr">
        <is>
          <t>DALARNAS LÄN</t>
        </is>
      </c>
      <c r="E703" t="inlineStr">
        <is>
          <t>LEKSAND</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45318-2025</t>
        </is>
      </c>
      <c r="B704" s="1" t="n">
        <v>45921.85230324074</v>
      </c>
      <c r="C704" s="1" t="n">
        <v>45969</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36017-2025</t>
        </is>
      </c>
      <c r="B705" s="1" t="n">
        <v>45863</v>
      </c>
      <c r="C705" s="1" t="n">
        <v>45969</v>
      </c>
      <c r="D705" t="inlineStr">
        <is>
          <t>DALARNAS LÄN</t>
        </is>
      </c>
      <c r="E705" t="inlineStr">
        <is>
          <t>LEKSAND</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36190-2025</t>
        </is>
      </c>
      <c r="B706" s="1" t="n">
        <v>45867</v>
      </c>
      <c r="C706" s="1" t="n">
        <v>45969</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50278-2023</t>
        </is>
      </c>
      <c r="B707" s="1" t="n">
        <v>45216.43444444444</v>
      </c>
      <c r="C707" s="1" t="n">
        <v>45969</v>
      </c>
      <c r="D707" t="inlineStr">
        <is>
          <t>DALARNAS LÄN</t>
        </is>
      </c>
      <c r="E707" t="inlineStr">
        <is>
          <t>LEKSAND</t>
        </is>
      </c>
      <c r="G707" t="n">
        <v>0.4</v>
      </c>
      <c r="H707" t="n">
        <v>0</v>
      </c>
      <c r="I707" t="n">
        <v>0</v>
      </c>
      <c r="J707" t="n">
        <v>0</v>
      </c>
      <c r="K707" t="n">
        <v>0</v>
      </c>
      <c r="L707" t="n">
        <v>0</v>
      </c>
      <c r="M707" t="n">
        <v>0</v>
      </c>
      <c r="N707" t="n">
        <v>0</v>
      </c>
      <c r="O707" t="n">
        <v>0</v>
      </c>
      <c r="P707" t="n">
        <v>0</v>
      </c>
      <c r="Q707" t="n">
        <v>0</v>
      </c>
      <c r="R707" s="2" t="inlineStr"/>
    </row>
    <row r="708" ht="15" customHeight="1">
      <c r="A708" t="inlineStr">
        <is>
          <t>A 54779-2025</t>
        </is>
      </c>
      <c r="B708" s="1" t="n">
        <v>45966.61672453704</v>
      </c>
      <c r="C708" s="1" t="n">
        <v>45969</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54815-2025</t>
        </is>
      </c>
      <c r="B709" s="1" t="n">
        <v>45966.65237268519</v>
      </c>
      <c r="C709" s="1" t="n">
        <v>45969</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16197-2024</t>
        </is>
      </c>
      <c r="B710" s="1" t="n">
        <v>45406.70356481482</v>
      </c>
      <c r="C710" s="1" t="n">
        <v>45969</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5453-2025</t>
        </is>
      </c>
      <c r="B711" s="1" t="n">
        <v>45692.95231481481</v>
      </c>
      <c r="C711" s="1" t="n">
        <v>45969</v>
      </c>
      <c r="D711" t="inlineStr">
        <is>
          <t>DALARNAS LÄN</t>
        </is>
      </c>
      <c r="E711" t="inlineStr">
        <is>
          <t>LEKSAND</t>
        </is>
      </c>
      <c r="G711" t="n">
        <v>2.2</v>
      </c>
      <c r="H711" t="n">
        <v>0</v>
      </c>
      <c r="I711" t="n">
        <v>0</v>
      </c>
      <c r="J711" t="n">
        <v>0</v>
      </c>
      <c r="K711" t="n">
        <v>0</v>
      </c>
      <c r="L711" t="n">
        <v>0</v>
      </c>
      <c r="M711" t="n">
        <v>0</v>
      </c>
      <c r="N711" t="n">
        <v>0</v>
      </c>
      <c r="O711" t="n">
        <v>0</v>
      </c>
      <c r="P711" t="n">
        <v>0</v>
      </c>
      <c r="Q711" t="n">
        <v>0</v>
      </c>
      <c r="R711" s="2" t="inlineStr"/>
    </row>
    <row r="712" ht="15" customHeight="1">
      <c r="A712" t="inlineStr">
        <is>
          <t>A 57925-2024</t>
        </is>
      </c>
      <c r="B712" s="1" t="n">
        <v>45630</v>
      </c>
      <c r="C712" s="1" t="n">
        <v>45969</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36540-2025</t>
        </is>
      </c>
      <c r="B713" s="1" t="n">
        <v>45869.63885416667</v>
      </c>
      <c r="C713" s="1" t="n">
        <v>45969</v>
      </c>
      <c r="D713" t="inlineStr">
        <is>
          <t>DALARNAS LÄN</t>
        </is>
      </c>
      <c r="E713" t="inlineStr">
        <is>
          <t>LEKSAND</t>
        </is>
      </c>
      <c r="G713" t="n">
        <v>0.6</v>
      </c>
      <c r="H713" t="n">
        <v>0</v>
      </c>
      <c r="I713" t="n">
        <v>0</v>
      </c>
      <c r="J713" t="n">
        <v>0</v>
      </c>
      <c r="K713" t="n">
        <v>0</v>
      </c>
      <c r="L713" t="n">
        <v>0</v>
      </c>
      <c r="M713" t="n">
        <v>0</v>
      </c>
      <c r="N713" t="n">
        <v>0</v>
      </c>
      <c r="O713" t="n">
        <v>0</v>
      </c>
      <c r="P713" t="n">
        <v>0</v>
      </c>
      <c r="Q713" t="n">
        <v>0</v>
      </c>
      <c r="R713" s="2" t="inlineStr"/>
    </row>
    <row r="714" ht="15" customHeight="1">
      <c r="A714" t="inlineStr">
        <is>
          <t>A 27445-2024</t>
        </is>
      </c>
      <c r="B714" s="1" t="n">
        <v>45474.42474537037</v>
      </c>
      <c r="C714" s="1" t="n">
        <v>45969</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27446-2024</t>
        </is>
      </c>
      <c r="B715" s="1" t="n">
        <v>45474.42671296297</v>
      </c>
      <c r="C715" s="1" t="n">
        <v>45969</v>
      </c>
      <c r="D715" t="inlineStr">
        <is>
          <t>DALARNAS LÄN</t>
        </is>
      </c>
      <c r="E715" t="inlineStr">
        <is>
          <t>LEKSAND</t>
        </is>
      </c>
      <c r="G715" t="n">
        <v>2.9</v>
      </c>
      <c r="H715" t="n">
        <v>0</v>
      </c>
      <c r="I715" t="n">
        <v>0</v>
      </c>
      <c r="J715" t="n">
        <v>0</v>
      </c>
      <c r="K715" t="n">
        <v>0</v>
      </c>
      <c r="L715" t="n">
        <v>0</v>
      </c>
      <c r="M715" t="n">
        <v>0</v>
      </c>
      <c r="N715" t="n">
        <v>0</v>
      </c>
      <c r="O715" t="n">
        <v>0</v>
      </c>
      <c r="P715" t="n">
        <v>0</v>
      </c>
      <c r="Q715" t="n">
        <v>0</v>
      </c>
      <c r="R715" s="2" t="inlineStr"/>
    </row>
    <row r="716" ht="15" customHeight="1">
      <c r="A716" t="inlineStr">
        <is>
          <t>A 18837-2023</t>
        </is>
      </c>
      <c r="B716" s="1" t="n">
        <v>45044.42940972222</v>
      </c>
      <c r="C716" s="1" t="n">
        <v>45969</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17730-2024</t>
        </is>
      </c>
      <c r="B717" s="1" t="n">
        <v>45418</v>
      </c>
      <c r="C717" s="1" t="n">
        <v>45969</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64933-2023</t>
        </is>
      </c>
      <c r="B718" s="1" t="n">
        <v>45282</v>
      </c>
      <c r="C718" s="1" t="n">
        <v>45969</v>
      </c>
      <c r="D718" t="inlineStr">
        <is>
          <t>DALARNAS LÄN</t>
        </is>
      </c>
      <c r="E718" t="inlineStr">
        <is>
          <t>LEKSAND</t>
        </is>
      </c>
      <c r="G718" t="n">
        <v>2.3</v>
      </c>
      <c r="H718" t="n">
        <v>0</v>
      </c>
      <c r="I718" t="n">
        <v>0</v>
      </c>
      <c r="J718" t="n">
        <v>0</v>
      </c>
      <c r="K718" t="n">
        <v>0</v>
      </c>
      <c r="L718" t="n">
        <v>0</v>
      </c>
      <c r="M718" t="n">
        <v>0</v>
      </c>
      <c r="N718" t="n">
        <v>0</v>
      </c>
      <c r="O718" t="n">
        <v>0</v>
      </c>
      <c r="P718" t="n">
        <v>0</v>
      </c>
      <c r="Q718" t="n">
        <v>0</v>
      </c>
      <c r="R718" s="2" t="inlineStr"/>
    </row>
    <row r="719" ht="15" customHeight="1">
      <c r="A719" t="inlineStr">
        <is>
          <t>A 164-2023</t>
        </is>
      </c>
      <c r="B719" s="1" t="n">
        <v>44918</v>
      </c>
      <c r="C719" s="1" t="n">
        <v>45969</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54767-2025</t>
        </is>
      </c>
      <c r="B720" s="1" t="n">
        <v>45966.60414351852</v>
      </c>
      <c r="C720" s="1" t="n">
        <v>45969</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54785-2025</t>
        </is>
      </c>
      <c r="B721" s="1" t="n">
        <v>45966.62619212963</v>
      </c>
      <c r="C721" s="1" t="n">
        <v>45969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54805-2025</t>
        </is>
      </c>
      <c r="B722" s="1" t="n">
        <v>45966.64165509259</v>
      </c>
      <c r="C722" s="1" t="n">
        <v>45969</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51677-2024</t>
        </is>
      </c>
      <c r="B723" s="1" t="n">
        <v>45607.30265046296</v>
      </c>
      <c r="C723" s="1" t="n">
        <v>45969</v>
      </c>
      <c r="D723" t="inlineStr">
        <is>
          <t>DALARNAS LÄN</t>
        </is>
      </c>
      <c r="E723" t="inlineStr">
        <is>
          <t>LEKSAND</t>
        </is>
      </c>
      <c r="G723" t="n">
        <v>3.4</v>
      </c>
      <c r="H723" t="n">
        <v>0</v>
      </c>
      <c r="I723" t="n">
        <v>0</v>
      </c>
      <c r="J723" t="n">
        <v>0</v>
      </c>
      <c r="K723" t="n">
        <v>0</v>
      </c>
      <c r="L723" t="n">
        <v>0</v>
      </c>
      <c r="M723" t="n">
        <v>0</v>
      </c>
      <c r="N723" t="n">
        <v>0</v>
      </c>
      <c r="O723" t="n">
        <v>0</v>
      </c>
      <c r="P723" t="n">
        <v>0</v>
      </c>
      <c r="Q723" t="n">
        <v>0</v>
      </c>
      <c r="R723" s="2" t="inlineStr"/>
    </row>
    <row r="724" ht="15" customHeight="1">
      <c r="A724" t="inlineStr">
        <is>
          <t>A 39620-2024</t>
        </is>
      </c>
      <c r="B724" s="1" t="n">
        <v>45552.43163194445</v>
      </c>
      <c r="C724" s="1" t="n">
        <v>45969</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57907-2024</t>
        </is>
      </c>
      <c r="B725" s="1" t="n">
        <v>45630</v>
      </c>
      <c r="C725" s="1" t="n">
        <v>45969</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59236-2024</t>
        </is>
      </c>
      <c r="B726" s="1" t="n">
        <v>45637.58795138889</v>
      </c>
      <c r="C726" s="1" t="n">
        <v>45969</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54494-2025</t>
        </is>
      </c>
      <c r="B727" s="1" t="n">
        <v>45965.59965277778</v>
      </c>
      <c r="C727" s="1" t="n">
        <v>45969</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34038-2024</t>
        </is>
      </c>
      <c r="B728" s="1" t="n">
        <v>45523.59578703704</v>
      </c>
      <c r="C728" s="1" t="n">
        <v>45969</v>
      </c>
      <c r="D728" t="inlineStr">
        <is>
          <t>DALARNAS LÄN</t>
        </is>
      </c>
      <c r="E728" t="inlineStr">
        <is>
          <t>LEKSAND</t>
        </is>
      </c>
      <c r="G728" t="n">
        <v>0.3</v>
      </c>
      <c r="H728" t="n">
        <v>0</v>
      </c>
      <c r="I728" t="n">
        <v>0</v>
      </c>
      <c r="J728" t="n">
        <v>0</v>
      </c>
      <c r="K728" t="n">
        <v>0</v>
      </c>
      <c r="L728" t="n">
        <v>0</v>
      </c>
      <c r="M728" t="n">
        <v>0</v>
      </c>
      <c r="N728" t="n">
        <v>0</v>
      </c>
      <c r="O728" t="n">
        <v>0</v>
      </c>
      <c r="P728" t="n">
        <v>0</v>
      </c>
      <c r="Q728" t="n">
        <v>0</v>
      </c>
      <c r="R728" s="2" t="inlineStr"/>
    </row>
    <row r="729" ht="15" customHeight="1">
      <c r="A729" t="inlineStr">
        <is>
          <t>A 34041-2024</t>
        </is>
      </c>
      <c r="B729" s="1" t="n">
        <v>45523.59895833334</v>
      </c>
      <c r="C729" s="1" t="n">
        <v>45969</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46176-2025</t>
        </is>
      </c>
      <c r="B730" s="1" t="n">
        <v>45924.65101851852</v>
      </c>
      <c r="C730" s="1" t="n">
        <v>45969</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54440-2025</t>
        </is>
      </c>
      <c r="B731" s="1" t="n">
        <v>45965.50385416667</v>
      </c>
      <c r="C731" s="1" t="n">
        <v>45969</v>
      </c>
      <c r="D731" t="inlineStr">
        <is>
          <t>DALARNAS LÄN</t>
        </is>
      </c>
      <c r="E731" t="inlineStr">
        <is>
          <t>LEKSAND</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54293-2025</t>
        </is>
      </c>
      <c r="B732" s="1" t="n">
        <v>45964.86651620371</v>
      </c>
      <c r="C732" s="1" t="n">
        <v>45969</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54295-2025</t>
        </is>
      </c>
      <c r="B733" s="1" t="n">
        <v>45964.87122685185</v>
      </c>
      <c r="C733" s="1" t="n">
        <v>45969</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10833-2023</t>
        </is>
      </c>
      <c r="B734" s="1" t="n">
        <v>44990</v>
      </c>
      <c r="C734" s="1" t="n">
        <v>45969</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37508-2025</t>
        </is>
      </c>
      <c r="B735" s="1" t="n">
        <v>45877.66282407408</v>
      </c>
      <c r="C735" s="1" t="n">
        <v>45969</v>
      </c>
      <c r="D735" t="inlineStr">
        <is>
          <t>DALARNAS LÄN</t>
        </is>
      </c>
      <c r="E735" t="inlineStr">
        <is>
          <t>LEKSAND</t>
        </is>
      </c>
      <c r="G735" t="n">
        <v>1.3</v>
      </c>
      <c r="H735" t="n">
        <v>0</v>
      </c>
      <c r="I735" t="n">
        <v>0</v>
      </c>
      <c r="J735" t="n">
        <v>0</v>
      </c>
      <c r="K735" t="n">
        <v>0</v>
      </c>
      <c r="L735" t="n">
        <v>0</v>
      </c>
      <c r="M735" t="n">
        <v>0</v>
      </c>
      <c r="N735" t="n">
        <v>0</v>
      </c>
      <c r="O735" t="n">
        <v>0</v>
      </c>
      <c r="P735" t="n">
        <v>0</v>
      </c>
      <c r="Q735" t="n">
        <v>0</v>
      </c>
      <c r="R735" s="2" t="inlineStr"/>
    </row>
    <row r="736" ht="15" customHeight="1">
      <c r="A736" t="inlineStr">
        <is>
          <t>A 54752-2025</t>
        </is>
      </c>
      <c r="B736" s="1" t="n">
        <v>45966.5916087963</v>
      </c>
      <c r="C736" s="1" t="n">
        <v>45969</v>
      </c>
      <c r="D736" t="inlineStr">
        <is>
          <t>DALARNAS LÄN</t>
        </is>
      </c>
      <c r="E736" t="inlineStr">
        <is>
          <t>LEKSAND</t>
        </is>
      </c>
      <c r="G736" t="n">
        <v>0.3</v>
      </c>
      <c r="H736" t="n">
        <v>0</v>
      </c>
      <c r="I736" t="n">
        <v>0</v>
      </c>
      <c r="J736" t="n">
        <v>0</v>
      </c>
      <c r="K736" t="n">
        <v>0</v>
      </c>
      <c r="L736" t="n">
        <v>0</v>
      </c>
      <c r="M736" t="n">
        <v>0</v>
      </c>
      <c r="N736" t="n">
        <v>0</v>
      </c>
      <c r="O736" t="n">
        <v>0</v>
      </c>
      <c r="P736" t="n">
        <v>0</v>
      </c>
      <c r="Q736" t="n">
        <v>0</v>
      </c>
      <c r="R736" s="2" t="inlineStr"/>
    </row>
    <row r="737" ht="15" customHeight="1">
      <c r="A737" t="inlineStr">
        <is>
          <t>A 17233-2023</t>
        </is>
      </c>
      <c r="B737" s="1" t="n">
        <v>45035</v>
      </c>
      <c r="C737" s="1" t="n">
        <v>45969</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16231-2021</t>
        </is>
      </c>
      <c r="B738" s="1" t="n">
        <v>44292</v>
      </c>
      <c r="C738" s="1" t="n">
        <v>45969</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54677-2025</t>
        </is>
      </c>
      <c r="B739" s="1" t="n">
        <v>45966</v>
      </c>
      <c r="C739" s="1" t="n">
        <v>45969</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12857-2023</t>
        </is>
      </c>
      <c r="B740" s="1" t="n">
        <v>45001.5000462963</v>
      </c>
      <c r="C740" s="1" t="n">
        <v>45969</v>
      </c>
      <c r="D740" t="inlineStr">
        <is>
          <t>DALARNAS LÄN</t>
        </is>
      </c>
      <c r="E740" t="inlineStr">
        <is>
          <t>LEKSAND</t>
        </is>
      </c>
      <c r="G740" t="n">
        <v>0.2</v>
      </c>
      <c r="H740" t="n">
        <v>0</v>
      </c>
      <c r="I740" t="n">
        <v>0</v>
      </c>
      <c r="J740" t="n">
        <v>0</v>
      </c>
      <c r="K740" t="n">
        <v>0</v>
      </c>
      <c r="L740" t="n">
        <v>0</v>
      </c>
      <c r="M740" t="n">
        <v>0</v>
      </c>
      <c r="N740" t="n">
        <v>0</v>
      </c>
      <c r="O740" t="n">
        <v>0</v>
      </c>
      <c r="P740" t="n">
        <v>0</v>
      </c>
      <c r="Q740" t="n">
        <v>0</v>
      </c>
      <c r="R740" s="2" t="inlineStr"/>
    </row>
    <row r="741" ht="15" customHeight="1">
      <c r="A741" t="inlineStr">
        <is>
          <t>A 37996-2025</t>
        </is>
      </c>
      <c r="B741" s="1" t="n">
        <v>45881.8299537037</v>
      </c>
      <c r="C741" s="1" t="n">
        <v>45969</v>
      </c>
      <c r="D741" t="inlineStr">
        <is>
          <t>DALARNAS LÄN</t>
        </is>
      </c>
      <c r="E741" t="inlineStr">
        <is>
          <t>LEKSAND</t>
        </is>
      </c>
      <c r="G741" t="n">
        <v>4.2</v>
      </c>
      <c r="H741" t="n">
        <v>0</v>
      </c>
      <c r="I741" t="n">
        <v>0</v>
      </c>
      <c r="J741" t="n">
        <v>0</v>
      </c>
      <c r="K741" t="n">
        <v>0</v>
      </c>
      <c r="L741" t="n">
        <v>0</v>
      </c>
      <c r="M741" t="n">
        <v>0</v>
      </c>
      <c r="N741" t="n">
        <v>0</v>
      </c>
      <c r="O741" t="n">
        <v>0</v>
      </c>
      <c r="P741" t="n">
        <v>0</v>
      </c>
      <c r="Q741" t="n">
        <v>0</v>
      </c>
      <c r="R741" s="2" t="inlineStr"/>
    </row>
    <row r="742" ht="15" customHeight="1">
      <c r="A742" t="inlineStr">
        <is>
          <t>A 28674-2024</t>
        </is>
      </c>
      <c r="B742" s="1" t="n">
        <v>45478.47863425926</v>
      </c>
      <c r="C742" s="1" t="n">
        <v>45969</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38090-2025</t>
        </is>
      </c>
      <c r="B743" s="1" t="n">
        <v>45882.48440972222</v>
      </c>
      <c r="C743" s="1" t="n">
        <v>45969</v>
      </c>
      <c r="D743" t="inlineStr">
        <is>
          <t>DALARNAS LÄN</t>
        </is>
      </c>
      <c r="E743" t="inlineStr">
        <is>
          <t>LEKSAND</t>
        </is>
      </c>
      <c r="G743" t="n">
        <v>1.6</v>
      </c>
      <c r="H743" t="n">
        <v>0</v>
      </c>
      <c r="I743" t="n">
        <v>0</v>
      </c>
      <c r="J743" t="n">
        <v>0</v>
      </c>
      <c r="K743" t="n">
        <v>0</v>
      </c>
      <c r="L743" t="n">
        <v>0</v>
      </c>
      <c r="M743" t="n">
        <v>0</v>
      </c>
      <c r="N743" t="n">
        <v>0</v>
      </c>
      <c r="O743" t="n">
        <v>0</v>
      </c>
      <c r="P743" t="n">
        <v>0</v>
      </c>
      <c r="Q743" t="n">
        <v>0</v>
      </c>
      <c r="R743" s="2" t="inlineStr"/>
    </row>
    <row r="744" ht="15" customHeight="1">
      <c r="A744" t="inlineStr">
        <is>
          <t>A 19622-2024</t>
        </is>
      </c>
      <c r="B744" s="1" t="n">
        <v>45432.33592592592</v>
      </c>
      <c r="C744" s="1" t="n">
        <v>45969</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27317-2021</t>
        </is>
      </c>
      <c r="B745" s="1" t="n">
        <v>44351</v>
      </c>
      <c r="C745" s="1" t="n">
        <v>45969</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61055-2023</t>
        </is>
      </c>
      <c r="B746" s="1" t="n">
        <v>45261</v>
      </c>
      <c r="C746" s="1" t="n">
        <v>45969</v>
      </c>
      <c r="D746" t="inlineStr">
        <is>
          <t>DALARNAS LÄN</t>
        </is>
      </c>
      <c r="E746" t="inlineStr">
        <is>
          <t>LEKSAND</t>
        </is>
      </c>
      <c r="G746" t="n">
        <v>0.3</v>
      </c>
      <c r="H746" t="n">
        <v>0</v>
      </c>
      <c r="I746" t="n">
        <v>0</v>
      </c>
      <c r="J746" t="n">
        <v>0</v>
      </c>
      <c r="K746" t="n">
        <v>0</v>
      </c>
      <c r="L746" t="n">
        <v>0</v>
      </c>
      <c r="M746" t="n">
        <v>0</v>
      </c>
      <c r="N746" t="n">
        <v>0</v>
      </c>
      <c r="O746" t="n">
        <v>0</v>
      </c>
      <c r="P746" t="n">
        <v>0</v>
      </c>
      <c r="Q746" t="n">
        <v>0</v>
      </c>
      <c r="R746" s="2" t="inlineStr"/>
    </row>
    <row r="747" ht="15" customHeight="1">
      <c r="A747" t="inlineStr">
        <is>
          <t>A 46405-2025</t>
        </is>
      </c>
      <c r="B747" s="1" t="n">
        <v>45925.56306712963</v>
      </c>
      <c r="C747" s="1" t="n">
        <v>45969</v>
      </c>
      <c r="D747" t="inlineStr">
        <is>
          <t>DALARNAS LÄN</t>
        </is>
      </c>
      <c r="E747" t="inlineStr">
        <is>
          <t>LEKSAND</t>
        </is>
      </c>
      <c r="G747" t="n">
        <v>5.7</v>
      </c>
      <c r="H747" t="n">
        <v>0</v>
      </c>
      <c r="I747" t="n">
        <v>0</v>
      </c>
      <c r="J747" t="n">
        <v>0</v>
      </c>
      <c r="K747" t="n">
        <v>0</v>
      </c>
      <c r="L747" t="n">
        <v>0</v>
      </c>
      <c r="M747" t="n">
        <v>0</v>
      </c>
      <c r="N747" t="n">
        <v>0</v>
      </c>
      <c r="O747" t="n">
        <v>0</v>
      </c>
      <c r="P747" t="n">
        <v>0</v>
      </c>
      <c r="Q747" t="n">
        <v>0</v>
      </c>
      <c r="R747" s="2" t="inlineStr"/>
    </row>
    <row r="748">
      <c r="A748" t="inlineStr">
        <is>
          <t>A 46483-2025</t>
        </is>
      </c>
      <c r="B748" s="1" t="n">
        <v>45925.70248842592</v>
      </c>
      <c r="C748" s="1" t="n">
        <v>45969</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2025-11-08T10:08:41Z</dcterms:created>
  <dcterms:modified xmlns:dcterms="http://purl.org/dc/terms/" xmlns:xsi="http://www.w3.org/2001/XMLSchema-instance" xsi:type="dcterms:W3CDTF">2025-11-08T10:08:42Z</dcterms:modified>
</cp:coreProperties>
</file>